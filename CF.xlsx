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OneDrive\Desktop\My carrer\My_project\BWIN\"/>
    </mc:Choice>
  </mc:AlternateContent>
  <xr:revisionPtr revIDLastSave="0" documentId="8_{6683AF53-643D-4F9D-8348-5257DCD97F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h Flow - Standardized" sheetId="2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2" l="1"/>
  <c r="T10" i="2"/>
  <c r="T7" i="2"/>
  <c r="AF10" i="2"/>
  <c r="AF13" i="2"/>
  <c r="AF7" i="2"/>
  <c r="AB8" i="2"/>
  <c r="AB11" i="2"/>
  <c r="AB17" i="2"/>
  <c r="D8" i="2"/>
  <c r="D22" i="2"/>
  <c r="D17" i="2"/>
  <c r="AJ9" i="2"/>
  <c r="AJ15" i="2"/>
  <c r="AJ12" i="2"/>
  <c r="H10" i="2"/>
  <c r="H16" i="2"/>
  <c r="H7" i="2"/>
  <c r="L9" i="2"/>
  <c r="L18" i="2"/>
  <c r="L12" i="2"/>
  <c r="X15" i="2"/>
  <c r="X12" i="2"/>
  <c r="X9" i="2"/>
  <c r="J42" i="2"/>
  <c r="J28" i="2"/>
  <c r="J26" i="2"/>
  <c r="AN14" i="2"/>
  <c r="AN8" i="2"/>
  <c r="AN11" i="2"/>
  <c r="AP29" i="2"/>
  <c r="AP26" i="2"/>
  <c r="AP24" i="2"/>
  <c r="AH25" i="2"/>
  <c r="AH35" i="2"/>
  <c r="AH45" i="2"/>
  <c r="Z28" i="2"/>
  <c r="Z24" i="2"/>
  <c r="Z36" i="2"/>
  <c r="F43" i="2"/>
  <c r="F35" i="2"/>
  <c r="F54" i="2"/>
  <c r="P8" i="2"/>
  <c r="P14" i="2"/>
  <c r="P11" i="2"/>
  <c r="R63" i="2"/>
  <c r="R27" i="2"/>
  <c r="R40" i="2"/>
  <c r="V37" i="2"/>
  <c r="V48" i="2"/>
  <c r="V62" i="2"/>
  <c r="AC8" i="2"/>
  <c r="AC14" i="2"/>
  <c r="AC18" i="2"/>
  <c r="U10" i="2"/>
  <c r="U29" i="2"/>
  <c r="U7" i="2"/>
  <c r="Q11" i="2"/>
  <c r="Q8" i="2"/>
  <c r="Q18" i="2"/>
  <c r="M15" i="2"/>
  <c r="M9" i="2"/>
  <c r="M12" i="2"/>
  <c r="K24" i="2"/>
  <c r="K42" i="2"/>
  <c r="K28" i="2"/>
  <c r="Y12" i="2"/>
  <c r="Y9" i="2"/>
  <c r="Y18" i="2"/>
  <c r="AK12" i="2"/>
  <c r="AK15" i="2"/>
  <c r="AK9" i="2"/>
  <c r="I10" i="2"/>
  <c r="I7" i="2"/>
  <c r="I13" i="2"/>
  <c r="AI27" i="2"/>
  <c r="AI57" i="2"/>
  <c r="AI25" i="2"/>
  <c r="AG10" i="2"/>
  <c r="AG21" i="2"/>
  <c r="AG7" i="2"/>
  <c r="AO14" i="2"/>
  <c r="AO8" i="2"/>
  <c r="AO11" i="2"/>
  <c r="AA24" i="2"/>
  <c r="AA33" i="2"/>
  <c r="AA26" i="2"/>
  <c r="E11" i="2"/>
  <c r="E8" i="2"/>
  <c r="E14" i="2"/>
  <c r="AI17" i="2"/>
  <c r="AI14" i="2"/>
  <c r="AI10" i="2"/>
  <c r="AI16" i="2"/>
  <c r="AI45" i="2"/>
  <c r="AI21" i="2"/>
  <c r="AI48" i="2"/>
  <c r="AI47" i="2"/>
  <c r="AI37" i="2"/>
  <c r="AI8" i="2"/>
  <c r="AI36" i="2"/>
  <c r="AI7" i="2"/>
  <c r="AI41" i="2"/>
  <c r="AI33" i="2"/>
  <c r="AI30" i="2"/>
  <c r="AI62" i="2"/>
  <c r="AI31" i="2"/>
  <c r="AI50" i="2"/>
  <c r="AI13" i="2"/>
  <c r="AI11" i="2"/>
  <c r="AI24" i="2"/>
  <c r="AI22" i="2"/>
  <c r="O50" i="2"/>
  <c r="O32" i="2"/>
  <c r="O41" i="2"/>
  <c r="C30" i="2"/>
  <c r="C44" i="2"/>
  <c r="C27" i="2"/>
  <c r="G31" i="2"/>
  <c r="G35" i="2"/>
  <c r="G43" i="2"/>
  <c r="AM56" i="2"/>
  <c r="AM35" i="2"/>
  <c r="AM44" i="2"/>
  <c r="S34" i="2"/>
  <c r="S25" i="2"/>
  <c r="S40" i="2"/>
  <c r="AD17" i="2"/>
  <c r="AD33" i="2"/>
  <c r="AD46" i="2"/>
  <c r="AA32" i="2"/>
  <c r="AA36" i="2"/>
  <c r="AA47" i="2"/>
  <c r="AA54" i="2"/>
  <c r="AA12" i="2"/>
  <c r="AA21" i="2"/>
  <c r="AA23" i="2"/>
  <c r="AA49" i="2"/>
  <c r="AA10" i="2"/>
  <c r="AA9" i="2"/>
  <c r="AA29" i="2"/>
  <c r="AA15" i="2"/>
  <c r="AA50" i="2"/>
  <c r="AA30" i="2"/>
  <c r="AA63" i="2"/>
  <c r="AA16" i="2"/>
  <c r="AA41" i="2"/>
  <c r="AA13" i="2"/>
  <c r="AA7" i="2"/>
  <c r="AA43" i="2"/>
  <c r="AA40" i="2"/>
  <c r="AA18" i="2"/>
  <c r="K16" i="2"/>
  <c r="K47" i="2"/>
  <c r="K52" i="2"/>
  <c r="K30" i="2"/>
  <c r="K33" i="2"/>
  <c r="K31" i="2"/>
  <c r="K13" i="2"/>
  <c r="K25" i="2"/>
  <c r="K22" i="2"/>
  <c r="K11" i="2"/>
  <c r="K45" i="2"/>
  <c r="K17" i="2"/>
  <c r="K8" i="2"/>
  <c r="K7" i="2"/>
  <c r="K14" i="2"/>
  <c r="K44" i="2"/>
  <c r="K21" i="2"/>
  <c r="K10" i="2"/>
  <c r="K56" i="2"/>
  <c r="K36" i="2"/>
  <c r="K57" i="2"/>
  <c r="K27" i="2"/>
  <c r="W48" i="2"/>
  <c r="W37" i="2"/>
  <c r="W65" i="2"/>
  <c r="AL9" i="2"/>
  <c r="AL56" i="2"/>
  <c r="AL44" i="2"/>
  <c r="N9" i="2"/>
  <c r="N41" i="2"/>
  <c r="N50" i="2"/>
  <c r="AE65" i="2"/>
  <c r="AE42" i="2"/>
  <c r="AE22" i="2"/>
  <c r="AE63" i="2"/>
  <c r="AE62" i="2"/>
  <c r="AE49" i="2"/>
  <c r="AE34" i="2"/>
  <c r="AE8" i="2"/>
  <c r="AE11" i="2"/>
  <c r="AE14" i="2"/>
  <c r="AE40" i="2"/>
  <c r="AE9" i="2"/>
  <c r="AE23" i="2"/>
  <c r="AE18" i="2"/>
  <c r="AE48" i="2"/>
  <c r="AE12" i="2"/>
  <c r="AE15" i="2"/>
  <c r="AE17" i="2"/>
  <c r="AE29" i="2"/>
  <c r="AE52" i="2"/>
  <c r="AE28" i="2"/>
  <c r="AE26" i="2"/>
  <c r="AE46" i="2"/>
  <c r="AE31" i="2"/>
  <c r="AE37" i="2"/>
  <c r="AF17" i="2"/>
  <c r="AF11" i="2"/>
  <c r="AF16" i="2"/>
  <c r="AF24" i="2"/>
  <c r="AF15" i="2"/>
  <c r="AF52" i="2"/>
  <c r="AF42" i="2"/>
  <c r="AF12" i="2"/>
  <c r="AF18" i="2"/>
  <c r="AF9" i="2"/>
  <c r="AF14" i="2"/>
  <c r="AF22" i="2"/>
  <c r="AF8" i="2"/>
  <c r="AF23" i="2"/>
  <c r="AF65" i="2"/>
  <c r="AF34" i="2"/>
  <c r="AF28" i="2"/>
  <c r="AF48" i="2"/>
  <c r="AF62" i="2"/>
  <c r="AF21" i="2"/>
  <c r="AF31" i="2"/>
  <c r="AF37" i="2"/>
  <c r="S18" i="2"/>
  <c r="S42" i="2"/>
  <c r="S8" i="2"/>
  <c r="S31" i="2"/>
  <c r="S23" i="2"/>
  <c r="S35" i="2"/>
  <c r="S45" i="2"/>
  <c r="S9" i="2"/>
  <c r="S12" i="2"/>
  <c r="S57" i="2"/>
  <c r="S15" i="2"/>
  <c r="S22" i="2"/>
  <c r="S49" i="2"/>
  <c r="S17" i="2"/>
  <c r="S52" i="2"/>
  <c r="S11" i="2"/>
  <c r="S63" i="2"/>
  <c r="S28" i="2"/>
  <c r="AB16" i="2"/>
  <c r="S43" i="2"/>
  <c r="AB63" i="2"/>
  <c r="AB18" i="2"/>
  <c r="AB54" i="2"/>
  <c r="S14" i="2"/>
  <c r="S32" i="2"/>
  <c r="AB40" i="2"/>
  <c r="AB49" i="2"/>
  <c r="S54" i="2"/>
  <c r="AB14" i="2"/>
  <c r="AB21" i="2"/>
  <c r="AB25" i="2"/>
  <c r="AB15" i="2"/>
  <c r="AB43" i="2"/>
  <c r="AB23" i="2"/>
  <c r="AB13" i="2"/>
  <c r="AB7" i="2"/>
  <c r="AB26" i="2"/>
  <c r="AB22" i="2"/>
  <c r="AB10" i="2"/>
  <c r="AB12" i="2"/>
  <c r="AB9" i="2"/>
  <c r="AB28" i="2"/>
  <c r="AB29" i="2"/>
  <c r="AB32" i="2"/>
  <c r="T27" i="2"/>
  <c r="T14" i="2"/>
  <c r="T22" i="2"/>
  <c r="T52" i="2"/>
  <c r="T11" i="2"/>
  <c r="T28" i="2"/>
  <c r="T12" i="2"/>
  <c r="T21" i="2"/>
  <c r="T8" i="2"/>
  <c r="T45" i="2"/>
  <c r="T9" i="2"/>
  <c r="T24" i="2"/>
  <c r="T31" i="2"/>
  <c r="T65" i="2"/>
  <c r="T15" i="2"/>
  <c r="T34" i="2"/>
  <c r="T57" i="2"/>
  <c r="T18" i="2"/>
  <c r="T42" i="2"/>
  <c r="T16" i="2"/>
  <c r="T25" i="2"/>
  <c r="T17" i="2"/>
  <c r="O60" i="2"/>
  <c r="O64" i="2"/>
  <c r="AM60" i="2"/>
  <c r="AM64" i="2"/>
  <c r="F24" i="2"/>
  <c r="F33" i="2"/>
  <c r="F40" i="2"/>
  <c r="F12" i="2"/>
  <c r="F63" i="2"/>
  <c r="F46" i="2"/>
  <c r="F14" i="2"/>
  <c r="F36" i="2"/>
  <c r="F17" i="2"/>
  <c r="F49" i="2"/>
  <c r="F15" i="2"/>
  <c r="F23" i="2"/>
  <c r="F32" i="2"/>
  <c r="F8" i="2"/>
  <c r="F22" i="2"/>
  <c r="F27" i="2"/>
  <c r="F18" i="2"/>
  <c r="F29" i="2"/>
  <c r="F26" i="2"/>
  <c r="F9" i="2"/>
  <c r="F30" i="2"/>
  <c r="F11" i="2"/>
  <c r="L27" i="2"/>
  <c r="L33" i="2"/>
  <c r="L7" i="2"/>
  <c r="L24" i="2"/>
  <c r="L26" i="2"/>
  <c r="L56" i="2"/>
  <c r="L14" i="2"/>
  <c r="L11" i="2"/>
  <c r="L23" i="2"/>
  <c r="L21" i="2"/>
  <c r="L47" i="2"/>
  <c r="L22" i="2"/>
  <c r="L17" i="2"/>
  <c r="L10" i="2"/>
  <c r="L13" i="2"/>
  <c r="L36" i="2"/>
  <c r="L16" i="2"/>
  <c r="L29" i="2"/>
  <c r="L15" i="2"/>
  <c r="L44" i="2"/>
  <c r="L8" i="2"/>
  <c r="L30" i="2"/>
  <c r="W42" i="2"/>
  <c r="W11" i="2"/>
  <c r="W14" i="2"/>
  <c r="W16" i="2"/>
  <c r="W62" i="2"/>
  <c r="W21" i="2"/>
  <c r="W44" i="2"/>
  <c r="W56" i="2"/>
  <c r="W25" i="2"/>
  <c r="W13" i="2"/>
  <c r="W22" i="2"/>
  <c r="W34" i="2"/>
  <c r="W33" i="2"/>
  <c r="W8" i="2"/>
  <c r="W10" i="2"/>
  <c r="W7" i="2"/>
  <c r="W41" i="2"/>
  <c r="W27" i="2"/>
  <c r="W17" i="2"/>
  <c r="W50" i="2"/>
  <c r="W24" i="2"/>
  <c r="W52" i="2"/>
  <c r="C49" i="2"/>
  <c r="C63" i="2"/>
  <c r="C16" i="2"/>
  <c r="C33" i="2"/>
  <c r="C40" i="2"/>
  <c r="C46" i="2"/>
  <c r="C24" i="2"/>
  <c r="C9" i="2"/>
  <c r="C26" i="2"/>
  <c r="C15" i="2"/>
  <c r="C56" i="2"/>
  <c r="C12" i="2"/>
  <c r="C32" i="2"/>
  <c r="C36" i="2"/>
  <c r="C41" i="2"/>
  <c r="C18" i="2"/>
  <c r="C7" i="2"/>
  <c r="C47" i="2"/>
  <c r="C21" i="2"/>
  <c r="C10" i="2"/>
  <c r="C23" i="2"/>
  <c r="C13" i="2"/>
  <c r="N16" i="2"/>
  <c r="N44" i="2"/>
  <c r="N33" i="2"/>
  <c r="N21" i="2"/>
  <c r="N23" i="2"/>
  <c r="N30" i="2"/>
  <c r="N56" i="2"/>
  <c r="N18" i="2"/>
  <c r="N47" i="2"/>
  <c r="N25" i="2"/>
  <c r="N7" i="2"/>
  <c r="N15" i="2"/>
  <c r="N36" i="2"/>
  <c r="N24" i="2"/>
  <c r="N11" i="2"/>
  <c r="N8" i="2"/>
  <c r="N13" i="2"/>
  <c r="N10" i="2"/>
  <c r="N31" i="2"/>
  <c r="N28" i="2"/>
  <c r="N27" i="2"/>
  <c r="N12" i="2"/>
  <c r="G34" i="2"/>
  <c r="G22" i="2"/>
  <c r="G54" i="2"/>
  <c r="G11" i="2"/>
  <c r="G12" i="2"/>
  <c r="G15" i="2"/>
  <c r="G57" i="2"/>
  <c r="G48" i="2"/>
  <c r="G45" i="2"/>
  <c r="G37" i="2"/>
  <c r="G9" i="2"/>
  <c r="G17" i="2"/>
  <c r="G62" i="2"/>
  <c r="G32" i="2"/>
  <c r="G23" i="2"/>
  <c r="G8" i="2"/>
  <c r="G65" i="2"/>
  <c r="G14" i="2"/>
  <c r="G46" i="2"/>
  <c r="G25" i="2"/>
  <c r="G29" i="2"/>
  <c r="G18" i="2"/>
  <c r="AM29" i="2"/>
  <c r="AM23" i="2"/>
  <c r="AM36" i="2"/>
  <c r="AM30" i="2"/>
  <c r="AM49" i="2"/>
  <c r="AM47" i="2"/>
  <c r="AM7" i="2"/>
  <c r="AM33" i="2"/>
  <c r="AM13" i="2"/>
  <c r="AM15" i="2"/>
  <c r="AM21" i="2"/>
  <c r="AM9" i="2"/>
  <c r="AM40" i="2"/>
  <c r="AM41" i="2"/>
  <c r="AM26" i="2"/>
  <c r="AM10" i="2"/>
  <c r="AM16" i="2"/>
  <c r="AM18" i="2"/>
  <c r="AM46" i="2"/>
  <c r="AM12" i="2"/>
  <c r="AM63" i="2"/>
  <c r="AM27" i="2"/>
  <c r="AH8" i="2"/>
  <c r="AH10" i="2"/>
  <c r="AH14" i="2"/>
  <c r="AH57" i="2"/>
  <c r="AH9" i="2"/>
  <c r="AH17" i="2"/>
  <c r="AH52" i="2"/>
  <c r="AH42" i="2"/>
  <c r="AH62" i="2"/>
  <c r="AH11" i="2"/>
  <c r="AH37" i="2"/>
  <c r="AH28" i="2"/>
  <c r="AH7" i="2"/>
  <c r="AH31" i="2"/>
  <c r="AH29" i="2"/>
  <c r="AH48" i="2"/>
  <c r="AH34" i="2"/>
  <c r="AH22" i="2"/>
  <c r="AH13" i="2"/>
  <c r="AH26" i="2"/>
  <c r="AH16" i="2"/>
  <c r="AH21" i="2"/>
  <c r="V26" i="2"/>
  <c r="V14" i="2"/>
  <c r="V22" i="2"/>
  <c r="V13" i="2"/>
  <c r="V34" i="2"/>
  <c r="V57" i="2"/>
  <c r="V10" i="2"/>
  <c r="V45" i="2"/>
  <c r="V42" i="2"/>
  <c r="V32" i="2"/>
  <c r="V8" i="2"/>
  <c r="V16" i="2"/>
  <c r="V35" i="2"/>
  <c r="V7" i="2"/>
  <c r="V25" i="2"/>
  <c r="V52" i="2"/>
  <c r="V11" i="2"/>
  <c r="V21" i="2"/>
  <c r="V31" i="2"/>
  <c r="V17" i="2"/>
  <c r="V29" i="2"/>
  <c r="V28" i="2"/>
  <c r="O30" i="2"/>
  <c r="O13" i="2"/>
  <c r="O18" i="2"/>
  <c r="O56" i="2"/>
  <c r="O21" i="2"/>
  <c r="O29" i="2"/>
  <c r="O26" i="2"/>
  <c r="O35" i="2"/>
  <c r="O16" i="2"/>
  <c r="O44" i="2"/>
  <c r="O23" i="2"/>
  <c r="O7" i="2"/>
  <c r="O24" i="2"/>
  <c r="O15" i="2"/>
  <c r="O9" i="2"/>
  <c r="O43" i="2"/>
  <c r="O10" i="2"/>
  <c r="O46" i="2"/>
  <c r="O33" i="2"/>
  <c r="O36" i="2"/>
  <c r="O54" i="2"/>
  <c r="O12" i="2"/>
  <c r="AD7" i="2"/>
  <c r="AD14" i="2"/>
  <c r="AD12" i="2"/>
  <c r="AD23" i="2"/>
  <c r="AD24" i="2"/>
  <c r="AD27" i="2"/>
  <c r="AD63" i="2"/>
  <c r="AD29" i="2"/>
  <c r="AD8" i="2"/>
  <c r="AD22" i="2"/>
  <c r="AD49" i="2"/>
  <c r="AD18" i="2"/>
  <c r="AD11" i="2"/>
  <c r="AD43" i="2"/>
  <c r="AD9" i="2"/>
  <c r="AD32" i="2"/>
  <c r="AD10" i="2"/>
  <c r="AD54" i="2"/>
  <c r="AD15" i="2"/>
  <c r="AD30" i="2"/>
  <c r="AD26" i="2"/>
  <c r="AD40" i="2"/>
  <c r="J48" i="2"/>
  <c r="J62" i="2"/>
  <c r="J29" i="2"/>
  <c r="J25" i="2"/>
  <c r="J16" i="2"/>
  <c r="J52" i="2"/>
  <c r="J37" i="2"/>
  <c r="J14" i="2"/>
  <c r="J11" i="2"/>
  <c r="J31" i="2"/>
  <c r="J10" i="2"/>
  <c r="J7" i="2"/>
  <c r="J13" i="2"/>
  <c r="J17" i="2"/>
  <c r="J35" i="2"/>
  <c r="J34" i="2"/>
  <c r="J22" i="2"/>
  <c r="J21" i="2"/>
  <c r="J57" i="2"/>
  <c r="J9" i="2"/>
  <c r="J45" i="2"/>
  <c r="J8" i="2"/>
  <c r="AL16" i="2"/>
  <c r="AL15" i="2"/>
  <c r="AL10" i="2"/>
  <c r="AL7" i="2"/>
  <c r="AL34" i="2"/>
  <c r="AL36" i="2"/>
  <c r="AL12" i="2"/>
  <c r="AL14" i="2"/>
  <c r="AL50" i="2"/>
  <c r="AL21" i="2"/>
  <c r="AL18" i="2"/>
  <c r="AL13" i="2"/>
  <c r="AL31" i="2"/>
  <c r="AL33" i="2"/>
  <c r="AL28" i="2"/>
  <c r="AL23" i="2"/>
  <c r="AL27" i="2"/>
  <c r="AL30" i="2"/>
  <c r="AL47" i="2"/>
  <c r="AL25" i="2"/>
  <c r="AL24" i="2"/>
  <c r="AL41" i="2"/>
  <c r="H21" i="2"/>
  <c r="H65" i="2"/>
  <c r="H34" i="2"/>
  <c r="H23" i="2"/>
  <c r="H8" i="2"/>
  <c r="H31" i="2"/>
  <c r="H17" i="2"/>
  <c r="H25" i="2"/>
  <c r="H37" i="2"/>
  <c r="H9" i="2"/>
  <c r="H12" i="2"/>
  <c r="H14" i="2"/>
  <c r="H27" i="2"/>
  <c r="H18" i="2"/>
  <c r="H13" i="2"/>
  <c r="H62" i="2"/>
  <c r="H22" i="2"/>
  <c r="H48" i="2"/>
  <c r="H15" i="2"/>
  <c r="H45" i="2"/>
  <c r="H57" i="2"/>
  <c r="H11" i="2"/>
  <c r="R26" i="2"/>
  <c r="R32" i="2"/>
  <c r="R33" i="2"/>
  <c r="R24" i="2"/>
  <c r="R43" i="2"/>
  <c r="R9" i="2"/>
  <c r="R15" i="2"/>
  <c r="R10" i="2"/>
  <c r="R22" i="2"/>
  <c r="R11" i="2"/>
  <c r="R13" i="2"/>
  <c r="R18" i="2"/>
  <c r="R35" i="2"/>
  <c r="R17" i="2"/>
  <c r="R49" i="2"/>
  <c r="R8" i="2"/>
  <c r="R7" i="2"/>
  <c r="R23" i="2"/>
  <c r="R54" i="2"/>
  <c r="R12" i="2"/>
  <c r="R14" i="2"/>
  <c r="R46" i="2"/>
  <c r="C60" i="2"/>
  <c r="C64" i="2"/>
  <c r="Z25" i="2"/>
  <c r="Z12" i="2"/>
  <c r="Z14" i="2"/>
  <c r="Z27" i="2"/>
  <c r="Z21" i="2"/>
  <c r="Z56" i="2"/>
  <c r="Z41" i="2"/>
  <c r="Z16" i="2"/>
  <c r="Z44" i="2"/>
  <c r="Z34" i="2"/>
  <c r="Z23" i="2"/>
  <c r="Z50" i="2"/>
  <c r="Z30" i="2"/>
  <c r="Z18" i="2"/>
  <c r="Z11" i="2"/>
  <c r="Z13" i="2"/>
  <c r="Z15" i="2"/>
  <c r="Z7" i="2"/>
  <c r="Z10" i="2"/>
  <c r="Z47" i="2"/>
  <c r="Z8" i="2"/>
  <c r="Z9" i="2"/>
  <c r="AP43" i="2"/>
  <c r="AP7" i="2"/>
  <c r="AP46" i="2"/>
  <c r="AP10" i="2"/>
  <c r="AP27" i="2"/>
  <c r="AP54" i="2"/>
  <c r="AP63" i="2"/>
  <c r="AP12" i="2"/>
  <c r="AP22" i="2"/>
  <c r="AP18" i="2"/>
  <c r="AP9" i="2"/>
  <c r="AP40" i="2"/>
  <c r="AP17" i="2"/>
  <c r="AP33" i="2"/>
  <c r="AP35" i="2"/>
  <c r="AP11" i="2"/>
  <c r="AP49" i="2"/>
  <c r="AP8" i="2"/>
  <c r="AP14" i="2"/>
  <c r="AP32" i="2"/>
  <c r="AP15" i="2"/>
  <c r="AP23" i="2"/>
  <c r="Q28" i="2"/>
  <c r="Q12" i="2"/>
  <c r="Q27" i="2"/>
  <c r="Q26" i="2"/>
  <c r="Q40" i="2"/>
  <c r="Q24" i="2"/>
  <c r="Q9" i="2"/>
  <c r="Q17" i="2"/>
  <c r="Q15" i="2"/>
  <c r="Q7" i="2"/>
  <c r="Q22" i="2"/>
  <c r="Q25" i="2"/>
  <c r="Q32" i="2"/>
  <c r="Q10" i="2"/>
  <c r="Q30" i="2"/>
  <c r="Q35" i="2"/>
  <c r="Q13" i="2"/>
  <c r="Q23" i="2"/>
  <c r="Q16" i="2"/>
  <c r="Q29" i="2"/>
  <c r="Q21" i="2"/>
  <c r="Q14" i="2"/>
  <c r="AN9" i="2"/>
  <c r="AN46" i="2"/>
  <c r="AN35" i="2"/>
  <c r="AN25" i="2"/>
  <c r="AN17" i="2"/>
  <c r="AN40" i="2"/>
  <c r="AN13" i="2"/>
  <c r="AN10" i="2"/>
  <c r="AN63" i="2"/>
  <c r="AN28" i="2"/>
  <c r="AN21" i="2"/>
  <c r="AN49" i="2"/>
  <c r="AN7" i="2"/>
  <c r="AN32" i="2"/>
  <c r="AN15" i="2"/>
  <c r="AN29" i="2"/>
  <c r="AN16" i="2"/>
  <c r="AN18" i="2"/>
  <c r="AN22" i="2"/>
  <c r="AN12" i="2"/>
  <c r="AN23" i="2"/>
  <c r="AN26" i="2"/>
  <c r="I28" i="2"/>
  <c r="I16" i="2"/>
  <c r="I26" i="2"/>
  <c r="I21" i="2"/>
  <c r="I34" i="2"/>
  <c r="I31" i="2"/>
  <c r="I11" i="2"/>
  <c r="I29" i="2"/>
  <c r="I24" i="2"/>
  <c r="I12" i="2"/>
  <c r="I14" i="2"/>
  <c r="I9" i="2"/>
  <c r="I32" i="2"/>
  <c r="I18" i="2"/>
  <c r="I8" i="2"/>
  <c r="I27" i="2"/>
  <c r="I25" i="2"/>
  <c r="I23" i="2"/>
  <c r="I42" i="2"/>
  <c r="I15" i="2"/>
  <c r="I22" i="2"/>
  <c r="I17" i="2"/>
  <c r="D7" i="2"/>
  <c r="D63" i="2"/>
  <c r="D9" i="2"/>
  <c r="D11" i="2"/>
  <c r="D21" i="2"/>
  <c r="D13" i="2"/>
  <c r="D35" i="2"/>
  <c r="D25" i="2"/>
  <c r="D14" i="2"/>
  <c r="D40" i="2"/>
  <c r="D16" i="2"/>
  <c r="D15" i="2"/>
  <c r="D32" i="2"/>
  <c r="D10" i="2"/>
  <c r="D18" i="2"/>
  <c r="D28" i="2"/>
  <c r="D49" i="2"/>
  <c r="D46" i="2"/>
  <c r="D29" i="2"/>
  <c r="D23" i="2"/>
  <c r="D12" i="2"/>
  <c r="D26" i="2"/>
  <c r="P23" i="2"/>
  <c r="P49" i="2"/>
  <c r="P22" i="2"/>
  <c r="P17" i="2"/>
  <c r="P9" i="2"/>
  <c r="P21" i="2"/>
  <c r="P12" i="2"/>
  <c r="P7" i="2"/>
  <c r="P16" i="2"/>
  <c r="P15" i="2"/>
  <c r="P29" i="2"/>
  <c r="P26" i="2"/>
  <c r="P25" i="2"/>
  <c r="P46" i="2"/>
  <c r="P54" i="2"/>
  <c r="P18" i="2"/>
  <c r="P13" i="2"/>
  <c r="P10" i="2"/>
  <c r="P28" i="2"/>
  <c r="P43" i="2"/>
  <c r="P32" i="2"/>
  <c r="P35" i="2"/>
  <c r="X22" i="2"/>
  <c r="X50" i="2"/>
  <c r="X24" i="2"/>
  <c r="X47" i="2"/>
  <c r="X7" i="2"/>
  <c r="X33" i="2"/>
  <c r="X10" i="2"/>
  <c r="X17" i="2"/>
  <c r="X41" i="2"/>
  <c r="X23" i="2"/>
  <c r="X26" i="2"/>
  <c r="X13" i="2"/>
  <c r="X21" i="2"/>
  <c r="X16" i="2"/>
  <c r="X27" i="2"/>
  <c r="X56" i="2"/>
  <c r="X8" i="2"/>
  <c r="X44" i="2"/>
  <c r="X30" i="2"/>
  <c r="X18" i="2"/>
  <c r="X11" i="2"/>
  <c r="X14" i="2"/>
  <c r="AC12" i="2"/>
  <c r="AC15" i="2"/>
  <c r="AC29" i="2"/>
  <c r="AC11" i="2"/>
  <c r="AC21" i="2"/>
  <c r="AC27" i="2"/>
  <c r="AC9" i="2"/>
  <c r="AC26" i="2"/>
  <c r="AC30" i="2"/>
  <c r="AC25" i="2"/>
  <c r="AC24" i="2"/>
  <c r="AC16" i="2"/>
  <c r="AC17" i="2"/>
  <c r="AC40" i="2"/>
  <c r="AC7" i="2"/>
  <c r="AC43" i="2"/>
  <c r="AC13" i="2"/>
  <c r="AC10" i="2"/>
  <c r="AC22" i="2"/>
  <c r="AC23" i="2"/>
  <c r="AC28" i="2"/>
  <c r="AC32" i="2"/>
  <c r="AJ8" i="2"/>
  <c r="AJ17" i="2"/>
  <c r="AJ16" i="2"/>
  <c r="AJ7" i="2"/>
  <c r="AJ13" i="2"/>
  <c r="AJ44" i="2"/>
  <c r="AJ23" i="2"/>
  <c r="U9" i="2"/>
  <c r="AJ50" i="2"/>
  <c r="AJ41" i="2"/>
  <c r="U31" i="2"/>
  <c r="U37" i="2"/>
  <c r="AJ10" i="2"/>
  <c r="AJ21" i="2"/>
  <c r="AJ27" i="2"/>
  <c r="AJ26" i="2"/>
  <c r="U32" i="2"/>
  <c r="U12" i="2"/>
  <c r="U18" i="2"/>
  <c r="U17" i="2"/>
  <c r="AJ33" i="2"/>
  <c r="AJ18" i="2"/>
  <c r="U14" i="2"/>
  <c r="AJ36" i="2"/>
  <c r="U23" i="2"/>
  <c r="AJ11" i="2"/>
  <c r="U11" i="2"/>
  <c r="U13" i="2"/>
  <c r="AJ22" i="2"/>
  <c r="U25" i="2"/>
  <c r="AJ14" i="2"/>
  <c r="AJ47" i="2"/>
  <c r="AJ24" i="2"/>
  <c r="AJ30" i="2"/>
  <c r="U21" i="2"/>
  <c r="U24" i="2"/>
  <c r="U22" i="2"/>
  <c r="U16" i="2"/>
  <c r="U34" i="2"/>
  <c r="U8" i="2"/>
  <c r="U26" i="2"/>
  <c r="U28" i="2"/>
  <c r="U27" i="2"/>
  <c r="U15" i="2"/>
  <c r="AA60" i="2"/>
  <c r="AA64" i="2"/>
  <c r="M21" i="2"/>
  <c r="M11" i="2"/>
  <c r="M18" i="2"/>
  <c r="M23" i="2"/>
  <c r="M41" i="2"/>
  <c r="M28" i="2"/>
  <c r="M36" i="2"/>
  <c r="M8" i="2"/>
  <c r="M13" i="2"/>
  <c r="M14" i="2"/>
  <c r="M30" i="2"/>
  <c r="M10" i="2"/>
  <c r="M22" i="2"/>
  <c r="M7" i="2"/>
  <c r="M27" i="2"/>
  <c r="M17" i="2"/>
  <c r="M26" i="2"/>
  <c r="M25" i="2"/>
  <c r="M33" i="2"/>
  <c r="M16" i="2"/>
  <c r="M24" i="2"/>
  <c r="M31" i="2"/>
  <c r="E21" i="2"/>
  <c r="E25" i="2"/>
  <c r="E9" i="2"/>
  <c r="E15" i="2"/>
  <c r="E29" i="2"/>
  <c r="E27" i="2"/>
  <c r="E18" i="2"/>
  <c r="E12" i="2"/>
  <c r="E16" i="2"/>
  <c r="E23" i="2"/>
  <c r="E7" i="2"/>
  <c r="E26" i="2"/>
  <c r="E22" i="2"/>
  <c r="E35" i="2"/>
  <c r="E10" i="2"/>
  <c r="E30" i="2"/>
  <c r="E17" i="2"/>
  <c r="E24" i="2"/>
  <c r="E13" i="2"/>
  <c r="E32" i="2"/>
  <c r="E40" i="2"/>
  <c r="E28" i="2"/>
  <c r="AK14" i="2"/>
  <c r="AK18" i="2"/>
  <c r="AK31" i="2"/>
  <c r="AK17" i="2"/>
  <c r="AK24" i="2"/>
  <c r="AK33" i="2"/>
  <c r="AK22" i="2"/>
  <c r="AK13" i="2"/>
  <c r="AK26" i="2"/>
  <c r="AK10" i="2"/>
  <c r="AK30" i="2"/>
  <c r="AK23" i="2"/>
  <c r="AK11" i="2"/>
  <c r="AK27" i="2"/>
  <c r="AK36" i="2"/>
  <c r="AK28" i="2"/>
  <c r="AK25" i="2"/>
  <c r="AK44" i="2"/>
  <c r="AK21" i="2"/>
  <c r="AK8" i="2"/>
  <c r="AK7" i="2"/>
  <c r="AK16" i="2"/>
  <c r="AO18" i="2"/>
  <c r="AO10" i="2"/>
  <c r="AO25" i="2"/>
  <c r="AO32" i="2"/>
  <c r="AO16" i="2"/>
  <c r="AO7" i="2"/>
  <c r="AO40" i="2"/>
  <c r="AO26" i="2"/>
  <c r="AO22" i="2"/>
  <c r="AO13" i="2"/>
  <c r="AO24" i="2"/>
  <c r="AO12" i="2"/>
  <c r="AO29" i="2"/>
  <c r="AO9" i="2"/>
  <c r="AO23" i="2"/>
  <c r="AO35" i="2"/>
  <c r="AO30" i="2"/>
  <c r="AO21" i="2"/>
  <c r="AO17" i="2"/>
  <c r="AO27" i="2"/>
  <c r="AO43" i="2"/>
  <c r="AO15" i="2"/>
  <c r="AG28" i="2"/>
  <c r="AG14" i="2"/>
  <c r="AG29" i="2"/>
  <c r="AG12" i="2"/>
  <c r="AG24" i="2"/>
  <c r="AG13" i="2"/>
  <c r="AG18" i="2"/>
  <c r="AG8" i="2"/>
  <c r="AG15" i="2"/>
  <c r="AG26" i="2"/>
  <c r="AG25" i="2"/>
  <c r="AG17" i="2"/>
  <c r="AG37" i="2"/>
  <c r="AG22" i="2"/>
  <c r="AG34" i="2"/>
  <c r="AG27" i="2"/>
  <c r="AG31" i="2"/>
  <c r="AG16" i="2"/>
  <c r="AG42" i="2"/>
  <c r="AG9" i="2"/>
  <c r="AG23" i="2"/>
  <c r="AG11" i="2"/>
  <c r="Y21" i="2"/>
  <c r="Y13" i="2"/>
  <c r="Y11" i="2"/>
  <c r="Y14" i="2"/>
  <c r="Y28" i="2"/>
  <c r="Y24" i="2"/>
  <c r="Y8" i="2"/>
  <c r="Y7" i="2"/>
  <c r="Y16" i="2"/>
  <c r="Y26" i="2"/>
  <c r="Y23" i="2"/>
  <c r="Y47" i="2"/>
  <c r="Y10" i="2"/>
  <c r="Y30" i="2"/>
  <c r="Y15" i="2"/>
  <c r="Y22" i="2"/>
  <c r="Y33" i="2"/>
  <c r="Y27" i="2"/>
  <c r="Y17" i="2"/>
  <c r="Y31" i="2"/>
  <c r="Y25" i="2"/>
  <c r="Y36" i="2"/>
  <c r="AI68" i="2"/>
  <c r="AI61" i="2"/>
  <c r="O66" i="2"/>
  <c r="AB66" i="2"/>
  <c r="AB67" i="2"/>
  <c r="O67" i="2"/>
  <c r="C67" i="2"/>
  <c r="C66" i="2"/>
  <c r="W68" i="2"/>
  <c r="W61" i="2"/>
  <c r="AM67" i="2"/>
  <c r="AM66" i="2"/>
  <c r="D64" i="2"/>
  <c r="D60" i="2"/>
  <c r="AA66" i="2"/>
  <c r="AA67" i="2"/>
  <c r="P67" i="2"/>
  <c r="P66" i="2"/>
  <c r="P64" i="2"/>
  <c r="P60" i="2"/>
  <c r="K68" i="2"/>
  <c r="K61" i="2"/>
  <c r="AN60" i="2"/>
  <c r="AN64" i="2"/>
  <c r="AJ68" i="2"/>
  <c r="AJ61" i="2"/>
  <c r="AB60" i="2"/>
  <c r="AB64" i="2"/>
  <c r="D66" i="2"/>
  <c r="D67" i="2"/>
  <c r="L68" i="2"/>
  <c r="L61" i="2"/>
  <c r="AO60" i="2"/>
  <c r="AO64" i="2"/>
  <c r="X68" i="2"/>
  <c r="X61" i="2"/>
  <c r="AN66" i="2"/>
  <c r="AN67" i="2"/>
  <c r="Y68" i="2"/>
  <c r="Y61" i="2"/>
  <c r="E66" i="2"/>
  <c r="E67" i="2"/>
  <c r="AC64" i="2"/>
  <c r="AC60" i="2"/>
  <c r="E64" i="2"/>
  <c r="E60" i="2"/>
  <c r="Q60" i="2"/>
  <c r="Q64" i="2"/>
  <c r="Q67" i="2"/>
  <c r="Q66" i="2"/>
  <c r="AC67" i="2"/>
  <c r="AC66" i="2"/>
  <c r="AO66" i="2"/>
  <c r="AO67" i="2"/>
  <c r="AK68" i="2"/>
  <c r="AK61" i="2"/>
  <c r="M68" i="2"/>
  <c r="M61" i="2"/>
  <c r="AP66" i="2"/>
  <c r="AP67" i="2"/>
  <c r="AD67" i="2"/>
  <c r="AD66" i="2"/>
  <c r="AP64" i="2"/>
  <c r="AP60" i="2"/>
  <c r="R66" i="2"/>
  <c r="R67" i="2"/>
  <c r="G42" i="2"/>
  <c r="G36" i="2"/>
  <c r="G13" i="2"/>
  <c r="G21" i="2"/>
  <c r="G56" i="2"/>
  <c r="G41" i="2"/>
  <c r="G47" i="2"/>
  <c r="G27" i="2"/>
  <c r="G50" i="2"/>
  <c r="G40" i="2"/>
  <c r="G26" i="2"/>
  <c r="G33" i="2"/>
  <c r="G10" i="2"/>
  <c r="G16" i="2"/>
  <c r="G30" i="2"/>
  <c r="G52" i="2"/>
  <c r="G7" i="2"/>
  <c r="G44" i="2"/>
  <c r="G63" i="2"/>
  <c r="G28" i="2"/>
  <c r="G24" i="2"/>
  <c r="G49" i="2"/>
  <c r="F60" i="2"/>
  <c r="F64" i="2"/>
  <c r="AE25" i="2"/>
  <c r="AE43" i="2"/>
  <c r="AE32" i="2"/>
  <c r="AE35" i="2"/>
  <c r="AE36" i="2"/>
  <c r="AE56" i="2"/>
  <c r="AE54" i="2"/>
  <c r="AE16" i="2"/>
  <c r="AE27" i="2"/>
  <c r="AE50" i="2"/>
  <c r="AE21" i="2"/>
  <c r="AE57" i="2"/>
  <c r="AE10" i="2"/>
  <c r="AE33" i="2"/>
  <c r="AE45" i="2"/>
  <c r="AE7" i="2"/>
  <c r="AE44" i="2"/>
  <c r="AE30" i="2"/>
  <c r="AE24" i="2"/>
  <c r="AE47" i="2"/>
  <c r="AE13" i="2"/>
  <c r="AE41" i="2"/>
  <c r="R64" i="2"/>
  <c r="R60" i="2"/>
  <c r="S50" i="2"/>
  <c r="S41" i="2"/>
  <c r="S48" i="2"/>
  <c r="S24" i="2"/>
  <c r="S21" i="2"/>
  <c r="S37" i="2"/>
  <c r="S56" i="2"/>
  <c r="S36" i="2"/>
  <c r="S33" i="2"/>
  <c r="S29" i="2"/>
  <c r="S7" i="2"/>
  <c r="S65" i="2"/>
  <c r="S26" i="2"/>
  <c r="S62" i="2"/>
  <c r="S47" i="2"/>
  <c r="S13" i="2"/>
  <c r="S16" i="2"/>
  <c r="S10" i="2"/>
  <c r="S46" i="2"/>
  <c r="S44" i="2"/>
  <c r="S30" i="2"/>
  <c r="S27" i="2"/>
  <c r="F66" i="2"/>
  <c r="F67" i="2"/>
  <c r="AD64" i="2"/>
  <c r="AD60" i="2"/>
  <c r="Z68" i="2"/>
  <c r="Z61" i="2"/>
  <c r="AE68" i="2"/>
  <c r="AE61" i="2"/>
  <c r="AL61" i="2"/>
  <c r="AL68" i="2"/>
  <c r="C48" i="2"/>
  <c r="C65" i="2"/>
  <c r="C50" i="2"/>
  <c r="C43" i="2"/>
  <c r="C45" i="2"/>
  <c r="C28" i="2"/>
  <c r="C52" i="2"/>
  <c r="C11" i="2"/>
  <c r="C8" i="2"/>
  <c r="C34" i="2"/>
  <c r="C17" i="2"/>
  <c r="C29" i="2"/>
  <c r="C14" i="2"/>
  <c r="C25" i="2"/>
  <c r="C35" i="2"/>
  <c r="C37" i="2"/>
  <c r="C22" i="2"/>
  <c r="C62" i="2"/>
  <c r="C57" i="2"/>
  <c r="C42" i="2"/>
  <c r="C31" i="2"/>
  <c r="C54" i="2"/>
  <c r="N61" i="2"/>
  <c r="N68" i="2"/>
  <c r="K54" i="2"/>
  <c r="K63" i="2"/>
  <c r="K18" i="2"/>
  <c r="K62" i="2"/>
  <c r="K50" i="2"/>
  <c r="K15" i="2"/>
  <c r="K48" i="2"/>
  <c r="K32" i="2"/>
  <c r="K12" i="2"/>
  <c r="K9" i="2"/>
  <c r="K40" i="2"/>
  <c r="K35" i="2"/>
  <c r="K46" i="2"/>
  <c r="K23" i="2"/>
  <c r="K65" i="2"/>
  <c r="K26" i="2"/>
  <c r="K49" i="2"/>
  <c r="K37" i="2"/>
  <c r="K41" i="2"/>
  <c r="K34" i="2"/>
  <c r="K29" i="2"/>
  <c r="K43" i="2"/>
  <c r="K66" i="2"/>
  <c r="K67" i="2"/>
  <c r="G61" i="2"/>
  <c r="G68" i="2"/>
  <c r="W64" i="2"/>
  <c r="W60" i="2"/>
  <c r="K60" i="2"/>
  <c r="K64" i="2"/>
  <c r="AI42" i="2"/>
  <c r="AI32" i="2"/>
  <c r="AI34" i="2"/>
  <c r="AI52" i="2"/>
  <c r="AI49" i="2"/>
  <c r="AI28" i="2"/>
  <c r="AI29" i="2"/>
  <c r="AI63" i="2"/>
  <c r="AI56" i="2"/>
  <c r="AI40" i="2"/>
  <c r="AI44" i="2"/>
  <c r="AI9" i="2"/>
  <c r="AI43" i="2"/>
  <c r="AI54" i="2"/>
  <c r="AI35" i="2"/>
  <c r="AI46" i="2"/>
  <c r="AI18" i="2"/>
  <c r="AI15" i="2"/>
  <c r="AI23" i="2"/>
  <c r="AI12" i="2"/>
  <c r="AI65" i="2"/>
  <c r="AI26" i="2"/>
  <c r="W18" i="2"/>
  <c r="W57" i="2"/>
  <c r="W26" i="2"/>
  <c r="W47" i="2"/>
  <c r="W12" i="2"/>
  <c r="W54" i="2"/>
  <c r="W49" i="2"/>
  <c r="W15" i="2"/>
  <c r="W32" i="2"/>
  <c r="W31" i="2"/>
  <c r="W28" i="2"/>
  <c r="W36" i="2"/>
  <c r="W23" i="2"/>
  <c r="W43" i="2"/>
  <c r="W35" i="2"/>
  <c r="W45" i="2"/>
  <c r="W63" i="2"/>
  <c r="W40" i="2"/>
  <c r="W29" i="2"/>
  <c r="W46" i="2"/>
  <c r="W9" i="2"/>
  <c r="W30" i="2"/>
  <c r="AE64" i="2"/>
  <c r="AE60" i="2"/>
  <c r="S61" i="2"/>
  <c r="S68" i="2"/>
  <c r="AI60" i="2"/>
  <c r="AI64" i="2"/>
  <c r="O27" i="2"/>
  <c r="O48" i="2"/>
  <c r="O63" i="2"/>
  <c r="O49" i="2"/>
  <c r="O65" i="2"/>
  <c r="O25" i="2"/>
  <c r="O31" i="2"/>
  <c r="O8" i="2"/>
  <c r="O11" i="2"/>
  <c r="O45" i="2"/>
  <c r="O22" i="2"/>
  <c r="O62" i="2"/>
  <c r="O42" i="2"/>
  <c r="O17" i="2"/>
  <c r="O40" i="2"/>
  <c r="O47" i="2"/>
  <c r="O37" i="2"/>
  <c r="O57" i="2"/>
  <c r="O28" i="2"/>
  <c r="O14" i="2"/>
  <c r="O34" i="2"/>
  <c r="O52" i="2"/>
  <c r="G60" i="2"/>
  <c r="G64" i="2"/>
  <c r="AA42" i="2"/>
  <c r="AA34" i="2"/>
  <c r="AA52" i="2"/>
  <c r="AA56" i="2"/>
  <c r="AA48" i="2"/>
  <c r="AA17" i="2"/>
  <c r="AA25" i="2"/>
  <c r="AA35" i="2"/>
  <c r="AA31" i="2"/>
  <c r="AA45" i="2"/>
  <c r="AA46" i="2"/>
  <c r="AA14" i="2"/>
  <c r="AA22" i="2"/>
  <c r="AA57" i="2"/>
  <c r="AA8" i="2"/>
  <c r="AA62" i="2"/>
  <c r="AA44" i="2"/>
  <c r="AA37" i="2"/>
  <c r="AA28" i="2"/>
  <c r="AA27" i="2"/>
  <c r="AA11" i="2"/>
  <c r="AA65" i="2"/>
  <c r="S64" i="2"/>
  <c r="S60" i="2"/>
  <c r="AI67" i="2"/>
  <c r="AI66" i="2"/>
  <c r="AM34" i="2"/>
  <c r="AM37" i="2"/>
  <c r="AM11" i="2"/>
  <c r="AM57" i="2"/>
  <c r="AM25" i="2"/>
  <c r="AM22" i="2"/>
  <c r="AM42" i="2"/>
  <c r="AM32" i="2"/>
  <c r="AM17" i="2"/>
  <c r="AM50" i="2"/>
  <c r="AM31" i="2"/>
  <c r="AM24" i="2"/>
  <c r="AM45" i="2"/>
  <c r="AM48" i="2"/>
  <c r="AM8" i="2"/>
  <c r="AM28" i="2"/>
  <c r="AM62" i="2"/>
  <c r="AM52" i="2"/>
  <c r="AM43" i="2"/>
  <c r="AM14" i="2"/>
  <c r="AM65" i="2"/>
  <c r="AM54" i="2"/>
  <c r="C68" i="2"/>
  <c r="C61" i="2"/>
  <c r="O61" i="2"/>
  <c r="O68" i="2"/>
  <c r="P48" i="2"/>
  <c r="P45" i="2"/>
  <c r="P41" i="2"/>
  <c r="P27" i="2"/>
  <c r="P24" i="2"/>
  <c r="P40" i="2"/>
  <c r="P63" i="2"/>
  <c r="P37" i="2"/>
  <c r="P56" i="2"/>
  <c r="P33" i="2"/>
  <c r="P65" i="2"/>
  <c r="P47" i="2"/>
  <c r="P50" i="2"/>
  <c r="P34" i="2"/>
  <c r="P57" i="2"/>
  <c r="P44" i="2"/>
  <c r="P52" i="2"/>
  <c r="P30" i="2"/>
  <c r="P31" i="2"/>
  <c r="P36" i="2"/>
  <c r="P42" i="2"/>
  <c r="P62" i="2"/>
  <c r="G66" i="2"/>
  <c r="G67" i="2"/>
  <c r="H28" i="2"/>
  <c r="H35" i="2"/>
  <c r="H49" i="2"/>
  <c r="H30" i="2"/>
  <c r="H41" i="2"/>
  <c r="H33" i="2"/>
  <c r="H40" i="2"/>
  <c r="H32" i="2"/>
  <c r="H56" i="2"/>
  <c r="H44" i="2"/>
  <c r="H52" i="2"/>
  <c r="H36" i="2"/>
  <c r="H50" i="2"/>
  <c r="H47" i="2"/>
  <c r="H54" i="2"/>
  <c r="H24" i="2"/>
  <c r="H42" i="2"/>
  <c r="H43" i="2"/>
  <c r="H46" i="2"/>
  <c r="H29" i="2"/>
  <c r="H63" i="2"/>
  <c r="H26" i="2"/>
  <c r="AF32" i="2"/>
  <c r="AF25" i="2"/>
  <c r="AF26" i="2"/>
  <c r="AF33" i="2"/>
  <c r="AF27" i="2"/>
  <c r="AF57" i="2"/>
  <c r="AF35" i="2"/>
  <c r="AF63" i="2"/>
  <c r="AF50" i="2"/>
  <c r="AF43" i="2"/>
  <c r="AF47" i="2"/>
  <c r="AF36" i="2"/>
  <c r="AF46" i="2"/>
  <c r="AF54" i="2"/>
  <c r="AF29" i="2"/>
  <c r="AF41" i="2"/>
  <c r="AF30" i="2"/>
  <c r="AF49" i="2"/>
  <c r="AF45" i="2"/>
  <c r="AF56" i="2"/>
  <c r="AF40" i="2"/>
  <c r="AF44" i="2"/>
  <c r="S67" i="2"/>
  <c r="S66" i="2"/>
  <c r="W67" i="2"/>
  <c r="W66" i="2"/>
  <c r="AN56" i="2"/>
  <c r="AN31" i="2"/>
  <c r="AN52" i="2"/>
  <c r="AN48" i="2"/>
  <c r="AN41" i="2"/>
  <c r="AN30" i="2"/>
  <c r="AN50" i="2"/>
  <c r="AN44" i="2"/>
  <c r="AN33" i="2"/>
  <c r="AN34" i="2"/>
  <c r="AN37" i="2"/>
  <c r="AN24" i="2"/>
  <c r="AN45" i="2"/>
  <c r="AN57" i="2"/>
  <c r="AN62" i="2"/>
  <c r="AN54" i="2"/>
  <c r="AN43" i="2"/>
  <c r="AN42" i="2"/>
  <c r="AN47" i="2"/>
  <c r="AN36" i="2"/>
  <c r="AN27" i="2"/>
  <c r="AN65" i="2"/>
  <c r="X36" i="2"/>
  <c r="X31" i="2"/>
  <c r="X45" i="2"/>
  <c r="X25" i="2"/>
  <c r="X46" i="2"/>
  <c r="X63" i="2"/>
  <c r="X35" i="2"/>
  <c r="X57" i="2"/>
  <c r="X49" i="2"/>
  <c r="X29" i="2"/>
  <c r="X34" i="2"/>
  <c r="X43" i="2"/>
  <c r="X48" i="2"/>
  <c r="X62" i="2"/>
  <c r="X52" i="2"/>
  <c r="X37" i="2"/>
  <c r="X65" i="2"/>
  <c r="X40" i="2"/>
  <c r="X42" i="2"/>
  <c r="X54" i="2"/>
  <c r="X28" i="2"/>
  <c r="X32" i="2"/>
  <c r="AE67" i="2"/>
  <c r="AE66" i="2"/>
  <c r="AB34" i="2"/>
  <c r="AB48" i="2"/>
  <c r="AB42" i="2"/>
  <c r="AB24" i="2"/>
  <c r="AB52" i="2"/>
  <c r="AB27" i="2"/>
  <c r="AB62" i="2"/>
  <c r="AB36" i="2"/>
  <c r="AB65" i="2"/>
  <c r="AB46" i="2"/>
  <c r="AB47" i="2"/>
  <c r="AB37" i="2"/>
  <c r="AB50" i="2"/>
  <c r="AB56" i="2"/>
  <c r="AB33" i="2"/>
  <c r="AB30" i="2"/>
  <c r="AB45" i="2"/>
  <c r="AB44" i="2"/>
  <c r="AB35" i="2"/>
  <c r="AB41" i="2"/>
  <c r="AB31" i="2"/>
  <c r="AB57" i="2"/>
  <c r="AM61" i="2"/>
  <c r="AM68" i="2"/>
  <c r="L67" i="2"/>
  <c r="L66" i="2"/>
  <c r="AA68" i="2"/>
  <c r="AA61" i="2"/>
  <c r="T68" i="2"/>
  <c r="T61" i="2"/>
  <c r="T62" i="2"/>
  <c r="T37" i="2"/>
  <c r="T54" i="2"/>
  <c r="T49" i="2"/>
  <c r="T41" i="2"/>
  <c r="T32" i="2"/>
  <c r="T46" i="2"/>
  <c r="T36" i="2"/>
  <c r="T33" i="2"/>
  <c r="T29" i="2"/>
  <c r="T30" i="2"/>
  <c r="T44" i="2"/>
  <c r="T63" i="2"/>
  <c r="T23" i="2"/>
  <c r="T43" i="2"/>
  <c r="T50" i="2"/>
  <c r="T48" i="2"/>
  <c r="T26" i="2"/>
  <c r="T40" i="2"/>
  <c r="T35" i="2"/>
  <c r="T56" i="2"/>
  <c r="T47" i="2"/>
  <c r="T64" i="2"/>
  <c r="T60" i="2"/>
  <c r="L64" i="2"/>
  <c r="L60" i="2"/>
  <c r="D56" i="2"/>
  <c r="D37" i="2"/>
  <c r="L43" i="2"/>
  <c r="D33" i="2"/>
  <c r="D50" i="2"/>
  <c r="D54" i="2"/>
  <c r="L32" i="2"/>
  <c r="L31" i="2"/>
  <c r="L50" i="2"/>
  <c r="D34" i="2"/>
  <c r="L42" i="2"/>
  <c r="D42" i="2"/>
  <c r="L34" i="2"/>
  <c r="D52" i="2"/>
  <c r="L35" i="2"/>
  <c r="D24" i="2"/>
  <c r="D65" i="2"/>
  <c r="L52" i="2"/>
  <c r="L46" i="2"/>
  <c r="D41" i="2"/>
  <c r="L49" i="2"/>
  <c r="D47" i="2"/>
  <c r="D31" i="2"/>
  <c r="L62" i="2"/>
  <c r="L41" i="2"/>
  <c r="D45" i="2"/>
  <c r="D36" i="2"/>
  <c r="L45" i="2"/>
  <c r="L57" i="2"/>
  <c r="D30" i="2"/>
  <c r="L40" i="2"/>
  <c r="L37" i="2"/>
  <c r="L63" i="2"/>
  <c r="D48" i="2"/>
  <c r="L48" i="2"/>
  <c r="D62" i="2"/>
  <c r="L28" i="2"/>
  <c r="D44" i="2"/>
  <c r="D43" i="2"/>
  <c r="L54" i="2"/>
  <c r="L25" i="2"/>
  <c r="D27" i="2"/>
  <c r="L65" i="2"/>
  <c r="D57" i="2"/>
  <c r="AJ42" i="2"/>
  <c r="AJ48" i="2"/>
  <c r="AJ57" i="2"/>
  <c r="AJ65" i="2"/>
  <c r="AJ43" i="2"/>
  <c r="AJ28" i="2"/>
  <c r="AJ63" i="2"/>
  <c r="AJ52" i="2"/>
  <c r="AJ49" i="2"/>
  <c r="AJ37" i="2"/>
  <c r="AJ31" i="2"/>
  <c r="AJ32" i="2"/>
  <c r="AJ45" i="2"/>
  <c r="AJ29" i="2"/>
  <c r="AJ54" i="2"/>
  <c r="AJ34" i="2"/>
  <c r="AJ46" i="2"/>
  <c r="AJ40" i="2"/>
  <c r="AJ56" i="2"/>
  <c r="AJ62" i="2"/>
  <c r="AJ35" i="2"/>
  <c r="AJ25" i="2"/>
  <c r="X64" i="2"/>
  <c r="X60" i="2"/>
  <c r="H68" i="2"/>
  <c r="H61" i="2"/>
  <c r="AF68" i="2"/>
  <c r="AF61" i="2"/>
  <c r="AJ64" i="2"/>
  <c r="AJ60" i="2"/>
  <c r="H60" i="2"/>
  <c r="H64" i="2"/>
  <c r="AF60" i="2"/>
  <c r="AF64" i="2"/>
  <c r="X66" i="2"/>
  <c r="X67" i="2"/>
  <c r="T66" i="2"/>
  <c r="T67" i="2"/>
  <c r="AJ67" i="2"/>
  <c r="AJ66" i="2"/>
  <c r="H67" i="2"/>
  <c r="H66" i="2"/>
  <c r="AO45" i="2"/>
  <c r="AO48" i="2"/>
  <c r="AO52" i="2"/>
  <c r="AO46" i="2"/>
  <c r="AO65" i="2"/>
  <c r="AO31" i="2"/>
  <c r="AO34" i="2"/>
  <c r="AO56" i="2"/>
  <c r="AO57" i="2"/>
  <c r="AO63" i="2"/>
  <c r="AO62" i="2"/>
  <c r="AO54" i="2"/>
  <c r="AO42" i="2"/>
  <c r="AO49" i="2"/>
  <c r="AO36" i="2"/>
  <c r="AO41" i="2"/>
  <c r="AO47" i="2"/>
  <c r="AO28" i="2"/>
  <c r="AO37" i="2"/>
  <c r="AO50" i="2"/>
  <c r="AO33" i="2"/>
  <c r="AO44" i="2"/>
  <c r="Y62" i="2"/>
  <c r="Y37" i="2"/>
  <c r="Y50" i="2"/>
  <c r="Y40" i="2"/>
  <c r="Y46" i="2"/>
  <c r="Y43" i="2"/>
  <c r="Y45" i="2"/>
  <c r="Y56" i="2"/>
  <c r="Y63" i="2"/>
  <c r="Y29" i="2"/>
  <c r="Y65" i="2"/>
  <c r="Y32" i="2"/>
  <c r="Y48" i="2"/>
  <c r="Y34" i="2"/>
  <c r="Y57" i="2"/>
  <c r="Y49" i="2"/>
  <c r="Y41" i="2"/>
  <c r="Y44" i="2"/>
  <c r="Y35" i="2"/>
  <c r="Y54" i="2"/>
  <c r="Y42" i="2"/>
  <c r="Y52" i="2"/>
  <c r="AF67" i="2"/>
  <c r="AF66" i="2"/>
  <c r="AC63" i="2"/>
  <c r="AC47" i="2"/>
  <c r="AC50" i="2"/>
  <c r="AC48" i="2"/>
  <c r="AC41" i="2"/>
  <c r="AC36" i="2"/>
  <c r="AC35" i="2"/>
  <c r="AC62" i="2"/>
  <c r="AC57" i="2"/>
  <c r="AC37" i="2"/>
  <c r="AC44" i="2"/>
  <c r="AC33" i="2"/>
  <c r="AC45" i="2"/>
  <c r="AC54" i="2"/>
  <c r="AC34" i="2"/>
  <c r="AC46" i="2"/>
  <c r="AC31" i="2"/>
  <c r="AC42" i="2"/>
  <c r="AC56" i="2"/>
  <c r="AC65" i="2"/>
  <c r="AC49" i="2"/>
  <c r="AC52" i="2"/>
  <c r="I62" i="2"/>
  <c r="I63" i="2"/>
  <c r="I47" i="2"/>
  <c r="I65" i="2"/>
  <c r="I43" i="2"/>
  <c r="I41" i="2"/>
  <c r="I54" i="2"/>
  <c r="I37" i="2"/>
  <c r="I30" i="2"/>
  <c r="I33" i="2"/>
  <c r="I35" i="2"/>
  <c r="I52" i="2"/>
  <c r="I49" i="2"/>
  <c r="I46" i="2"/>
  <c r="I50" i="2"/>
  <c r="I40" i="2"/>
  <c r="I36" i="2"/>
  <c r="I56" i="2"/>
  <c r="I44" i="2"/>
  <c r="I45" i="2"/>
  <c r="I48" i="2"/>
  <c r="I57" i="2"/>
  <c r="D68" i="2"/>
  <c r="D61" i="2"/>
  <c r="AB61" i="2"/>
  <c r="AB68" i="2"/>
  <c r="AG49" i="2"/>
  <c r="AG56" i="2"/>
  <c r="AG46" i="2"/>
  <c r="AG65" i="2"/>
  <c r="AG63" i="2"/>
  <c r="AG44" i="2"/>
  <c r="AG45" i="2"/>
  <c r="AG43" i="2"/>
  <c r="AG62" i="2"/>
  <c r="AG36" i="2"/>
  <c r="AG50" i="2"/>
  <c r="AG30" i="2"/>
  <c r="AG52" i="2"/>
  <c r="AG40" i="2"/>
  <c r="AG54" i="2"/>
  <c r="AG35" i="2"/>
  <c r="AG32" i="2"/>
  <c r="AG33" i="2"/>
  <c r="AG41" i="2"/>
  <c r="AG48" i="2"/>
  <c r="AG57" i="2"/>
  <c r="AG47" i="2"/>
  <c r="M62" i="2"/>
  <c r="M46" i="2"/>
  <c r="M43" i="2"/>
  <c r="M49" i="2"/>
  <c r="M45" i="2"/>
  <c r="M65" i="2"/>
  <c r="M32" i="2"/>
  <c r="M54" i="2"/>
  <c r="M50" i="2"/>
  <c r="M40" i="2"/>
  <c r="M52" i="2"/>
  <c r="M44" i="2"/>
  <c r="M57" i="2"/>
  <c r="M34" i="2"/>
  <c r="M42" i="2"/>
  <c r="M37" i="2"/>
  <c r="M63" i="2"/>
  <c r="M48" i="2"/>
  <c r="M56" i="2"/>
  <c r="M47" i="2"/>
  <c r="M29" i="2"/>
  <c r="M35" i="2"/>
  <c r="P61" i="2"/>
  <c r="P68" i="2"/>
  <c r="AG64" i="2"/>
  <c r="AG60" i="2"/>
  <c r="AN68" i="2"/>
  <c r="AN61" i="2"/>
  <c r="U65" i="2"/>
  <c r="U43" i="2"/>
  <c r="U49" i="2"/>
  <c r="U56" i="2"/>
  <c r="U48" i="2"/>
  <c r="U41" i="2"/>
  <c r="U33" i="2"/>
  <c r="U35" i="2"/>
  <c r="U40" i="2"/>
  <c r="U42" i="2"/>
  <c r="U62" i="2"/>
  <c r="U44" i="2"/>
  <c r="U54" i="2"/>
  <c r="U45" i="2"/>
  <c r="U47" i="2"/>
  <c r="U46" i="2"/>
  <c r="U63" i="2"/>
  <c r="U57" i="2"/>
  <c r="U36" i="2"/>
  <c r="U50" i="2"/>
  <c r="U52" i="2"/>
  <c r="U30" i="2"/>
  <c r="Q46" i="2"/>
  <c r="Q43" i="2"/>
  <c r="Q44" i="2"/>
  <c r="Q31" i="2"/>
  <c r="Q49" i="2"/>
  <c r="Q63" i="2"/>
  <c r="Q50" i="2"/>
  <c r="Q33" i="2"/>
  <c r="Q65" i="2"/>
  <c r="E47" i="2"/>
  <c r="Q34" i="2"/>
  <c r="Q42" i="2"/>
  <c r="E49" i="2"/>
  <c r="E36" i="2"/>
  <c r="Q62" i="2"/>
  <c r="E45" i="2"/>
  <c r="Q37" i="2"/>
  <c r="E56" i="2"/>
  <c r="Q52" i="2"/>
  <c r="Q54" i="2"/>
  <c r="E43" i="2"/>
  <c r="E63" i="2"/>
  <c r="Q45" i="2"/>
  <c r="Q36" i="2"/>
  <c r="E54" i="2"/>
  <c r="Q57" i="2"/>
  <c r="Q47" i="2"/>
  <c r="E42" i="2"/>
  <c r="E52" i="2"/>
  <c r="E50" i="2"/>
  <c r="Q48" i="2"/>
  <c r="E46" i="2"/>
  <c r="E37" i="2"/>
  <c r="Q41" i="2"/>
  <c r="Q56" i="2"/>
  <c r="E48" i="2"/>
  <c r="E65" i="2"/>
  <c r="E41" i="2"/>
  <c r="E62" i="2"/>
  <c r="E33" i="2"/>
  <c r="E31" i="2"/>
  <c r="E34" i="2"/>
  <c r="E44" i="2"/>
  <c r="E57" i="2"/>
  <c r="M60" i="2"/>
  <c r="M64" i="2"/>
  <c r="AK64" i="2"/>
  <c r="AK60" i="2"/>
  <c r="M67" i="2"/>
  <c r="M66" i="2"/>
  <c r="Y60" i="2"/>
  <c r="Y64" i="2"/>
  <c r="I68" i="2"/>
  <c r="I61" i="2"/>
  <c r="AK49" i="2"/>
  <c r="AK43" i="2"/>
  <c r="AK45" i="2"/>
  <c r="AK62" i="2"/>
  <c r="AK57" i="2"/>
  <c r="AK48" i="2"/>
  <c r="AK65" i="2"/>
  <c r="AK50" i="2"/>
  <c r="AK54" i="2"/>
  <c r="AK63" i="2"/>
  <c r="AK56" i="2"/>
  <c r="AK37" i="2"/>
  <c r="AK47" i="2"/>
  <c r="AK40" i="2"/>
  <c r="AK32" i="2"/>
  <c r="AK34" i="2"/>
  <c r="AK35" i="2"/>
  <c r="AK46" i="2"/>
  <c r="AK41" i="2"/>
  <c r="AK52" i="2"/>
  <c r="AK42" i="2"/>
  <c r="AK29" i="2"/>
  <c r="AG61" i="2"/>
  <c r="AG68" i="2"/>
  <c r="I67" i="2"/>
  <c r="I66" i="2"/>
  <c r="U68" i="2"/>
  <c r="U61" i="2"/>
  <c r="AO61" i="2"/>
  <c r="AO68" i="2"/>
  <c r="U67" i="2"/>
  <c r="U66" i="2"/>
  <c r="AG66" i="2"/>
  <c r="AG67" i="2"/>
  <c r="I64" i="2"/>
  <c r="I60" i="2"/>
  <c r="Y66" i="2"/>
  <c r="Y67" i="2"/>
  <c r="AK66" i="2"/>
  <c r="AK67" i="2"/>
  <c r="U64" i="2"/>
  <c r="U60" i="2"/>
  <c r="Z64" i="2"/>
  <c r="Z60" i="2"/>
  <c r="Z42" i="2"/>
  <c r="Z62" i="2"/>
  <c r="Z17" i="2"/>
  <c r="Z46" i="2"/>
  <c r="Z33" i="2"/>
  <c r="Z26" i="2"/>
  <c r="Z57" i="2"/>
  <c r="Z32" i="2"/>
  <c r="Z29" i="2"/>
  <c r="Z35" i="2"/>
  <c r="Z52" i="2"/>
  <c r="Z31" i="2"/>
  <c r="Z65" i="2"/>
  <c r="Z40" i="2"/>
  <c r="Z22" i="2"/>
  <c r="Z49" i="2"/>
  <c r="Z45" i="2"/>
  <c r="Z43" i="2"/>
  <c r="Z37" i="2"/>
  <c r="Z54" i="2"/>
  <c r="Z48" i="2"/>
  <c r="Z63" i="2"/>
  <c r="J61" i="2"/>
  <c r="J68" i="2"/>
  <c r="J54" i="2"/>
  <c r="J15" i="2"/>
  <c r="J41" i="2"/>
  <c r="J63" i="2"/>
  <c r="J43" i="2"/>
  <c r="J47" i="2"/>
  <c r="J50" i="2"/>
  <c r="J56" i="2"/>
  <c r="J18" i="2"/>
  <c r="J65" i="2"/>
  <c r="J46" i="2"/>
  <c r="J33" i="2"/>
  <c r="J36" i="2"/>
  <c r="J40" i="2"/>
  <c r="J30" i="2"/>
  <c r="J32" i="2"/>
  <c r="J24" i="2"/>
  <c r="J27" i="2"/>
  <c r="J44" i="2"/>
  <c r="J23" i="2"/>
  <c r="J49" i="2"/>
  <c r="J12" i="2"/>
  <c r="R29" i="2"/>
  <c r="R48" i="2"/>
  <c r="R37" i="2"/>
  <c r="R28" i="2"/>
  <c r="R42" i="2"/>
  <c r="R47" i="2"/>
  <c r="R16" i="2"/>
  <c r="R56" i="2"/>
  <c r="R21" i="2"/>
  <c r="R44" i="2"/>
  <c r="R34" i="2"/>
  <c r="R65" i="2"/>
  <c r="R50" i="2"/>
  <c r="R41" i="2"/>
  <c r="R57" i="2"/>
  <c r="R62" i="2"/>
  <c r="R25" i="2"/>
  <c r="R52" i="2"/>
  <c r="R30" i="2"/>
  <c r="R45" i="2"/>
  <c r="R31" i="2"/>
  <c r="R36" i="2"/>
  <c r="AL63" i="2"/>
  <c r="AL26" i="2"/>
  <c r="AL57" i="2"/>
  <c r="AL11" i="2"/>
  <c r="AL65" i="2"/>
  <c r="AL54" i="2"/>
  <c r="AL32" i="2"/>
  <c r="AL8" i="2"/>
  <c r="AL45" i="2"/>
  <c r="AL52" i="2"/>
  <c r="AL62" i="2"/>
  <c r="AL49" i="2"/>
  <c r="AL43" i="2"/>
  <c r="AL35" i="2"/>
  <c r="AL48" i="2"/>
  <c r="AL17" i="2"/>
  <c r="AL22" i="2"/>
  <c r="AL29" i="2"/>
  <c r="AL42" i="2"/>
  <c r="AL46" i="2"/>
  <c r="AL37" i="2"/>
  <c r="AL40" i="2"/>
  <c r="J67" i="2"/>
  <c r="J66" i="2"/>
  <c r="AH49" i="2"/>
  <c r="AH41" i="2"/>
  <c r="AH33" i="2"/>
  <c r="AH43" i="2"/>
  <c r="AH27" i="2"/>
  <c r="AH18" i="2"/>
  <c r="AH40" i="2"/>
  <c r="AH36" i="2"/>
  <c r="AH50" i="2"/>
  <c r="AH63" i="2"/>
  <c r="AH30" i="2"/>
  <c r="AH24" i="2"/>
  <c r="AH12" i="2"/>
  <c r="AH56" i="2"/>
  <c r="AH32" i="2"/>
  <c r="AH47" i="2"/>
  <c r="AH54" i="2"/>
  <c r="AH15" i="2"/>
  <c r="AH65" i="2"/>
  <c r="AH23" i="2"/>
  <c r="AH46" i="2"/>
  <c r="AH44" i="2"/>
  <c r="AP36" i="2"/>
  <c r="AP21" i="2"/>
  <c r="AP44" i="2"/>
  <c r="AP30" i="2"/>
  <c r="AP65" i="2"/>
  <c r="AP50" i="2"/>
  <c r="AP25" i="2"/>
  <c r="AP37" i="2"/>
  <c r="AP28" i="2"/>
  <c r="AP47" i="2"/>
  <c r="AP16" i="2"/>
  <c r="AP56" i="2"/>
  <c r="AP57" i="2"/>
  <c r="AP45" i="2"/>
  <c r="AP48" i="2"/>
  <c r="AP62" i="2"/>
  <c r="AP13" i="2"/>
  <c r="AP41" i="2"/>
  <c r="AP34" i="2"/>
  <c r="AP31" i="2"/>
  <c r="V46" i="2"/>
  <c r="V43" i="2"/>
  <c r="AP52" i="2"/>
  <c r="V12" i="2"/>
  <c r="V44" i="2"/>
  <c r="AP42" i="2"/>
  <c r="V56" i="2"/>
  <c r="V63" i="2"/>
  <c r="V30" i="2"/>
  <c r="V33" i="2"/>
  <c r="V15" i="2"/>
  <c r="V27" i="2"/>
  <c r="V49" i="2"/>
  <c r="V36" i="2"/>
  <c r="V41" i="2"/>
  <c r="V65" i="2"/>
  <c r="V47" i="2"/>
  <c r="V24" i="2"/>
  <c r="V9" i="2"/>
  <c r="V54" i="2"/>
  <c r="V18" i="2"/>
  <c r="V40" i="2"/>
  <c r="V23" i="2"/>
  <c r="V50" i="2"/>
  <c r="AH64" i="2"/>
  <c r="AH60" i="2"/>
  <c r="N54" i="2"/>
  <c r="N49" i="2"/>
  <c r="N62" i="2"/>
  <c r="N46" i="2"/>
  <c r="N17" i="2"/>
  <c r="N45" i="2"/>
  <c r="N42" i="2"/>
  <c r="N34" i="2"/>
  <c r="N48" i="2"/>
  <c r="N29" i="2"/>
  <c r="N43" i="2"/>
  <c r="N65" i="2"/>
  <c r="N35" i="2"/>
  <c r="N14" i="2"/>
  <c r="N37" i="2"/>
  <c r="N32" i="2"/>
  <c r="N26" i="2"/>
  <c r="N22" i="2"/>
  <c r="N63" i="2"/>
  <c r="N40" i="2"/>
  <c r="N57" i="2"/>
  <c r="N52" i="2"/>
  <c r="F57" i="2"/>
  <c r="F7" i="2"/>
  <c r="F21" i="2"/>
  <c r="F50" i="2"/>
  <c r="F56" i="2"/>
  <c r="F28" i="2"/>
  <c r="F25" i="2"/>
  <c r="F41" i="2"/>
  <c r="F65" i="2"/>
  <c r="F42" i="2"/>
  <c r="F10" i="2"/>
  <c r="F34" i="2"/>
  <c r="F44" i="2"/>
  <c r="F47" i="2"/>
  <c r="F45" i="2"/>
  <c r="F52" i="2"/>
  <c r="F13" i="2"/>
  <c r="F37" i="2"/>
  <c r="F31" i="2"/>
  <c r="F16" i="2"/>
  <c r="F48" i="2"/>
  <c r="F62" i="2"/>
  <c r="AD45" i="2"/>
  <c r="AD28" i="2"/>
  <c r="AD47" i="2"/>
  <c r="AD41" i="2"/>
  <c r="AD42" i="2"/>
  <c r="AD44" i="2"/>
  <c r="AD34" i="2"/>
  <c r="AD25" i="2"/>
  <c r="AD52" i="2"/>
  <c r="AD48" i="2"/>
  <c r="AD37" i="2"/>
  <c r="AD56" i="2"/>
  <c r="AD31" i="2"/>
  <c r="AD35" i="2"/>
  <c r="AD57" i="2"/>
  <c r="AD62" i="2"/>
  <c r="AD16" i="2"/>
  <c r="AD65" i="2"/>
  <c r="AD36" i="2"/>
  <c r="AD13" i="2"/>
  <c r="AD21" i="2"/>
  <c r="AD50" i="2"/>
  <c r="Z67" i="2"/>
  <c r="AD61" i="2"/>
  <c r="Z66" i="2"/>
  <c r="AD68" i="2"/>
  <c r="AL66" i="2"/>
  <c r="AL67" i="2"/>
  <c r="AH67" i="2"/>
  <c r="AH66" i="2"/>
  <c r="J60" i="2"/>
  <c r="J64" i="2"/>
  <c r="AC68" i="2"/>
  <c r="AC61" i="2"/>
  <c r="AP68" i="2"/>
  <c r="AP61" i="2"/>
  <c r="V61" i="2"/>
  <c r="V68" i="2"/>
  <c r="R68" i="2"/>
  <c r="R61" i="2"/>
  <c r="V64" i="2"/>
  <c r="V60" i="2"/>
  <c r="AL60" i="2"/>
  <c r="AL64" i="2"/>
  <c r="N67" i="2"/>
  <c r="N66" i="2"/>
  <c r="V66" i="2"/>
  <c r="V67" i="2"/>
  <c r="AH61" i="2"/>
  <c r="AH68" i="2"/>
  <c r="F61" i="2"/>
  <c r="F68" i="2"/>
  <c r="E61" i="2"/>
  <c r="E68" i="2"/>
  <c r="N60" i="2"/>
  <c r="N64" i="2"/>
  <c r="Q68" i="2"/>
  <c r="Q61" i="2"/>
</calcChain>
</file>

<file path=xl/sharedStrings.xml><?xml version="1.0" encoding="utf-8"?>
<sst xmlns="http://schemas.openxmlformats.org/spreadsheetml/2006/main" count="195" uniqueCount="189">
  <si>
    <t>Reference Items</t>
  </si>
  <si>
    <t>Right click to show data transparency (not supported for all values)</t>
  </si>
  <si>
    <t>In Millions of USD except Per Share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</si>
  <si>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</si>
  <si>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</si>
  <si>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</si>
  <si>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</si>
  <si>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</si>
  <si>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</si>
  <si>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</si>
  <si>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</si>
  <si>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</si>
  <si>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</si>
  <si>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</si>
  <si>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</si>
  <si>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</si>
  <si>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</si>
  <si>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</si>
  <si>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</si>
  <si>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</si>
  <si>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</si>
  <si>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</si>
  <si>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</si>
  <si>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</si>
  <si>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</si>
  <si>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</si>
  <si>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</si>
  <si>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</si>
  <si>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</si>
  <si>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</si>
  <si>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</si>
  <si>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</si>
  <si>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</si>
  <si>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</si>
  <si>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</si>
  <si>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</si>
  <si>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</si>
  <si>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</si>
  <si>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</si>
  <si>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</si>
  <si>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</si>
  <si>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</si>
  <si>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</si>
  <si>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3 Months Ending</t>
  </si>
  <si>
    <t>10/31/2015</t>
  </si>
  <si>
    <t>01/31/2016</t>
  </si>
  <si>
    <t>04/30/2016</t>
  </si>
  <si>
    <t>07/31/2016</t>
  </si>
  <si>
    <t>10/31/2016</t>
  </si>
  <si>
    <t>01/31/2017</t>
  </si>
  <si>
    <t>04/30/2017</t>
  </si>
  <si>
    <t>07/31/2017</t>
  </si>
  <si>
    <t>10/31/2017</t>
  </si>
  <si>
    <t>01/31/2018</t>
  </si>
  <si>
    <t>04/30/2018</t>
  </si>
  <si>
    <t>07/31/2018</t>
  </si>
  <si>
    <t>10/31/2018</t>
  </si>
  <si>
    <t>01/31/2019</t>
  </si>
  <si>
    <t>04/30/2019</t>
  </si>
  <si>
    <t>07/31/2019</t>
  </si>
  <si>
    <t>10/31/2019</t>
  </si>
  <si>
    <t>01/31/2020</t>
  </si>
  <si>
    <t>04/30/2020</t>
  </si>
  <si>
    <t>07/31/2020</t>
  </si>
  <si>
    <t>10/31/2020</t>
  </si>
  <si>
    <t>01/31/2021</t>
  </si>
  <si>
    <t>04/30/2021</t>
  </si>
  <si>
    <t>07/31/2021</t>
  </si>
  <si>
    <t>10/31/2021</t>
  </si>
  <si>
    <t>01/31/2022</t>
  </si>
  <si>
    <t>04/30/2022</t>
  </si>
  <si>
    <t>07/31/2022</t>
  </si>
  <si>
    <t>10/31/2022</t>
  </si>
  <si>
    <t>01/31/2023</t>
  </si>
  <si>
    <t>04/30/2023</t>
  </si>
  <si>
    <t>07/31/2023</t>
  </si>
  <si>
    <t>10/31/2023</t>
  </si>
  <si>
    <t>01/31/2024</t>
  </si>
  <si>
    <t>04/30/2024</t>
  </si>
  <si>
    <t>07/31/2024</t>
  </si>
  <si>
    <t>10/31/2024</t>
  </si>
  <si>
    <t>01/31/2025</t>
  </si>
  <si>
    <t>04/30/2025</t>
  </si>
  <si>
    <t>07/31/2025</t>
  </si>
  <si>
    <t>Cash from Operating Activities</t>
  </si>
  <si>
    <t>CF_NET_INC</t>
  </si>
  <si>
    <t>CF_DEPR_AMORT</t>
  </si>
  <si>
    <t>NON_CASH_ITEMS_DETAILED</t>
  </si>
  <si>
    <t>CF_DEF_INC_TAX</t>
  </si>
  <si>
    <t>OTHER_NON_CASH_ADJ_LESS_DETAILED</t>
  </si>
  <si>
    <t>CF_CHNG_NON_CASH_WORK_CAP</t>
  </si>
  <si>
    <t>CF_ACCT_RCV_UNBILLED_REV</t>
  </si>
  <si>
    <t>CF_CHANGE_IN_INVENTORIES</t>
  </si>
  <si>
    <t>CF_CHANGE_IN_ACCOUNTS_PAYABLE</t>
  </si>
  <si>
    <t>INC_DEC_IN_OT_OP_AST_LIAB_DETAIL</t>
  </si>
  <si>
    <t>CF_NET_CASH_DISCONT_OPS_OPER</t>
  </si>
  <si>
    <t>CF_CASH_FROM_OPER</t>
  </si>
  <si>
    <t>Cash from Investing Activities</t>
  </si>
  <si>
    <t>FIXED_INTANG_ASST_CHANGE</t>
  </si>
  <si>
    <t>DISPOSAL_OF_FIXED_INTANG</t>
  </si>
  <si>
    <t>CF_DISPOSAL_OF_FIXED_PROD_ASSETS</t>
  </si>
  <si>
    <t>CF_DISPOSAL_OF_INTANGIBLE_ASSETS</t>
  </si>
  <si>
    <t>ACQUIS_OF_FIXED_INTANG</t>
  </si>
  <si>
    <t>CF_PURCHASE_OF_FIXED_PROD_ASSETS</t>
  </si>
  <si>
    <t>CF_ACQUISITION_OF_INTANG_ASSETS</t>
  </si>
  <si>
    <t>NET_CHG_IN_LT_INVEST_DETAILED</t>
  </si>
  <si>
    <t>CF_DECR_INVEST</t>
  </si>
  <si>
    <t>CF_INCR_INVEST</t>
  </si>
  <si>
    <t>CF_NT_CSH_RCVD_PD_FOR_ACQUIS_DIV</t>
  </si>
  <si>
    <t>CF_CASH_FOR_DIVESTITURES</t>
  </si>
  <si>
    <t>CF_CASH_FOR_ACQUIS_SUBSIDIARIES</t>
  </si>
  <si>
    <t>CF_CASH_FOR_JOINT_VENTURES_ASSOC</t>
  </si>
  <si>
    <t>OTHER_INVESTING_ACT_DETAILED</t>
  </si>
  <si>
    <t>CF_NET_CASH_DISCONTINUED_OPS_INV</t>
  </si>
  <si>
    <t>CF_CASH_FROM_INV_ACT</t>
  </si>
  <si>
    <t>Cash from Financing Activities</t>
  </si>
  <si>
    <t>CF_DVD_PAID</t>
  </si>
  <si>
    <t>PROC_FR_REPAYMNTS_BOR_DETAILED</t>
  </si>
  <si>
    <t>CF_NET_CHG_ST_DEBT_CPTL_LEAS</t>
  </si>
  <si>
    <t>CF_LT_DEBT_CAP_LEAS_PROCEEDS</t>
  </si>
  <si>
    <t>CF_LT_DEBT_CAP_LEAS_PAYMENT</t>
  </si>
  <si>
    <t>PROC_FR_REPURCH_EQTY_DETAILED</t>
  </si>
  <si>
    <t>CF_INCR_CAP_STOCK</t>
  </si>
  <si>
    <t>CF_DECR_CAP_STOCK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</si>
  <si>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</si>
  <si>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</si>
  <si>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</si>
  <si>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</si>
  <si>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</si>
  <si>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</si>
  <si>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</si>
  <si>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</si>
  <si>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</si>
  <si>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</si>
  <si>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CF_ACT_CASH_PAID_FOR_INT_DEBT</t>
  </si>
  <si>
    <t>EBITDA</t>
  </si>
  <si>
    <t>Trailing 12M EBITDA Margin</t>
  </si>
  <si>
    <t>EBITDA_MARGIN</t>
  </si>
  <si>
    <t>Net Cash Paid for Acquisitions</t>
  </si>
  <si>
    <t>CF_NET_CASH_PAID_FOR_AQUIS</t>
  </si>
  <si>
    <t>Free Cash Flow</t>
  </si>
  <si>
    <t>CF_FREE_CASH_FLOW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</si>
  <si>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</si>
  <si>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</si>
  <si>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</si>
  <si>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</si>
  <si>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</si>
  <si>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</si>
  <si>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</si>
  <si>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</si>
  <si>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</si>
  <si>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</si>
  <si>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Source: Bloomberg</t>
  </si>
  <si>
    <t xml:space="preserve">   Net Income</t>
  </si>
  <si>
    <t xml:space="preserve">   Depreciation &amp; Amortization</t>
  </si>
  <si>
    <t xml:space="preserve">     Deferred Income Taxes</t>
  </si>
  <si>
    <t xml:space="preserve">     (Inc) Dec in Accts Receiv</t>
  </si>
  <si>
    <t xml:space="preserve">     (Inc) Dec in Inventories</t>
  </si>
  <si>
    <t xml:space="preserve">     Inc (Dec) in Accts Payable</t>
  </si>
  <si>
    <t xml:space="preserve">     Inc (Dec) in Other</t>
  </si>
  <si>
    <t xml:space="preserve">   Net Cash From Disc Ops</t>
  </si>
  <si>
    <t xml:space="preserve">   Change in Fixed &amp; Intang</t>
  </si>
  <si>
    <t xml:space="preserve">     Disp in Fixed &amp; Intang</t>
  </si>
  <si>
    <t xml:space="preserve">     Disp of Fixed Prod Assets</t>
  </si>
  <si>
    <t xml:space="preserve">     Disp of Intangible Assets</t>
  </si>
  <si>
    <t xml:space="preserve">     Acq of Fixed &amp; Intang</t>
  </si>
  <si>
    <t xml:space="preserve">     Acq of Fixed Prod Assets</t>
  </si>
  <si>
    <t xml:space="preserve">     Acq of Intangible Assets</t>
  </si>
  <si>
    <t xml:space="preserve">   Net Change in LT Investment</t>
  </si>
  <si>
    <t xml:space="preserve">     Dec in LT Investment</t>
  </si>
  <si>
    <t xml:space="preserve">     Inc in LT Investment</t>
  </si>
  <si>
    <t xml:space="preserve">   Net Cash From Acq &amp; Div</t>
  </si>
  <si>
    <t xml:space="preserve">     Cash from Divestitures</t>
  </si>
  <si>
    <t xml:space="preserve">     Cash for Acq of Subs</t>
  </si>
  <si>
    <t xml:space="preserve">     Cash for JVs</t>
  </si>
  <si>
    <t xml:space="preserve">   Other Investing Activities</t>
  </si>
  <si>
    <t xml:space="preserve">   Dividends Paid</t>
  </si>
  <si>
    <t xml:space="preserve">   Cash From (Repayment) Debt</t>
  </si>
  <si>
    <t xml:space="preserve">     Cash From (Repay) ST Debt</t>
  </si>
  <si>
    <t xml:space="preserve">     Cash From LT Debt</t>
  </si>
  <si>
    <t xml:space="preserve">     Repayments of LT Debt</t>
  </si>
  <si>
    <t xml:space="preserve">   Cash (Repurchase) of Equity</t>
  </si>
  <si>
    <t xml:space="preserve">     Increase in Capital Stock</t>
  </si>
  <si>
    <t xml:space="preserve">     Decrease in Capital Stock</t>
  </si>
  <si>
    <t xml:space="preserve">   Other Financing Activities</t>
  </si>
  <si>
    <t>Walmart Inc (WMT US)  Standardized</t>
  </si>
  <si>
    <t xml:space="preserve">   NonCash Items</t>
  </si>
  <si>
    <t xml:space="preserve">     Other NonCash Adj</t>
  </si>
  <si>
    <t xml:space="preserve">   Chg in NonCash Work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</si>
</sst>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7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5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171" fontId="1" fillId="34" borderId="2" xfId="53">
      <alignment horizontal="right"/>
    </xf>
    <xf numFmtId="4" fontId="1" fillId="34" borderId="2" xfId="54">
      <alignment horizontal="right"/>
    </xf>
    <xf numFmtId="3" fontId="8" fillId="34" borderId="2" xfId="55">
      <alignment horizontal="right"/>
    </xf>
    <xf numFmtId="171" fontId="8" fillId="34" borderId="2" xfId="56">
      <alignment horizontal="right"/>
    </xf>
    <xf numFmtId="171" fontId="11" fillId="34" borderId="2" xfId="57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5" xr:uid="{00000000-0005-0000-0000-000023000000}"/>
    <cellStyle name="fa_data_bold_1_grouped" xfId="56" xr:uid="{00000000-0005-0000-0000-000024000000}"/>
    <cellStyle name="fa_data_italic_1_grouped" xfId="57" xr:uid="{00000000-0005-0000-0000-000025000000}"/>
    <cellStyle name="fa_data_standard_1_grouped" xfId="53" xr:uid="{00000000-0005-0000-0000-000026000000}"/>
    <cellStyle name="fa_data_standard_2_grouped" xfId="54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BDH|11170893761954964110</stp>
        <tr r="AJ36" s="2"/>
      </tp>
      <tp t="s">
        <v>#N/A N/A</v>
        <stp/>
        <stp>BDH|12631107514920457863</stp>
        <tr r="AG26" s="2"/>
      </tp>
      <tp t="s">
        <v>#N/A N/A</v>
        <stp/>
        <stp>BDH|11759559291401137623</stp>
        <tr r="C9" s="2"/>
      </tp>
      <tp t="s">
        <v>#N/A N/A</v>
        <stp/>
        <stp>BDH|16753080247848172099</stp>
        <tr r="AF11" s="2"/>
      </tp>
      <tp t="s">
        <v>#N/A N/A</v>
        <stp/>
        <stp>BDH|14706975471103629374</stp>
        <tr r="P27" s="2"/>
      </tp>
      <tp t="s">
        <v>#N/A N/A</v>
        <stp/>
        <stp>BDH|17598151500849354532</stp>
        <tr r="AF32" s="2"/>
      </tp>
      <tp t="s">
        <v>#N/A N/A</v>
        <stp/>
        <stp>BDH|11240852280533069871</stp>
        <tr r="AI63" s="2"/>
      </tp>
      <tp t="s">
        <v>#N/A N/A</v>
        <stp/>
        <stp>BDH|17522979891995997891</stp>
        <tr r="AG28" s="2"/>
      </tp>
      <tp t="s">
        <v>#N/A N/A</v>
        <stp/>
        <stp>BDH|10496828235151606062</stp>
        <tr r="AA17" s="2"/>
      </tp>
      <tp t="s">
        <v>#N/A N/A</v>
        <stp/>
        <stp>BDH|12682608594984740368</stp>
        <tr r="AO26" s="2"/>
      </tp>
      <tp t="s">
        <v>#N/A N/A</v>
        <stp/>
        <stp>BDH|10657862282539440345</stp>
        <tr r="M30" s="2"/>
      </tp>
      <tp t="s">
        <v>#N/A N/A</v>
        <stp/>
        <stp>BDH|13298923080100426817</stp>
        <tr r="AM25" s="2"/>
      </tp>
      <tp t="e">
        <v>#N/A</v>
        <stp/>
        <stp>BDH|13275344741597559970</stp>
        <tr r="P60" s="2"/>
      </tp>
      <tp t="s">
        <v>#N/A N/A</v>
        <stp/>
        <stp>BDH|10275229183444491438</stp>
        <tr r="AG17" s="2"/>
      </tp>
      <tp t="s">
        <v>#N/A N/A</v>
        <stp/>
        <stp>BDH|16918878052500813107</stp>
        <tr r="AL63" s="2"/>
      </tp>
      <tp t="s">
        <v>#N/A N/A</v>
        <stp/>
        <stp>BDH|14203667634662560915</stp>
        <tr r="W15" s="2"/>
      </tp>
      <tp t="s">
        <v>#N/A N/A</v>
        <stp/>
        <stp>BDH|16061564162467356833</stp>
        <tr r="AE31" s="2"/>
      </tp>
      <tp t="s">
        <v>#N/A N/A</v>
        <stp/>
        <stp>BDH|10764900436497772720</stp>
        <tr r="AG45" s="2"/>
      </tp>
      <tp t="s">
        <v>#N/A N/A</v>
        <stp/>
        <stp>BDH|17895693585013242016</stp>
        <tr r="M62" s="2"/>
      </tp>
      <tp t="s">
        <v>#N/A N/A</v>
        <stp/>
        <stp>BDH|11547314962536371834</stp>
        <tr r="AC37" s="2"/>
      </tp>
      <tp t="s">
        <v>#N/A N/A</v>
        <stp/>
        <stp>BDH|14839292264143546960</stp>
        <tr r="E15" s="2"/>
      </tp>
      <tp t="s">
        <v>#N/A N/A</v>
        <stp/>
        <stp>BDH|13262560585150278454</stp>
        <tr r="S31" s="2"/>
      </tp>
      <tp t="s">
        <v>#N/A N/A</v>
        <stp/>
        <stp>BDH|11776643076883412987</stp>
        <tr r="AF63" s="2"/>
      </tp>
      <tp t="s">
        <v>#N/A N/A</v>
        <stp/>
        <stp>BDH|17141101862409300398</stp>
        <tr r="AN17" s="2"/>
      </tp>
      <tp t="s">
        <v>#N/A N/A</v>
        <stp/>
        <stp>BDH|11004086786811021270</stp>
        <tr r="AF35" s="2"/>
      </tp>
      <tp t="s">
        <v>#N/A N/A</v>
        <stp/>
        <stp>BDH|11383852379287162378</stp>
        <tr r="Q15" s="2"/>
      </tp>
      <tp t="s">
        <v>#N/A N/A</v>
        <stp/>
        <stp>BDH|11177417994484861254</stp>
        <tr r="U13" s="2"/>
      </tp>
      <tp t="s">
        <v>#N/A N/A</v>
        <stp/>
        <stp>BDH|10653875777161892460</stp>
        <tr r="E52" s="2"/>
      </tp>
      <tp t="s">
        <v>#N/A N/A</v>
        <stp/>
        <stp>BDH|17182930448972106233</stp>
        <tr r="AJ44" s="2"/>
      </tp>
      <tp t="s">
        <v>#N/A N/A</v>
        <stp/>
        <stp>BDH|17120176654590804921</stp>
        <tr r="AD42" s="2"/>
      </tp>
      <tp t="s">
        <v>#N/A N/A</v>
        <stp/>
        <stp>BDH|14503539228198093159</stp>
        <tr r="N30" s="2"/>
      </tp>
      <tp t="s">
        <v>#N/A N/A</v>
        <stp/>
        <stp>BDH|14049115296916560096</stp>
        <tr r="M28" s="2"/>
      </tp>
      <tp t="s">
        <v>#N/A N/A</v>
        <stp/>
        <stp>BDH|12639693834058246526</stp>
        <tr r="D24" s="2"/>
      </tp>
      <tp t="s">
        <v>#N/A N/A</v>
        <stp/>
        <stp>BDH|16609573824892828972</stp>
        <tr r="AI32" s="2"/>
      </tp>
      <tp t="s">
        <v>#N/A N/A</v>
        <stp/>
        <stp>BDH|17259489066017500836</stp>
        <tr r="P49" s="2"/>
      </tp>
      <tp t="s">
        <v>#N/A N/A</v>
        <stp/>
        <stp>BDH|13525404648738325124</stp>
        <tr r="C52" s="2"/>
      </tp>
      <tp t="s">
        <v>#N/A N/A</v>
        <stp/>
        <stp>BDH|17442301179440454969</stp>
        <tr r="AC67" s="2"/>
      </tp>
      <tp t="s">
        <v>#N/A N/A</v>
        <stp/>
        <stp>BDH|12152975006401947062</stp>
        <tr r="AP18" s="2"/>
      </tp>
      <tp t="s">
        <v>#N/A N/A</v>
        <stp/>
        <stp>BDH|13998712272750736928</stp>
        <tr r="AO16" s="2"/>
      </tp>
      <tp t="s">
        <v>#N/A N/A</v>
        <stp/>
        <stp>BDH|12301218005059192397</stp>
        <tr r="M40" s="2"/>
      </tp>
      <tp t="s">
        <v>#N/A N/A</v>
        <stp/>
        <stp>BDH|16307880888395820959</stp>
        <tr r="U32" s="2"/>
      </tp>
      <tp t="s">
        <v>#N/A N/A</v>
        <stp/>
        <stp>BDH|17868536635252608963</stp>
        <tr r="AJ16" s="2"/>
      </tp>
      <tp t="s">
        <v>#N/A N/A</v>
        <stp/>
        <stp>BDH|13139781081170758613</stp>
        <tr r="Z44" s="2"/>
      </tp>
      <tp t="s">
        <v>#N/A N/A</v>
        <stp/>
        <stp>BDH|16741492356958058494</stp>
        <tr r="V48" s="2"/>
      </tp>
      <tp t="s">
        <v>#N/A N/A</v>
        <stp/>
        <stp>BDH|13492164622572988980</stp>
        <tr r="AG15" s="2"/>
      </tp>
      <tp t="s">
        <v>#N/A N/A</v>
        <stp/>
        <stp>BDH|12193743155223148814</stp>
        <tr r="AF42" s="2"/>
      </tp>
      <tp t="s">
        <v>#N/A N/A</v>
        <stp/>
        <stp>BDH|14611708199120831177</stp>
        <tr r="AA12" s="2"/>
      </tp>
      <tp t="s">
        <v>#N/A N/A</v>
        <stp/>
        <stp>BDH|14656177510706931986</stp>
        <tr r="AE36" s="2"/>
      </tp>
      <tp t="s">
        <v>#N/A N/A</v>
        <stp/>
        <stp>BDH|14087798359625253824</stp>
        <tr r="W21" s="2"/>
      </tp>
      <tp t="s">
        <v>#N/A N/A</v>
        <stp/>
        <stp>BDH|18329926022429374101</stp>
        <tr r="R63" s="2"/>
      </tp>
      <tp t="s">
        <v>#N/A N/A</v>
        <stp/>
        <stp>BDH|15291769657629679555</stp>
        <tr r="V34" s="2"/>
      </tp>
      <tp t="s">
        <v>#N/A N/A</v>
        <stp/>
        <stp>BDH|17092572963376259969</stp>
        <tr r="AK12" s="2"/>
      </tp>
      <tp t="s">
        <v>#N/A N/A</v>
        <stp/>
        <stp>BDH|14071528198212175181</stp>
        <tr r="H41" s="2"/>
      </tp>
      <tp t="s">
        <v>#N/A N/A</v>
        <stp/>
        <stp>BDH|17163520155598521418</stp>
        <tr r="AK31" s="2"/>
      </tp>
      <tp t="s">
        <v>#N/A N/A</v>
        <stp/>
        <stp>BDH|11707282415101046885</stp>
        <tr r="M13" s="2"/>
      </tp>
      <tp t="s">
        <v>#N/A N/A</v>
        <stp/>
        <stp>BDH|18387921336110718929</stp>
        <tr r="J48" s="2"/>
      </tp>
      <tp t="s">
        <v>#N/A N/A</v>
        <stp/>
        <stp>BDH|11307530473428095066</stp>
        <tr r="Z34" s="2"/>
      </tp>
      <tp t="s">
        <v>#N/A N/A</v>
        <stp/>
        <stp>BDH|18344009606131130210</stp>
        <tr r="AL15" s="2"/>
      </tp>
      <tp t="s">
        <v>#N/A N/A</v>
        <stp/>
        <stp>BDH|14234608013479030140</stp>
        <tr r="AG18" s="2"/>
      </tp>
      <tp t="s">
        <v>#N/A N/A</v>
        <stp/>
        <stp>BDH|11314160002668446362</stp>
        <tr r="U11" s="2"/>
      </tp>
      <tp t="s">
        <v>#N/A N/A</v>
        <stp/>
        <stp>BDH|11585947309202859140</stp>
        <tr r="AB49" s="2"/>
      </tp>
      <tp t="s">
        <v>#N/A N/A</v>
        <stp/>
        <stp>BDH|11549599869761045810</stp>
        <tr r="J65" s="2"/>
      </tp>
      <tp t="s">
        <v>#N/A N/A</v>
        <stp/>
        <stp>BDH|14777762948174505888</stp>
        <tr r="D35" s="2"/>
      </tp>
      <tp t="s">
        <v>#N/A N/A</v>
        <stp/>
        <stp>BDH|12358662080277319028</stp>
        <tr r="J37" s="2"/>
      </tp>
      <tp t="s">
        <v>#N/A N/A</v>
        <stp/>
        <stp>BDH|11475204412328358115</stp>
        <tr r="X63" s="2"/>
      </tp>
      <tp t="s">
        <v>#N/A N/A</v>
        <stp/>
        <stp>BDH|11405218694972322364</stp>
        <tr r="AO63" s="2"/>
      </tp>
      <tp t="s">
        <v>#N/A N/A</v>
        <stp/>
        <stp>BDH|12788144997136384731</stp>
        <tr r="Y56" s="2"/>
      </tp>
      <tp t="s">
        <v>#N/A N/A</v>
        <stp/>
        <stp>BDH|16449721995055012644</stp>
        <tr r="C43" s="2"/>
      </tp>
      <tp t="s">
        <v>#N/A N/A</v>
        <stp/>
        <stp>BDH|10676799499423090615</stp>
        <tr r="AF50" s="2"/>
      </tp>
      <tp t="s">
        <v>#N/A N/A</v>
        <stp/>
        <stp>BDH|10661374003898076059</stp>
        <tr r="AI37" s="2"/>
      </tp>
      <tp t="s">
        <v>#N/A N/A</v>
        <stp/>
        <stp>BDH|13882807700147819766</stp>
        <tr r="D16" s="2"/>
      </tp>
      <tp t="s">
        <v>#N/A N/A</v>
        <stp/>
        <stp>BDH|16506867034175494351</stp>
        <tr r="S34" s="2"/>
      </tp>
      <tp t="s">
        <v>#N/A N/A</v>
        <stp/>
        <stp>BDH|11622881986059924373</stp>
        <tr r="H9" s="2"/>
      </tp>
      <tp t="s">
        <v>#N/A N/A</v>
        <stp/>
        <stp>BDH|15736031050889184235</stp>
        <tr r="AG49" s="2"/>
      </tp>
      <tp t="s">
        <v>#N/A N/A</v>
        <stp/>
        <stp>BDH|14575423144829223680</stp>
        <tr r="AM47" s="2"/>
      </tp>
      <tp t="s">
        <v>#N/A N/A</v>
        <stp/>
        <stp>BDH|16872001359460015882</stp>
        <tr r="AF25" s="2"/>
      </tp>
      <tp t="s">
        <v>#N/A N/A</v>
        <stp/>
        <stp>BDH|12227265204413807814</stp>
        <tr r="U41" s="2"/>
      </tp>
      <tp t="s">
        <v>#N/A N/A</v>
        <stp/>
        <stp>BDH|16123351733614646999</stp>
        <tr r="T22" s="2"/>
      </tp>
      <tp t="s">
        <v>#N/A N/A</v>
        <stp/>
        <stp>BDH|15973999218894136215</stp>
        <tr r="K52" s="2"/>
      </tp>
      <tp t="s">
        <v>#N/A N/A</v>
        <stp/>
        <stp>BDH|15438319423378416791</stp>
        <tr r="AC21" s="2"/>
      </tp>
      <tp t="s">
        <v>#N/A N/A</v>
        <stp/>
        <stp>BDH|17357232186953970540</stp>
        <tr r="Q31" s="2"/>
      </tp>
      <tp t="s">
        <v>#N/A N/A</v>
        <stp/>
        <stp>BDH|11156020690214955714</stp>
        <tr r="J46" s="2"/>
      </tp>
      <tp t="s">
        <v>#N/A N/A</v>
        <stp/>
        <stp>BDH|18105234830633883103</stp>
        <tr r="L43" s="2"/>
      </tp>
      <tp t="s">
        <v>#N/A N/A</v>
        <stp/>
        <stp>BDH|12432190087939625961</stp>
        <tr r="R56" s="2"/>
      </tp>
      <tp t="s">
        <v>#N/A N/A</v>
        <stp/>
        <stp>BDH|11417959033336134691</stp>
        <tr r="V8" s="2"/>
      </tp>
      <tp t="s">
        <v>#N/A N/A</v>
        <stp/>
        <stp>BDH|17629644782811201380</stp>
        <tr r="AN35" s="2"/>
      </tp>
      <tp t="s">
        <v>#N/A N/A</v>
        <stp/>
        <stp>BDH|14092239439396336833</stp>
        <tr r="AH18" s="2"/>
      </tp>
      <tp t="s">
        <v>#N/A N/A</v>
        <stp/>
        <stp>BDH|12187598253239013014</stp>
        <tr r="AH68" s="2"/>
      </tp>
      <tp t="s">
        <v>#N/A N/A</v>
        <stp/>
        <stp>BDH|14291347793540935511</stp>
        <tr r="K66" s="2"/>
      </tp>
      <tp t="s">
        <v>#N/A N/A</v>
        <stp/>
        <stp>BDH|11516991220296579758</stp>
        <tr r="P56" s="2"/>
      </tp>
      <tp t="s">
        <v>#N/A N/A</v>
        <stp/>
        <stp>BDH|17329887287008431445</stp>
        <tr r="W26" s="2"/>
      </tp>
      <tp t="s">
        <v>#N/A N/A</v>
        <stp/>
        <stp>BDH|15755865671243871242</stp>
        <tr r="AL36" s="2"/>
      </tp>
      <tp t="s">
        <v>#N/A N/A</v>
        <stp/>
        <stp>BDH|14517194955092678936</stp>
        <tr r="Y13" s="2"/>
      </tp>
      <tp t="s">
        <v>#N/A N/A</v>
        <stp/>
        <stp>BDH|14014107263471917967</stp>
        <tr r="F35" s="2"/>
      </tp>
      <tp t="s">
        <v>#N/A N/A</v>
        <stp/>
        <stp>BDH|16401816518371186535</stp>
        <tr r="AM36" s="2"/>
      </tp>
      <tp t="s">
        <v>#N/A N/A</v>
        <stp/>
        <stp>BDH|11066941029223111223</stp>
        <tr r="N15" s="2"/>
      </tp>
      <tp t="s">
        <v>#N/A N/A</v>
        <stp/>
        <stp>BDH|12976509580523397746</stp>
        <tr r="AE63" s="2"/>
      </tp>
      <tp t="s">
        <v>#N/A N/A</v>
        <stp/>
        <stp>BDH|15090869412484766029</stp>
        <tr r="AD41" s="2"/>
      </tp>
      <tp t="s">
        <v>#N/A N/A</v>
        <stp/>
        <stp>BDH|13421531228458967461</stp>
        <tr r="S67" s="2"/>
      </tp>
      <tp t="s">
        <v>#N/A N/A</v>
        <stp/>
        <stp>BDH|18415027333307174442</stp>
        <tr r="AD45" s="2"/>
      </tp>
      <tp t="s">
        <v>#N/A N/A</v>
        <stp/>
        <stp>BDH|17338274895914682073</stp>
        <tr r="AK18" s="2"/>
      </tp>
      <tp t="s">
        <v>#N/A N/A</v>
        <stp/>
        <stp>BDH|18384454307490765451</stp>
        <tr r="S48" s="2"/>
      </tp>
      <tp t="s">
        <v>#N/A N/A</v>
        <stp/>
        <stp>BDH|15512138898804838156</stp>
        <tr r="W44" s="2"/>
      </tp>
      <tp t="s">
        <v>#N/A N/A</v>
        <stp/>
        <stp>BDH|13681404418807952958</stp>
        <tr r="AJ65" s="2"/>
      </tp>
      <tp t="s">
        <v>#N/A N/A</v>
        <stp/>
        <stp>BDH|12305765481957704211</stp>
        <tr r="E63" s="2"/>
      </tp>
      <tp t="s">
        <v>#N/A N/A</v>
        <stp/>
        <stp>BDH|14675946098969963512</stp>
        <tr r="AN30" s="2"/>
      </tp>
      <tp t="s">
        <v>#N/A N/A</v>
        <stp/>
        <stp>BDH|13178895132219950916</stp>
        <tr r="AF57" s="2"/>
      </tp>
      <tp t="s">
        <v>#N/A N/A</v>
        <stp/>
        <stp>BDH|16575341174123543923</stp>
        <tr r="E36" s="2"/>
      </tp>
      <tp t="s">
        <v>#N/A N/A</v>
        <stp/>
        <stp>BDH|10610578796767541372</stp>
        <tr r="AI40" s="2"/>
      </tp>
      <tp t="s">
        <v>#N/A N/A</v>
        <stp/>
        <stp>BDH|11036868633465853784</stp>
        <tr r="Q65" s="2"/>
      </tp>
      <tp t="s">
        <v>#N/A N/A</v>
        <stp/>
        <stp>BDH|11417503505149293566</stp>
        <tr r="O44" s="2"/>
      </tp>
      <tp t="s">
        <v>#N/A N/A</v>
        <stp/>
        <stp>BDH|12245951047611213672</stp>
        <tr r="Q9" s="2"/>
      </tp>
      <tp t="s">
        <v>#N/A N/A</v>
        <stp/>
        <stp>BDH|14490357734489094506</stp>
        <tr r="E29" s="2"/>
      </tp>
      <tp t="s">
        <v>#N/A N/A</v>
        <stp/>
        <stp>BDH|11116794701619421785</stp>
        <tr r="AD63" s="2"/>
      </tp>
      <tp t="s">
        <v>#N/A N/A</v>
        <stp/>
        <stp>BDH|14586908730430171617</stp>
        <tr r="Y45" s="2"/>
      </tp>
      <tp t="s">
        <v>#N/A N/A</v>
        <stp/>
        <stp>BDH|18311391032287495788</stp>
        <tr r="K54" s="2"/>
      </tp>
      <tp t="s">
        <v>#N/A N/A</v>
        <stp/>
        <stp>BDH|13270854323019431843</stp>
        <tr r="H31" s="2"/>
      </tp>
      <tp t="s">
        <v>#N/A N/A</v>
        <stp/>
        <stp>BDH|18363707033094673024</stp>
        <tr r="AB16" s="2"/>
      </tp>
      <tp t="s">
        <v>#N/A N/A</v>
        <stp/>
        <stp>BDH|14056623554689528670</stp>
        <tr r="C30" s="2"/>
      </tp>
      <tp t="s">
        <v>#N/A N/A</v>
        <stp/>
        <stp>BDH|17647778790554305569</stp>
        <tr r="O27" s="2"/>
      </tp>
      <tp t="s">
        <v>#N/A N/A</v>
        <stp/>
        <stp>BDH|11188839646366617364</stp>
        <tr r="H40" s="2"/>
      </tp>
      <tp t="s">
        <v>#N/A N/A</v>
        <stp/>
        <stp>BDH|15682966044922918290</stp>
        <tr r="K30" s="2"/>
      </tp>
      <tp t="s">
        <v>#N/A N/A</v>
        <stp/>
        <stp>BDH|13598787345960516892</stp>
        <tr r="O16" s="2"/>
      </tp>
      <tp t="s">
        <v>#N/A N/A</v>
        <stp/>
        <stp>BDH|16858983200287729032</stp>
        <tr r="W14" s="2"/>
      </tp>
      <tp t="s">
        <v>#N/A N/A</v>
        <stp/>
        <stp>BDH|15533372884480715669</stp>
        <tr r="E9" s="2"/>
      </tp>
      <tp t="e">
        <v>#N/A</v>
        <stp/>
        <stp>BDH|17468293703104847910</stp>
        <tr r="AG61" s="2"/>
      </tp>
      <tp t="s">
        <v>#N/A N/A</v>
        <stp/>
        <stp>BDH|17754824063641304038</stp>
        <tr r="AL10" s="2"/>
      </tp>
      <tp t="s">
        <v>#N/A N/A</v>
        <stp/>
        <stp>BDH|14462043003575472919</stp>
        <tr r="M65" s="2"/>
      </tp>
      <tp t="s">
        <v>#N/A N/A</v>
        <stp/>
        <stp>BDH|13709381140254967804</stp>
        <tr r="K31" s="2"/>
      </tp>
      <tp t="s">
        <v>#N/A N/A</v>
        <stp/>
        <stp>BDH|15696645762298320558</stp>
        <tr r="AK33" s="2"/>
      </tp>
      <tp t="s">
        <v>#N/A N/A</v>
        <stp/>
        <stp>BDH|14254140179149038367</stp>
        <tr r="AN50" s="2"/>
      </tp>
      <tp t="s">
        <v>#N/A N/A</v>
        <stp/>
        <stp>BDH|11131970229381668315</stp>
        <tr r="X35" s="2"/>
      </tp>
      <tp t="s">
        <v>#N/A N/A</v>
        <stp/>
        <stp>BDH|11927353094580716377</stp>
        <tr r="AB65" s="2"/>
      </tp>
      <tp t="e">
        <v>#N/A</v>
        <stp/>
        <stp>BDH|16976215681101282539</stp>
        <tr r="E60" s="2"/>
      </tp>
      <tp t="s">
        <v>#N/A N/A</v>
        <stp/>
        <stp>BDH|17169122882776154087</stp>
        <tr r="Y40" s="2"/>
      </tp>
      <tp t="s">
        <v>#N/A N/A</v>
        <stp/>
        <stp>BDH|12985563627969960493</stp>
        <tr r="AB40" s="2"/>
      </tp>
      <tp t="s">
        <v>#N/A N/A</v>
        <stp/>
        <stp>BDH|15988255634615202911</stp>
        <tr r="AB18" s="2"/>
      </tp>
      <tp t="s">
        <v>#N/A N/A</v>
        <stp/>
        <stp>BDH|16132649095947875638</stp>
        <tr r="V44" s="2"/>
      </tp>
      <tp t="s">
        <v>#N/A N/A</v>
        <stp/>
        <stp>BDH|16365383682201160432</stp>
        <tr r="G21" s="2"/>
      </tp>
      <tp t="s">
        <v>#N/A N/A</v>
        <stp/>
        <stp>BDH|11027393023459253136</stp>
        <tr r="Z31" s="2"/>
      </tp>
      <tp t="s">
        <v>#N/A N/A</v>
        <stp/>
        <stp>BDH|10428121288118199920</stp>
        <tr r="AM50" s="2"/>
      </tp>
      <tp t="s">
        <v>#N/A N/A</v>
        <stp/>
        <stp>BDH|11215911825511830338</stp>
        <tr r="AO62" s="2"/>
      </tp>
      <tp t="s">
        <v>#N/A N/A</v>
        <stp/>
        <stp>BDH|13260721180004407090</stp>
        <tr r="AF27" s="2"/>
      </tp>
      <tp t="s">
        <v>#N/A N/A</v>
        <stp/>
        <stp>BDH|10041377104592720991</stp>
        <tr r="E50" s="2"/>
      </tp>
      <tp t="s">
        <v>#N/A N/A</v>
        <stp/>
        <stp>BDH|13405088541059992695</stp>
        <tr r="AL32" s="2"/>
      </tp>
      <tp t="s">
        <v>#N/A N/A</v>
        <stp/>
        <stp>BDH|14390441188350091030</stp>
        <tr r="D34" s="2"/>
      </tp>
      <tp t="s">
        <v>#N/A N/A</v>
        <stp/>
        <stp>BDH|15404499812448117014</stp>
        <tr r="AC9" s="2"/>
      </tp>
      <tp t="s">
        <v>#N/A N/A</v>
        <stp/>
        <stp>BDH|13279990354315617266</stp>
        <tr r="AL8" s="2"/>
      </tp>
      <tp t="s">
        <v>#N/A N/A</v>
        <stp/>
        <stp>BDH|12262951622886387794</stp>
        <tr r="G12" s="2"/>
      </tp>
      <tp t="s">
        <v>#N/A N/A</v>
        <stp/>
        <stp>BDH|10867362801558548357</stp>
        <tr r="R21" s="2"/>
      </tp>
      <tp t="s">
        <v>#N/A N/A</v>
        <stp/>
        <stp>BDH|14958709896790952287</stp>
        <tr r="M45" s="2"/>
      </tp>
      <tp t="s">
        <v>#N/A N/A</v>
        <stp/>
        <stp>BDH|18079793346103175005</stp>
        <tr r="X68" s="2"/>
      </tp>
      <tp t="s">
        <v>#N/A N/A</v>
        <stp/>
        <stp>BDH|13377886322176181694</stp>
        <tr r="Q50" s="2"/>
      </tp>
      <tp t="s">
        <v>#N/A N/A</v>
        <stp/>
        <stp>BDH|13150957596413317905</stp>
        <tr r="V42" s="2"/>
      </tp>
      <tp t="s">
        <v>#N/A N/A</v>
        <stp/>
        <stp>BDH|10145701862411260900</stp>
        <tr r="AB14" s="2"/>
      </tp>
      <tp t="s">
        <v>#N/A N/A</v>
        <stp/>
        <stp>BDH|16692234134936465844</stp>
        <tr r="M68" s="2"/>
      </tp>
      <tp t="s">
        <v>#N/A N/A</v>
        <stp/>
        <stp>BDH|12646886603114573787</stp>
        <tr r="AJ52" s="2"/>
      </tp>
      <tp t="s">
        <v>#N/A N/A</v>
        <stp/>
        <stp>BDH|11652370755786113852</stp>
        <tr r="S64" s="2"/>
      </tp>
      <tp t="s">
        <v>#N/A N/A</v>
        <stp/>
        <stp>BDH|16620972060237922780</stp>
        <tr r="Y64" s="2"/>
      </tp>
      <tp t="s">
        <v>#N/A N/A</v>
        <stp/>
        <stp>BDH|11076263396761469242</stp>
        <tr r="AN66" s="2"/>
      </tp>
      <tp t="s">
        <v>#N/A N/A</v>
        <stp/>
        <stp>BDH|14793738233771457808</stp>
        <tr r="AC68" s="2"/>
      </tp>
      <tp t="s">
        <v>#N/A N/A</v>
        <stp/>
        <stp>BDH|12816213566547486887</stp>
        <tr r="AI68" s="2"/>
      </tp>
      <tp t="s">
        <v>#N/A N/A</v>
        <stp/>
        <stp>BDH|14231098787041678491</stp>
        <tr r="O66" s="2"/>
      </tp>
      <tp t="s">
        <v>#N/A N/A</v>
        <stp/>
        <stp>BDH|13860031351866983905</stp>
        <tr r="AK45" s="2"/>
      </tp>
      <tp t="s">
        <v>#N/A N/A</v>
        <stp/>
        <stp>BDH|17537975621324563145</stp>
        <tr r="AJ57" s="2"/>
      </tp>
      <tp t="s">
        <v>#N/A N/A</v>
        <stp/>
        <stp>BDH|15168076188427950322</stp>
        <tr r="U14" s="2"/>
      </tp>
      <tp t="s">
        <v>#N/A N/A</v>
        <stp/>
        <stp>BDH|16485918057475139679</stp>
        <tr r="X15" s="2"/>
      </tp>
      <tp t="s">
        <v>#N/A N/A</v>
        <stp/>
        <stp>BDH|17416301011918427459</stp>
        <tr r="AC47" s="2"/>
      </tp>
      <tp t="s">
        <v>#N/A N/A</v>
        <stp/>
        <stp>BDH|11294643023278890493</stp>
        <tr r="AL18" s="2"/>
      </tp>
      <tp t="s">
        <v>#N/A N/A</v>
        <stp/>
        <stp>BDH|14248844746428626917</stp>
        <tr r="Q68" s="2"/>
      </tp>
      <tp t="s">
        <v>#N/A N/A</v>
        <stp/>
        <stp>BDH|11277009797739762858</stp>
        <tr r="D65" s="2"/>
      </tp>
      <tp t="s">
        <v>#N/A N/A</v>
        <stp/>
        <stp>BDH|11882767768858283138</stp>
        <tr r="Y12" s="2"/>
      </tp>
      <tp t="s">
        <v>#N/A N/A</v>
        <stp/>
        <stp>BDH|10005366725209668124</stp>
        <tr r="E12" s="2"/>
      </tp>
      <tp t="s">
        <v>#N/A N/A</v>
        <stp/>
        <stp>BDH|15860542729449229204</stp>
        <tr r="AE25" s="2"/>
      </tp>
      <tp t="s">
        <v>#N/A N/A</v>
        <stp/>
        <stp>BDH|18189465922077431071</stp>
        <tr r="N16" s="2"/>
      </tp>
      <tp t="e">
        <v>#N/A</v>
        <stp/>
        <stp>BDH|17278236763322718830</stp>
        <tr r="V61" s="2"/>
      </tp>
      <tp t="s">
        <v>#N/A N/A</v>
        <stp/>
        <stp>BDH|14835607193775291703</stp>
        <tr r="M23" s="2"/>
      </tp>
      <tp t="s">
        <v>#N/A N/A</v>
        <stp/>
        <stp>BDH|15521398269311963857</stp>
        <tr r="N34" s="2"/>
      </tp>
      <tp t="s">
        <v>#N/A N/A</v>
        <stp/>
        <stp>BDH|12005412985797924048</stp>
        <tr r="AG63" s="2"/>
      </tp>
      <tp t="s">
        <v>#N/A N/A</v>
        <stp/>
        <stp>BDH|12880737424068478626</stp>
        <tr r="AD24" s="2"/>
      </tp>
      <tp t="s">
        <v>#N/A N/A</v>
        <stp/>
        <stp>BDH|18217988220513077936</stp>
        <tr r="Z25" s="2"/>
      </tp>
      <tp t="s">
        <v>#N/A N/A</v>
        <stp/>
        <stp>BDH|12161992930056760761</stp>
        <tr r="AJ33" s="2"/>
      </tp>
      <tp t="s">
        <v>#N/A N/A</v>
        <stp/>
        <stp>BDH|13036145587604857724</stp>
        <tr r="Q26" s="2"/>
      </tp>
      <tp t="s">
        <v>#N/A N/A</v>
        <stp/>
        <stp>BDH|12898429956368602220</stp>
        <tr r="H17" s="2"/>
      </tp>
      <tp t="s">
        <v>#N/A N/A</v>
        <stp/>
        <stp>BDH|18384642719877051166</stp>
        <tr r="S50" s="2"/>
      </tp>
      <tp t="s">
        <v>#N/A N/A</v>
        <stp/>
        <stp>BDH|10435658568010925989</stp>
        <tr r="Z65" s="2"/>
      </tp>
      <tp t="s">
        <v>#N/A N/A</v>
        <stp/>
        <stp>BDH|12425931238588767907</stp>
        <tr r="AI45" s="2"/>
      </tp>
      <tp t="s">
        <v>#N/A N/A</v>
        <stp/>
        <stp>BDH|16850274317694692853</stp>
        <tr r="J42" s="2"/>
      </tp>
      <tp t="s">
        <v>#N/A N/A</v>
        <stp/>
        <stp>BDH|18332351401877564586</stp>
        <tr r="J15" s="2"/>
      </tp>
      <tp t="s">
        <v>#N/A N/A</v>
        <stp/>
        <stp>BDH|10022908143766008292</stp>
        <tr r="U56" s="2"/>
      </tp>
      <tp t="s">
        <v>#N/A N/A</v>
        <stp/>
        <stp>BDH|17813057187933718501</stp>
        <tr r="D56" s="2"/>
      </tp>
      <tp t="s">
        <v>#N/A N/A</v>
        <stp/>
        <stp>BDH|17640350369923719800</stp>
        <tr r="N49" s="2"/>
      </tp>
      <tp t="s">
        <v>#N/A N/A</v>
        <stp/>
        <stp>BDH|14052011689361636438</stp>
        <tr r="L68" s="2"/>
      </tp>
      <tp t="s">
        <v>#N/A N/A</v>
        <stp/>
        <stp>BDH|10260830769393341460</stp>
        <tr r="V63" s="2"/>
      </tp>
      <tp t="s">
        <v>#N/A N/A</v>
        <stp/>
        <stp>BDH|11566884401160617072</stp>
        <tr r="K40" s="2"/>
      </tp>
      <tp t="s">
        <v>#N/A N/A</v>
        <stp/>
        <stp>BDH|13051879445001850760</stp>
        <tr r="R16" s="2"/>
      </tp>
      <tp t="s">
        <v>#N/A N/A</v>
        <stp/>
        <stp>BDH|10957541747011785913</stp>
        <tr r="AL52" s="2"/>
      </tp>
      <tp t="s">
        <v>#N/A N/A</v>
        <stp/>
        <stp>BDH|11594070986759960914</stp>
        <tr r="V56" s="2"/>
      </tp>
      <tp t="s">
        <v>#N/A N/A</v>
        <stp/>
        <stp>BDH|15540267974291010881</stp>
        <tr r="D21" s="2"/>
      </tp>
      <tp t="s">
        <v>#N/A N/A</v>
        <stp/>
        <stp>BDH|13905969973794135028</stp>
        <tr r="AG8" s="2"/>
      </tp>
      <tp t="s">
        <v>#N/A N/A</v>
        <stp/>
        <stp>BDH|16512517818343779858</stp>
        <tr r="X36" s="2"/>
      </tp>
      <tp t="s">
        <v>#N/A N/A</v>
        <stp/>
        <stp>BDH|10137561377342772999</stp>
        <tr r="AG62" s="2"/>
      </tp>
      <tp t="s">
        <v>#N/A N/A</v>
        <stp/>
        <stp>BDH|11933978463530373709</stp>
        <tr r="G15" s="2"/>
      </tp>
      <tp t="s">
        <v>#N/A N/A</v>
        <stp/>
        <stp>BDH|15860826433000713705</stp>
        <tr r="AG13" s="2"/>
      </tp>
      <tp t="s">
        <v>#N/A N/A</v>
        <stp/>
        <stp>BDH|18164638253786722372</stp>
        <tr r="I63" s="2"/>
      </tp>
      <tp t="s">
        <v>#N/A N/A</v>
        <stp/>
        <stp>BDH|14600343419290394883</stp>
        <tr r="AI34" s="2"/>
      </tp>
      <tp t="s">
        <v>#N/A N/A</v>
        <stp/>
        <stp>BDH|10916639402149122193</stp>
        <tr r="T33" s="2"/>
      </tp>
      <tp t="s">
        <v>#N/A N/A</v>
        <stp/>
        <stp>BDH|11783933501166647031</stp>
        <tr r="AN33" s="2"/>
      </tp>
      <tp t="s">
        <v>#N/A N/A</v>
        <stp/>
        <stp>BDH|12175015713155743874</stp>
        <tr r="L23" s="2"/>
      </tp>
      <tp t="s">
        <v>#N/A N/A</v>
        <stp/>
        <stp>BDH|10165957761623245243</stp>
        <tr r="T8" s="2"/>
      </tp>
      <tp t="s">
        <v>#N/A N/A</v>
        <stp/>
        <stp>BDH|11908070699370560612</stp>
        <tr r="AI64" s="2"/>
      </tp>
      <tp t="s">
        <v>#N/A N/A</v>
        <stp/>
        <stp>BDH|12461836550767437601</stp>
        <tr r="R24" s="2"/>
      </tp>
      <tp t="s">
        <v>#N/A N/A</v>
        <stp/>
        <stp>BDH|12616134112174527809</stp>
        <tr r="I54" s="2"/>
      </tp>
      <tp t="s">
        <v>#N/A N/A</v>
        <stp/>
        <stp>BDH|14676369732839868383</stp>
        <tr r="Q66" s="2"/>
      </tp>
      <tp t="s">
        <v>#N/A N/A</v>
        <stp/>
        <stp>BDH|11462730911181107855</stp>
        <tr r="C8" s="2"/>
      </tp>
      <tp t="s">
        <v>#N/A N/A</v>
        <stp/>
        <stp>BDH|10167197643159806210</stp>
        <tr r="AN34" s="2"/>
      </tp>
      <tp t="e">
        <v>#N/A</v>
        <stp/>
        <stp>BDH|10223136990526422074</stp>
        <tr r="S60" s="2"/>
      </tp>
      <tp t="s">
        <v>#N/A N/A</v>
        <stp/>
        <stp>BDH|13578620221831456871</stp>
        <tr r="O63" s="2"/>
      </tp>
      <tp t="s">
        <v>#N/A N/A</v>
        <stp/>
        <stp>BDH|18244123634485999188</stp>
        <tr r="Q43" s="2"/>
      </tp>
      <tp t="s">
        <v>#N/A N/A</v>
        <stp/>
        <stp>BDH|11943812753004996666</stp>
        <tr r="AI21" s="2"/>
      </tp>
      <tp t="s">
        <v>#N/A N/A</v>
        <stp/>
        <stp>BDH|16278858663555532351</stp>
        <tr r="D33" s="2"/>
      </tp>
      <tp t="s">
        <v>#N/A N/A</v>
        <stp/>
        <stp>BDH|10607676794269092812</stp>
        <tr r="AF43" s="2"/>
      </tp>
      <tp t="s">
        <v>#N/A N/A</v>
        <stp/>
        <stp>BDH|11541829847471357271</stp>
        <tr r="T13" s="2"/>
      </tp>
      <tp t="s">
        <v>#N/A N/A</v>
        <stp/>
        <stp>BDH|18108405316094074735</stp>
        <tr r="I47" s="2"/>
      </tp>
      <tp t="s">
        <v>#N/A N/A</v>
        <stp/>
        <stp>BDH|16929949796349877179</stp>
        <tr r="M11" s="2"/>
      </tp>
      <tp t="s">
        <v>#N/A N/A</v>
        <stp/>
        <stp>BDH|11838982827381003537</stp>
        <tr r="AD33" s="2"/>
      </tp>
      <tp t="s">
        <v>#N/A N/A</v>
        <stp/>
        <stp>BDH|12352294382691837776</stp>
        <tr r="O65" s="2"/>
      </tp>
      <tp t="s">
        <v>#N/A N/A</v>
        <stp/>
        <stp>BDH|13881490961849446636</stp>
        <tr r="AC64" s="2"/>
      </tp>
      <tp t="s">
        <v>#N/A N/A</v>
        <stp/>
        <stp>BDH|16535273652776535926</stp>
        <tr r="F21" s="2"/>
      </tp>
      <tp t="s">
        <v>#N/A N/A</v>
        <stp/>
        <stp>BDH|13735912353320520176</stp>
        <tr r="D52" s="2"/>
      </tp>
      <tp t="s">
        <v>#N/A N/A</v>
        <stp/>
        <stp>BDH|14897946930167363792</stp>
        <tr r="AA33" s="2"/>
      </tp>
      <tp t="s">
        <v>#N/A N/A</v>
        <stp/>
        <stp>BDH|10174723889767918650</stp>
        <tr r="W68" s="2"/>
      </tp>
      <tp t="s">
        <v>#N/A N/A</v>
        <stp/>
        <stp>BDH|16124767913659142733</stp>
        <tr r="U12" s="2"/>
      </tp>
      <tp t="s">
        <v>#N/A N/A</v>
        <stp/>
        <stp>BDH|18398438699412946982</stp>
        <tr r="J54" s="2"/>
      </tp>
      <tp t="s">
        <v>#N/A N/A</v>
        <stp/>
        <stp>BDH|17656716773698542193</stp>
        <tr r="H21" s="2"/>
      </tp>
      <tp t="s">
        <v>#N/A N/A</v>
        <stp/>
        <stp>BDH|16694097294317603662</stp>
        <tr r="R29" s="2"/>
      </tp>
      <tp t="s">
        <v>#N/A N/A</v>
        <stp/>
        <stp>BDH|16118951619588617809</stp>
        <tr r="J43" s="2"/>
      </tp>
      <tp t="s">
        <v>#N/A N/A</v>
        <stp/>
        <stp>BDH|10910110152588573247</stp>
        <tr r="C44" s="2"/>
      </tp>
      <tp t="s">
        <v>#N/A N/A</v>
        <stp/>
        <stp>BDH|13630170585313688780</stp>
        <tr r="X25" s="2"/>
      </tp>
      <tp t="s">
        <v>#N/A N/A</v>
        <stp/>
        <stp>BDH|14262457798386594107</stp>
        <tr r="R37" s="2"/>
      </tp>
      <tp t="s">
        <v>#N/A N/A</v>
        <stp/>
        <stp>BDH|17865448705605048830</stp>
        <tr r="AN46" s="2"/>
      </tp>
      <tp t="s">
        <v>#N/A N/A</v>
        <stp/>
        <stp>BDH|15113307910508378181</stp>
        <tr r="Q27" s="2"/>
      </tp>
      <tp t="s">
        <v>#N/A N/A</v>
        <stp/>
        <stp>BDH|12246313168741062868</stp>
        <tr r="AB62" s="2"/>
      </tp>
      <tp t="s">
        <v>#N/A N/A</v>
        <stp/>
        <stp>BDH|10961569486802484115</stp>
        <tr r="H56" s="2"/>
      </tp>
      <tp t="s">
        <v>#N/A N/A</v>
        <stp/>
        <stp>BDH|12412985984745304877</stp>
        <tr r="AE27" s="2"/>
      </tp>
      <tp t="s">
        <v>#N/A N/A</v>
        <stp/>
        <stp>BDH|18089127548995041659</stp>
        <tr r="AK14" s="2"/>
      </tp>
      <tp t="s">
        <v>#N/A N/A</v>
        <stp/>
        <stp>BDH|14677329772237832910</stp>
        <tr r="C46" s="2"/>
      </tp>
      <tp t="s">
        <v>#N/A N/A</v>
        <stp/>
        <stp>BDH|13482597335072098972</stp>
        <tr r="M54" s="2"/>
      </tp>
      <tp t="s">
        <v>#N/A N/A</v>
        <stp/>
        <stp>BDH|15658981010397034406</stp>
        <tr r="AM37" s="2"/>
      </tp>
      <tp t="s">
        <v>#N/A N/A</v>
        <stp/>
        <stp>BDH|13873155788547819332</stp>
        <tr r="AD34" s="2"/>
      </tp>
      <tp t="s">
        <v>#N/A N/A</v>
        <stp/>
        <stp>BDH|12227379901209040751</stp>
        <tr r="AK62" s="2"/>
      </tp>
      <tp t="s">
        <v>#N/A N/A</v>
        <stp/>
        <stp>BDH|17079802265127115154</stp>
        <tr r="C50" s="2"/>
      </tp>
      <tp t="s">
        <v>#N/A N/A</v>
        <stp/>
        <stp>BDH|17677342055077222942</stp>
        <tr r="F33" s="2"/>
      </tp>
      <tp t="s">
        <v>#N/A N/A</v>
        <stp/>
        <stp>BDH|14667262906329001073</stp>
        <tr r="Z41" s="2"/>
      </tp>
      <tp t="s">
        <v>#N/A N/A</v>
        <stp/>
        <stp>BDH|13939560999109588931</stp>
        <tr r="AM67" s="2"/>
      </tp>
      <tp t="s">
        <v>#N/A N/A</v>
        <stp/>
        <stp>BDH|14475899676943232798</stp>
        <tr r="P9" s="2"/>
      </tp>
      <tp t="s">
        <v>#N/A N/A</v>
        <stp/>
        <stp>BDH|10241714792902202338</stp>
        <tr r="X41" s="2"/>
      </tp>
      <tp t="s">
        <v>#N/A N/A</v>
        <stp/>
        <stp>BDH|17801375417819156399</stp>
        <tr r="O13" s="2"/>
      </tp>
      <tp t="e">
        <v>#N/A</v>
        <stp/>
        <stp>BDH|16722207845207532874</stp>
        <tr r="H60" s="2"/>
      </tp>
      <tp t="s">
        <v>#N/A N/A</v>
        <stp/>
        <stp>BDH|13252878059018557998</stp>
        <tr r="X45" s="2"/>
      </tp>
      <tp t="s">
        <v>#N/A N/A</v>
        <stp/>
        <stp>BDH|15763164452679571766</stp>
        <tr r="P45" s="2"/>
      </tp>
      <tp t="s">
        <v>#N/A N/A</v>
        <stp/>
        <stp>BDH|15882987241223336415</stp>
        <tr r="O21" s="2"/>
      </tp>
      <tp t="s">
        <v>#N/A N/A</v>
        <stp/>
        <stp>BDH|14236725684472791603</stp>
        <tr r="M41" s="2"/>
      </tp>
      <tp t="s">
        <v>#N/A N/A</v>
        <stp/>
        <stp>BDH|11361961172091326176</stp>
        <tr r="AH30" s="2"/>
      </tp>
      <tp t="s">
        <v>#N/A N/A</v>
        <stp/>
        <stp>BDH|14013527980242745461</stp>
        <tr r="P40" s="2"/>
      </tp>
      <tp t="s">
        <v>#N/A N/A</v>
        <stp/>
        <stp>BDH|14823155973819366487</stp>
        <tr r="T41" s="2"/>
      </tp>
      <tp t="s">
        <v>#N/A N/A</v>
        <stp/>
        <stp>BDH|10279803188957684898</stp>
        <tr r="AB46" s="2"/>
      </tp>
      <tp t="s">
        <v>#N/A N/A</v>
        <stp/>
        <stp>BDH|11435830346370676220</stp>
        <tr r="J11" s="2"/>
      </tp>
      <tp t="e">
        <v>#N/A</v>
        <stp/>
        <stp>BDH|13259490851255757899</stp>
        <tr r="AM61" s="2"/>
      </tp>
      <tp t="s">
        <v>#N/A N/A</v>
        <stp/>
        <stp>BDH|13590384839679295528</stp>
        <tr r="G47" s="2"/>
      </tp>
      <tp t="s">
        <v>#N/A N/A</v>
        <stp/>
        <stp>BDH|16743950160817241144</stp>
        <tr r="W12" s="2"/>
      </tp>
      <tp t="s">
        <v>#N/A N/A</v>
        <stp/>
        <stp>BDH|13737960309691889448</stp>
        <tr r="AN44" s="2"/>
      </tp>
      <tp t="s">
        <v>#N/A N/A</v>
        <stp/>
        <stp>BDH|10458352842508537018</stp>
        <tr r="AI47" s="2"/>
      </tp>
      <tp t="s">
        <v>#N/A N/A</v>
        <stp/>
        <stp>BDH|11843309933709857740</stp>
        <tr r="X33" s="2"/>
      </tp>
      <tp t="s">
        <v>#N/A N/A</v>
        <stp/>
        <stp>BDH|13833340775098629081</stp>
        <tr r="AF67" s="2"/>
      </tp>
      <tp t="s">
        <v>#N/A N/A</v>
        <stp/>
        <stp>BDH|12036937840194749436</stp>
        <tr r="AJ63" s="2"/>
      </tp>
      <tp t="s">
        <v>#N/A N/A</v>
        <stp/>
        <stp>BDH|15835218184991275182</stp>
        <tr r="AL34" s="2"/>
      </tp>
      <tp t="s">
        <v>#N/A N/A</v>
        <stp/>
        <stp>BDH|17524971621415511610</stp>
        <tr r="L9" s="2"/>
      </tp>
      <tp t="s">
        <v>#N/A N/A</v>
        <stp/>
        <stp>BDH|16182280595304805620</stp>
        <tr r="G56" s="2"/>
      </tp>
      <tp t="s">
        <v>#N/A N/A</v>
        <stp/>
        <stp>BDH|15922871269014989082</stp>
        <tr r="S21" s="2"/>
      </tp>
      <tp t="s">
        <v>#N/A N/A</v>
        <stp/>
        <stp>BDH|12655911754958026957</stp>
        <tr r="Q64" s="2"/>
      </tp>
      <tp t="s">
        <v>#N/A N/A</v>
        <stp/>
        <stp>BDH|14573070970444201861</stp>
        <tr r="N9" s="2"/>
      </tp>
      <tp t="s">
        <v>#N/A N/A</v>
        <stp/>
        <stp>BDH|13783925735974096294</stp>
        <tr r="M8" s="2"/>
      </tp>
      <tp t="s">
        <v>#N/A N/A</v>
        <stp/>
        <stp>BDH|10322554999833326054</stp>
        <tr r="AG43" s="2"/>
      </tp>
      <tp t="s">
        <v>#N/A N/A</v>
        <stp/>
        <stp>BDH|14525622780731883468</stp>
        <tr r="AC26" s="2"/>
      </tp>
      <tp t="s">
        <v>#N/A N/A</v>
        <stp/>
        <stp>BDH|17847441002554454827</stp>
        <tr r="AJ48" s="2"/>
      </tp>
      <tp t="s">
        <v>#N/A N/A</v>
        <stp/>
        <stp>BDH|17159589256279583126</stp>
        <tr r="AA34" s="2"/>
      </tp>
      <tp t="s">
        <v>#N/A N/A</v>
        <stp/>
        <stp>BDH|15832154481622655123</stp>
        <tr r="T64" s="2"/>
      </tp>
      <tp t="s">
        <v>#N/A N/A</v>
        <stp/>
        <stp>BDH|18371702933350956316</stp>
        <tr r="AE43" s="2"/>
      </tp>
      <tp t="s">
        <v>#N/A N/A</v>
        <stp/>
        <stp>BDH|10798951108943298532</stp>
        <tr r="AC16" s="2"/>
      </tp>
      <tp t="s">
        <v>#N/A N/A</v>
        <stp/>
        <stp>BDH|12566831472217745583</stp>
        <tr r="AE49" s="2"/>
      </tp>
      <tp t="s">
        <v>#N/A N/A</v>
        <stp/>
        <stp>BDH|17928770400356666930</stp>
        <tr r="P23" s="2"/>
      </tp>
      <tp t="s">
        <v>#N/A N/A</v>
        <stp/>
        <stp>BDH|16154023619171297939</stp>
        <tr r="AH10" s="2"/>
      </tp>
      <tp t="s">
        <v>#N/A N/A</v>
        <stp/>
        <stp>BDH|17135985826127020441</stp>
        <tr r="AG21" s="2"/>
      </tp>
      <tp t="s">
        <v>#N/A N/A</v>
        <stp/>
        <stp>BDH|14407595505059392717</stp>
        <tr r="AC35" s="2"/>
      </tp>
      <tp t="s">
        <v>#N/A N/A</v>
        <stp/>
        <stp>BDH|14956904827934129458</stp>
        <tr r="C68" s="2"/>
      </tp>
      <tp t="s">
        <v>#N/A N/A</v>
        <stp/>
        <stp>BDH|16126837053891243598</stp>
        <tr r="Z46" s="2"/>
      </tp>
      <tp t="s">
        <v>#N/A N/A</v>
        <stp/>
        <stp>BDH|10767914579195402469</stp>
        <tr r="AA68" s="2"/>
      </tp>
      <tp t="s">
        <v>#N/A N/A</v>
        <stp/>
        <stp>BDH|17768369974268045484</stp>
        <tr r="S41" s="2"/>
      </tp>
      <tp t="s">
        <v>#N/A N/A</v>
        <stp/>
        <stp>BDH|18142750819996958798</stp>
        <tr r="F24" s="2"/>
      </tp>
      <tp t="s">
        <v>#N/A N/A</v>
        <stp/>
        <stp>BDH|17029751482467297089</stp>
        <tr r="W47" s="2"/>
      </tp>
      <tp t="s">
        <v>#N/A N/A</v>
        <stp/>
        <stp>BDH|17233204118428393351</stp>
        <tr r="U31" s="2"/>
      </tp>
      <tp t="s">
        <v>#N/A N/A</v>
        <stp/>
        <stp>BDH|11756199382463597461</stp>
        <tr r="V37" s="2"/>
      </tp>
      <tp t="s">
        <v>#N/A N/A</v>
        <stp/>
        <stp>BDH|11409205716885993841</stp>
        <tr r="K35" s="2"/>
      </tp>
      <tp t="s">
        <v>#N/A N/A</v>
        <stp/>
        <stp>BDH|18004028029534628137</stp>
        <tr r="AN9" s="2"/>
      </tp>
      <tp t="s">
        <v>#N/A N/A</v>
        <stp/>
        <stp>BDH|11972850252504875789</stp>
        <tr r="P29" s="2"/>
      </tp>
      <tp t="s">
        <v>#N/A N/A</v>
        <stp/>
        <stp>BDH|12829804962086553511</stp>
        <tr r="AE16" s="2"/>
      </tp>
      <tp t="s">
        <v>#N/A N/A</v>
        <stp/>
        <stp>BDH|16861725972111264840</stp>
        <tr r="O18" s="2"/>
      </tp>
      <tp t="s">
        <v>#N/A N/A</v>
        <stp/>
        <stp>BDH|17500809124193154216</stp>
        <tr r="V67" s="2"/>
      </tp>
      <tp t="s">
        <v>#N/A N/A</v>
        <stp/>
        <stp>BDH|17256283798318397806</stp>
        <tr r="AN52" s="2"/>
      </tp>
      <tp t="s">
        <v>#N/A N/A</v>
        <stp/>
        <stp>BDH|18276370461576037758</stp>
        <tr r="AJ17" s="2"/>
      </tp>
      <tp t="s">
        <v>#N/A N/A</v>
        <stp/>
        <stp>BDH|17475192474889014483</stp>
        <tr r="K24" s="2"/>
      </tp>
      <tp t="s">
        <v>#N/A N/A</v>
        <stp/>
        <stp>BDH|10077051047530092834</stp>
        <tr r="T45" s="2"/>
      </tp>
      <tp t="s">
        <v>#N/A N/A</v>
        <stp/>
        <stp>BDH|16201155782477763439</stp>
        <tr r="C33" s="2"/>
      </tp>
      <tp t="s">
        <v>#N/A N/A</v>
        <stp/>
        <stp>BDH|16825210217339837073</stp>
        <tr r="F7" s="2"/>
      </tp>
      <tp t="s">
        <v>#N/A N/A</v>
        <stp/>
        <stp>BDH|18321312542181453253</stp>
        <tr r="E47" s="2"/>
      </tp>
      <tp t="s">
        <v>#N/A N/A</v>
        <stp/>
        <stp>BDH|11439244634019219572</stp>
        <tr r="T21" s="2"/>
      </tp>
      <tp t="s">
        <v>#N/A N/A</v>
        <stp/>
        <stp>BDH|17799590180562800461</stp>
        <tr r="AN31" s="2"/>
      </tp>
      <tp t="s">
        <v>#N/A N/A</v>
        <stp/>
        <stp>BDH|10042660888471848365</stp>
        <tr r="AA15" s="2"/>
      </tp>
      <tp t="s">
        <v>#N/A N/A</v>
        <stp/>
        <stp>BDH|11521775621648556065</stp>
        <tr r="M14" s="2"/>
      </tp>
      <tp t="s">
        <v>#N/A N/A</v>
        <stp/>
        <stp>BDH|18016343053504023675</stp>
        <tr r="G42" s="2"/>
      </tp>
      <tp t="e">
        <v>#N/A</v>
        <stp/>
        <stp>BDH|14288230303392456868</stp>
        <tr r="N60" s="2"/>
      </tp>
      <tp t="s">
        <v>#N/A N/A</v>
        <stp/>
        <stp>BDH|15446563641540089803</stp>
        <tr r="AP44" s="2"/>
      </tp>
      <tp t="s">
        <v>#N/A N/A</v>
        <stp/>
        <stp>BDH|15089202101489678247</stp>
        <tr r="I34" s="2"/>
      </tp>
      <tp t="s">
        <v>#N/A N/A</v>
        <stp/>
        <stp>BDH|18177261683456429836</stp>
        <tr r="W18" s="2"/>
      </tp>
      <tp t="s">
        <v>#N/A N/A</v>
        <stp/>
        <stp>BDH|11865615081175354683</stp>
        <tr r="AJ67" s="2"/>
      </tp>
      <tp t="s">
        <v>#N/A N/A</v>
        <stp/>
        <stp>BDH|12679598585464138794</stp>
        <tr r="AI49" s="2"/>
      </tp>
      <tp t="s">
        <v>#N/A N/A</v>
        <stp/>
        <stp>BDH|16635744941719221031</stp>
        <tr r="Z17" s="2"/>
      </tp>
      <tp t="s">
        <v>#N/A N/A</v>
        <stp/>
        <stp>BDH|14289568998201638581</stp>
        <tr r="X31" s="2"/>
      </tp>
      <tp t="s">
        <v>#N/A N/A</v>
        <stp/>
        <stp>BDH|13076592734741702887</stp>
        <tr r="AM66" s="2"/>
      </tp>
      <tp t="s">
        <v>#N/A N/A</v>
        <stp/>
        <stp>BDH|18003751631374531449</stp>
        <tr r="N44" s="2"/>
      </tp>
      <tp t="s">
        <v>#N/A N/A</v>
        <stp/>
        <stp>BDH|15333569629666121882</stp>
        <tr r="AI10" s="2"/>
      </tp>
      <tp t="s">
        <v>#N/A N/A</v>
        <stp/>
        <stp>BDH|10262312284334566373</stp>
        <tr r="L49" s="2"/>
      </tp>
      <tp t="s">
        <v>#N/A N/A</v>
        <stp/>
        <stp>BDH|18017917491916781223</stp>
        <tr r="V66" s="2"/>
      </tp>
      <tp t="s">
        <v>#N/A N/A</v>
        <stp/>
        <stp>BDH|12910498412652234944</stp>
        <tr r="AC62" s="2"/>
      </tp>
      <tp t="s">
        <v>#N/A N/A</v>
        <stp/>
        <stp>BDH|15960888830881782321</stp>
        <tr r="G54" s="2"/>
      </tp>
      <tp t="s">
        <v>#N/A N/A</v>
        <stp/>
        <stp>BDH|12531841009350419680</stp>
        <tr r="K25" s="2"/>
      </tp>
      <tp t="s">
        <v>#N/A N/A</v>
        <stp/>
        <stp>BDH|15167429882264491113</stp>
        <tr r="AN28" s="2"/>
      </tp>
      <tp t="s">
        <v>#N/A N/A</v>
        <stp/>
        <stp>BDH|15033990018133434216</stp>
        <tr r="L24" s="2"/>
      </tp>
      <tp t="s">
        <v>#N/A N/A</v>
        <stp/>
        <stp>BDH|10224137222238332743</stp>
        <tr r="P65" s="2"/>
      </tp>
      <tp t="s">
        <v>#N/A N/A</v>
        <stp/>
        <stp>BDH|12196438591410423305</stp>
        <tr r="AJ18" s="2"/>
      </tp>
      <tp t="s">
        <v>#N/A N/A</v>
        <stp/>
        <stp>BDH|12385048494424104351</stp>
        <tr r="AJ26" s="2"/>
      </tp>
      <tp t="s">
        <v>#N/A N/A</v>
        <stp/>
        <stp>BDH|13757119757738036372</stp>
        <tr r="AD23" s="2"/>
      </tp>
      <tp t="s">
        <v>#N/A N/A</v>
        <stp/>
        <stp>BDH|12959232969248767222</stp>
        <tr r="X7" s="2"/>
      </tp>
      <tp t="s">
        <v>#N/A N/A</v>
        <stp/>
        <stp>BDH|12880713488470816103</stp>
        <tr r="AL54" s="2"/>
      </tp>
      <tp t="s">
        <v>#N/A N/A</v>
        <stp/>
        <stp>BDH|16815821103596671463</stp>
        <tr r="Z62" s="2"/>
      </tp>
      <tp t="s">
        <v>#N/A N/A</v>
        <stp/>
        <stp>BDH|10418991142072612307</stp>
        <tr r="X49" s="2"/>
      </tp>
      <tp t="s">
        <v>#N/A N/A</v>
        <stp/>
        <stp>BDH|12731806814570938735</stp>
        <tr r="AG65" s="2"/>
      </tp>
      <tp t="s">
        <v>#N/A N/A</v>
        <stp/>
        <stp>BDH|15855028889728890938</stp>
        <tr r="Z21" s="2"/>
      </tp>
      <tp t="s">
        <v>#N/A N/A</v>
        <stp/>
        <stp>BDH|11651987869463488185</stp>
        <tr r="AP28" s="2"/>
      </tp>
      <tp t="s">
        <v>#N/A N/A</v>
        <stp/>
        <stp>BDH|10218029932448013796</stp>
        <tr r="R27" s="2"/>
      </tp>
      <tp t="s">
        <v>#N/A N/A</v>
        <stp/>
        <stp>BDH|12917630095914291565</stp>
        <tr r="L35" s="2"/>
      </tp>
      <tp t="s">
        <v>#N/A N/A</v>
        <stp/>
        <stp>BDH|17669137715219890250</stp>
        <tr r="W42" s="2"/>
      </tp>
      <tp t="s">
        <v>#N/A N/A</v>
        <stp/>
        <stp>BDH|17760169654507930817</stp>
        <tr r="Z68" s="2"/>
      </tp>
      <tp t="s">
        <v>#N/A N/A</v>
        <stp/>
        <stp>BDH|13343791047785097907</stp>
        <tr r="P37" s="2"/>
      </tp>
      <tp t="s">
        <v>#N/A N/A</v>
        <stp/>
        <stp>BDH|17908639134828378615</stp>
        <tr r="N33" s="2"/>
      </tp>
      <tp t="s">
        <v>#N/A N/A</v>
        <stp/>
        <stp>BDH|13917489982802691198</stp>
        <tr r="M36" s="2"/>
      </tp>
      <tp t="s">
        <v>#N/A N/A</v>
        <stp/>
        <stp>BDH|15890010039928952254</stp>
        <tr r="AN40" s="2"/>
      </tp>
      <tp t="s">
        <v>#N/A N/A</v>
        <stp/>
        <stp>BDH|11544484174788688639</stp>
        <tr r="I30" s="2"/>
      </tp>
      <tp t="s">
        <v>#N/A N/A</v>
        <stp/>
        <stp>BDH|18308659955604441381</stp>
        <tr r="E49" s="2"/>
      </tp>
      <tp t="s">
        <v>#N/A N/A</v>
        <stp/>
        <stp>BDH|12953954922893073616</stp>
        <tr r="K48" s="2"/>
      </tp>
      <tp t="s">
        <v>#N/A N/A</v>
        <stp/>
        <stp>BDH|11922529294531494048</stp>
        <tr r="F63" s="2"/>
      </tp>
      <tp t="e">
        <v>#N/A</v>
        <stp/>
        <stp>BDH|12788042248793641929</stp>
        <tr r="AH61" s="2"/>
      </tp>
      <tp t="s">
        <v>#N/A N/A</v>
        <stp/>
        <stp>BDH|17701842396489216399</stp>
        <tr r="AH8" s="2"/>
      </tp>
      <tp t="s">
        <v>#N/A N/A</v>
        <stp/>
        <stp>BDH|16549099684544537638</stp>
        <tr r="AK17" s="2"/>
      </tp>
      <tp t="s">
        <v>#N/A N/A</v>
        <stp/>
        <stp>BDH|16976935543871651619</stp>
        <tr r="P64" s="2"/>
      </tp>
      <tp t="s">
        <v>#N/A N/A</v>
        <stp/>
        <stp>BDH|16959622443089988004</stp>
        <tr r="Y46" s="2"/>
      </tp>
      <tp t="s">
        <v>#N/A N/A</v>
        <stp/>
        <stp>BDH|18008268717211676764</stp>
        <tr r="AJ42" s="2"/>
      </tp>
      <tp t="s">
        <v>#N/A N/A</v>
        <stp/>
        <stp>BDH|14943744519906211970</stp>
        <tr r="AF15" s="2"/>
      </tp>
      <tp t="s">
        <v>#N/A N/A</v>
        <stp/>
        <stp>BDH|17930699361199137316</stp>
        <tr r="AO48" s="2"/>
      </tp>
      <tp t="s">
        <v>#N/A N/A</v>
        <stp/>
        <stp>BDH|11673102401898588539</stp>
        <tr r="U29" s="2"/>
      </tp>
      <tp t="s">
        <v>#N/A N/A</v>
        <stp/>
        <stp>BDH|12458848882506795941</stp>
        <tr r="N7" s="2"/>
      </tp>
      <tp t="s">
        <v>#N/A N/A</v>
        <stp/>
        <stp>BDH|12280139631628836593</stp>
        <tr r="M52" s="2"/>
      </tp>
      <tp t="s">
        <v>#N/A N/A</v>
        <stp/>
        <stp>BDH|11481861515095599034</stp>
        <tr r="AG25" s="2"/>
      </tp>
      <tp t="s">
        <v>#N/A N/A</v>
        <stp/>
        <stp>BDH|13890384491710342425</stp>
        <tr r="AE56" s="2"/>
      </tp>
      <tp t="s">
        <v>#N/A N/A</v>
        <stp/>
        <stp>BDH|10166162427347589956</stp>
        <tr r="AH9" s="2"/>
      </tp>
      <tp t="s">
        <v>#N/A N/A</v>
        <stp/>
        <stp>BDH|14557570463979759366</stp>
        <tr r="AH43" s="2"/>
      </tp>
      <tp t="s">
        <v>#N/A N/A</v>
        <stp/>
        <stp>BDH|17458450405928766635</stp>
        <tr r="L31" s="2"/>
      </tp>
      <tp t="s">
        <v>#N/A N/A</v>
        <stp/>
        <stp>BDH|16538904337814789559</stp>
        <tr r="V43" s="2"/>
      </tp>
      <tp t="s">
        <v>#N/A N/A</v>
        <stp/>
        <stp>BDH|13268917781997614872</stp>
        <tr r="F66" s="2"/>
      </tp>
      <tp t="s">
        <v>#N/A N/A</v>
        <stp/>
        <stp>BDH|10083839791034419858</stp>
        <tr r="Y14" s="2"/>
      </tp>
      <tp t="e">
        <v>#N/A</v>
        <stp/>
        <stp>BDH|11150285960051246986</stp>
        <tr r="G61" s="2"/>
      </tp>
      <tp t="s">
        <v>#N/A N/A</v>
        <stp/>
        <stp>BDH|14326432151661113932</stp>
        <tr r="AO68" s="2"/>
      </tp>
      <tp t="s">
        <v>#N/A N/A</v>
        <stp/>
        <stp>BDH|14851923043351983524</stp>
        <tr r="Z56" s="2"/>
      </tp>
      <tp t="s">
        <v>#N/A N/A</v>
        <stp/>
        <stp>BDH|16855949477080856511</stp>
        <tr r="F43" s="2"/>
      </tp>
      <tp t="s">
        <v>#N/A N/A</v>
        <stp/>
        <stp>BDH|17816206771527280894</stp>
        <tr r="Y62" s="2"/>
      </tp>
      <tp t="e">
        <v>#N/A</v>
        <stp/>
        <stp>BDH|18089582818359072857</stp>
        <tr r="AO60" s="2"/>
      </tp>
      <tp t="s">
        <v>#N/A N/A</v>
        <stp/>
        <stp>BDH|10847011442839798095</stp>
        <tr r="T30" s="2"/>
      </tp>
      <tp t="s">
        <v>#N/A N/A</v>
        <stp/>
        <stp>BDH|13527414422079381115</stp>
        <tr r="Z16" s="2"/>
      </tp>
      <tp t="s">
        <v>#N/A N/A</v>
        <stp/>
        <stp>BDH|12882900088688709607</stp>
        <tr r="X46" s="2"/>
      </tp>
      <tp t="s">
        <v>#N/A N/A</v>
        <stp/>
        <stp>BDH|14221749314249029640</stp>
        <tr r="V57" s="2"/>
      </tp>
      <tp t="s">
        <v>#N/A N/A</v>
        <stp/>
        <stp>BDH|15081775653768607240</stp>
        <tr r="G31" s="2"/>
      </tp>
      <tp t="s">
        <v>#N/A N/A</v>
        <stp/>
        <stp>BDH|12242788001681808958</stp>
        <tr r="AM22" s="2"/>
      </tp>
      <tp t="s">
        <v>#N/A N/A</v>
        <stp/>
        <stp>BDH|14682929750535835041</stp>
        <tr r="L56" s="2"/>
      </tp>
      <tp t="s">
        <v>#N/A N/A</v>
        <stp/>
        <stp>BDH|10199206319326404848</stp>
        <tr r="AB47" s="2"/>
      </tp>
      <tp t="s">
        <v>#N/A N/A</v>
        <stp/>
        <stp>BDH|18069666664675825018</stp>
        <tr r="L32" s="2"/>
      </tp>
      <tp t="s">
        <v>#N/A N/A</v>
        <stp/>
        <stp>BDH|15056000294928727988</stp>
        <tr r="H23" s="2"/>
      </tp>
      <tp t="s">
        <v>#N/A N/A</v>
        <stp/>
        <stp>BDH|10230314695901839646</stp>
        <tr r="AK30" s="2"/>
      </tp>
      <tp t="s">
        <v>#N/A N/A</v>
        <stp/>
        <stp>BDH|11780113986606358395</stp>
        <tr r="AK26" s="2"/>
      </tp>
      <tp t="s">
        <v>#N/A N/A</v>
        <stp/>
        <stp>BDH|13891971048180547389</stp>
        <tr r="Z35" s="2"/>
      </tp>
      <tp t="s">
        <v>#N/A N/A</v>
        <stp/>
        <stp>BDH|13807384836828228697</stp>
        <tr r="P63" s="2"/>
      </tp>
      <tp t="s">
        <v>#N/A N/A</v>
        <stp/>
        <stp>BDH|15700430118945249839</stp>
        <tr r="W49" s="2"/>
      </tp>
      <tp t="s">
        <v>#N/A N/A</v>
        <stp/>
        <stp>BDH|10605128581415063193</stp>
        <tr r="AC33" s="2"/>
      </tp>
      <tp t="s">
        <v>#N/A N/A</v>
        <stp/>
        <stp>BDH|10076912625190963617</stp>
        <tr r="AL62" s="2"/>
      </tp>
      <tp t="e">
        <v>#N/A</v>
        <stp/>
        <stp>BDH|13882319361232459937</stp>
        <tr r="AD60" s="2"/>
      </tp>
      <tp t="s">
        <v>#N/A N/A</v>
        <stp/>
        <stp>BDH|13159907628343484635</stp>
        <tr r="AB17" s="2"/>
      </tp>
      <tp t="s">
        <v>#N/A N/A</v>
        <stp/>
        <stp>BDH|10680215959508690260</stp>
        <tr r="C26" s="2"/>
      </tp>
      <tp t="s">
        <v>#N/A N/A</v>
        <stp/>
        <stp>BDH|11473523112619316193</stp>
        <tr r="Y66" s="2"/>
      </tp>
      <tp t="s">
        <v>#N/A N/A</v>
        <stp/>
        <stp>BDH|18167381573152729332</stp>
        <tr r="AF17" s="2"/>
      </tp>
      <tp t="s">
        <v>#N/A N/A</v>
        <stp/>
        <stp>BDH|15250360957489434796</stp>
        <tr r="D25" s="2"/>
      </tp>
      <tp t="s">
        <v>#N/A N/A</v>
        <stp/>
        <stp>BDH|14601923688508166034</stp>
        <tr r="X50" s="2"/>
      </tp>
      <tp t="s">
        <v>#N/A N/A</v>
        <stp/>
        <stp>BDH|14119485121138099768</stp>
        <tr r="V10" s="2"/>
      </tp>
      <tp t="s">
        <v>#N/A N/A</v>
        <stp/>
        <stp>BDH|11700357950440647558</stp>
        <tr r="V32" s="2"/>
      </tp>
      <tp t="s">
        <v>#N/A N/A</v>
        <stp/>
        <stp>BDH|10119547365803501240</stp>
        <tr r="AC17" s="2"/>
      </tp>
      <tp t="s">
        <v>#N/A N/A</v>
        <stp/>
        <stp>BDH|16053214074923360273</stp>
        <tr r="AK24" s="2"/>
      </tp>
      <tp t="s">
        <v>#N/A N/A</v>
        <stp/>
        <stp>BDH|15495256810586892284</stp>
        <tr r="S37" s="2"/>
      </tp>
      <tp t="s">
        <v>#N/A N/A</v>
        <stp/>
        <stp>BDH|14785742413230962088</stp>
        <tr r="W56" s="2"/>
      </tp>
      <tp t="s">
        <v>#N/A N/A</v>
        <stp/>
        <stp>BDH|13834582850171080007</stp>
        <tr r="N18" s="2"/>
      </tp>
      <tp t="s">
        <v>#N/A N/A</v>
        <stp/>
        <stp>BDH|13237284938277200709</stp>
        <tr r="AO57" s="2"/>
      </tp>
      <tp t="s">
        <v>#N/A N/A</v>
        <stp/>
        <stp>BDH|17566023284718712540</stp>
        <tr r="D37" s="2"/>
      </tp>
      <tp t="s">
        <v>#N/A N/A</v>
        <stp/>
        <stp>BDH|12751373477360066475</stp>
        <tr r="W31" s="2"/>
      </tp>
      <tp t="s">
        <v>#N/A N/A</v>
        <stp/>
        <stp>BDH|16197020439937154084</stp>
        <tr r="O56" s="2"/>
      </tp>
      <tp t="s">
        <v>#N/A N/A</v>
        <stp/>
        <stp>BDH|15149936445548401202</stp>
        <tr r="AE67" s="2"/>
      </tp>
      <tp t="s">
        <v>#N/A N/A</v>
        <stp/>
        <stp>BDH|12751701718460982640</stp>
        <tr r="C40" s="2"/>
      </tp>
      <tp t="s">
        <v>#N/A N/A</v>
        <stp/>
        <stp>BDH|14527021456904126724</stp>
        <tr r="T11" s="2"/>
      </tp>
      <tp t="s">
        <v>#N/A N/A</v>
        <stp/>
        <stp>BDH|18136462164660236836</stp>
        <tr r="I16" s="2"/>
      </tp>
      <tp t="s">
        <v>#N/A N/A</v>
        <stp/>
        <stp>BDH|15660908489973831554</stp>
        <tr r="H67" s="2"/>
      </tp>
      <tp t="s">
        <v>#N/A N/A</v>
        <stp/>
        <stp>BDH|15645290101093920651</stp>
        <tr r="N23" s="2"/>
      </tp>
      <tp t="s">
        <v>#N/A N/A</v>
        <stp/>
        <stp>BDH|11499543434816411326</stp>
        <tr r="AO67" s="2"/>
      </tp>
      <tp t="s">
        <v>#N/A N/A</v>
        <stp/>
        <stp>BDH|14865135116062632495</stp>
        <tr r="P7" s="2"/>
      </tp>
      <tp t="s">
        <v>#N/A N/A</v>
        <stp/>
        <stp>BDH|16914332855525550787</stp>
        <tr r="S24" s="2"/>
      </tp>
      <tp t="s">
        <v>#N/A N/A</v>
        <stp/>
        <stp>BDH|11730208714198669805</stp>
        <tr r="AC25" s="2"/>
      </tp>
      <tp t="s">
        <v>#N/A N/A</v>
        <stp/>
        <stp>BDH|18386607133778211771</stp>
        <tr r="AJ8" s="2"/>
      </tp>
      <tp t="s">
        <v>#N/A N/A</v>
        <stp/>
        <stp>BDH|15746205411481621555</stp>
        <tr r="U65" s="2"/>
      </tp>
      <tp t="s">
        <v>#N/A N/A</v>
        <stp/>
        <stp>BDH|15506232840771035037</stp>
        <tr r="AN10" s="2"/>
      </tp>
      <tp t="s">
        <v>#N/A N/A</v>
        <stp/>
        <stp>BDH|14468655333792650114</stp>
        <tr r="G27" s="2"/>
      </tp>
      <tp t="s">
        <v>#N/A N/A</v>
        <stp/>
        <stp>BDH|17846980900474278866</stp>
        <tr r="AC12" s="2"/>
      </tp>
      <tp t="s">
        <v>#N/A N/A</v>
        <stp/>
        <stp>BDH|12881268249101457772</stp>
        <tr r="AB36" s="2"/>
      </tp>
      <tp t="s">
        <v>#N/A N/A</v>
        <stp/>
        <stp>BDH|10160419464204225411</stp>
        <tr r="AC8" s="2"/>
      </tp>
      <tp t="s">
        <v>#N/A N/A</v>
        <stp/>
        <stp>BDH|14942688466243523550</stp>
        <tr r="AJ41" s="2"/>
      </tp>
      <tp t="s">
        <v>#N/A N/A</v>
        <stp/>
        <stp>BDH|13461866820519701226</stp>
        <tr r="H33" s="2"/>
      </tp>
      <tp t="s">
        <v>#N/A N/A</v>
        <stp/>
        <stp>BDH|18031938556925485368</stp>
        <tr r="D7" s="2"/>
      </tp>
      <tp t="s">
        <v>#N/A N/A</v>
        <stp/>
        <stp>BDH|12115340822393810285</stp>
        <tr r="AK13" s="2"/>
      </tp>
      <tp t="s">
        <v>#N/A N/A</v>
        <stp/>
        <stp>BDH|17571728454604574304</stp>
        <tr r="AC29" s="2"/>
      </tp>
      <tp t="s">
        <v>#N/A N/A</v>
        <stp/>
        <stp>BDH|12592382710700201290</stp>
        <tr r="Y63" s="2"/>
      </tp>
      <tp t="s">
        <v>#N/A N/A</v>
        <stp/>
        <stp>BDH|16292806981621326568</stp>
        <tr r="P17" s="2"/>
      </tp>
      <tp t="s">
        <v>#N/A N/A</v>
        <stp/>
        <stp>BDH|17836049909711063439</stp>
        <tr r="I65" s="2"/>
      </tp>
      <tp t="s">
        <v>#N/A N/A</v>
        <stp/>
        <stp>BDH|15658399992039382484</stp>
        <tr r="T49" s="2"/>
      </tp>
      <tp t="s">
        <v>#N/A N/A</v>
        <stp/>
        <stp>BDH|16188994751418940069</stp>
        <tr r="K50" s="2"/>
      </tp>
      <tp t="s">
        <v>#N/A N/A</v>
        <stp/>
        <stp>BDH|13119835037418005234</stp>
        <tr r="U10" s="2"/>
      </tp>
      <tp t="s">
        <v>#N/A N/A</v>
        <stp/>
        <stp>BDH|13701117239431919206</stp>
        <tr r="AB27" s="2"/>
      </tp>
      <tp t="s">
        <v>#N/A N/A</v>
        <stp/>
        <stp>BDH|17057178555674252597</stp>
        <tr r="AI42" s="2"/>
      </tp>
      <tp t="s">
        <v>#N/A N/A</v>
        <stp/>
        <stp>BDH|13305494213434491041</stp>
        <tr r="X24" s="2"/>
      </tp>
      <tp t="s">
        <v>#N/A N/A</v>
        <stp/>
        <stp>BDH|10664190537252513245</stp>
        <tr r="W13" s="2"/>
      </tp>
      <tp t="s">
        <v>#N/A N/A</v>
        <stp/>
        <stp>BDH|12659571639912206424</stp>
        <tr r="S35" s="2"/>
      </tp>
      <tp t="s">
        <v>#N/A N/A</v>
        <stp/>
        <stp>BDH|13518900693279820867</stp>
        <tr r="V12" s="2"/>
      </tp>
      <tp t="s">
        <v>#N/A N/A</v>
        <stp/>
        <stp>BDH|17184672019191076357</stp>
        <tr r="U64" s="2"/>
      </tp>
      <tp t="s">
        <v>#N/A N/A</v>
        <stp/>
        <stp>BDH|14900877710956633925</stp>
        <tr r="E56" s="2"/>
      </tp>
      <tp t="s">
        <v>#N/A N/A</v>
        <stp/>
        <stp>BDH|12087488111313300605</stp>
        <tr r="AO13" s="2"/>
      </tp>
      <tp t="s">
        <v>#N/A N/A</v>
        <stp/>
        <stp>BDH|13498500168446099419</stp>
        <tr r="N47" s="2"/>
      </tp>
      <tp t="s">
        <v>#N/A N/A</v>
        <stp/>
        <stp>BDH|13995165007902398260</stp>
        <tr r="AP50" s="2"/>
      </tp>
      <tp t="s">
        <v>#N/A N/A</v>
        <stp/>
        <stp>BDH|11295279749694861193</stp>
        <tr r="G11" s="2"/>
      </tp>
      <tp t="s">
        <v>#N/A N/A</v>
        <stp/>
        <stp>BDH|16695147819483586731</stp>
        <tr r="K62" s="2"/>
      </tp>
      <tp t="s">
        <v>#N/A N/A</v>
        <stp/>
        <stp>BDH|16900433854004147123</stp>
        <tr r="AD12" s="2"/>
      </tp>
      <tp t="s">
        <v>#N/A N/A</v>
        <stp/>
        <stp>BDH|14858200952950118176</stp>
        <tr r="S8" s="2"/>
      </tp>
      <tp t="s">
        <v>#N/A N/A</v>
        <stp/>
        <stp>BDH|16941187872434968668</stp>
        <tr r="AC15" s="2"/>
      </tp>
      <tp t="s">
        <v>#N/A N/A</v>
        <stp/>
        <stp>BDH|13962107150062254774</stp>
        <tr r="U48" s="2"/>
      </tp>
      <tp t="s">
        <v>#N/A N/A</v>
        <stp/>
        <stp>BDH|13456103737685641692</stp>
        <tr r="F12" s="2"/>
      </tp>
      <tp t="s">
        <v>#N/A N/A</v>
        <stp/>
        <stp>BDH|17238127006611998501</stp>
        <tr r="AN25" s="2"/>
      </tp>
      <tp t="s">
        <v>#N/A N/A</v>
        <stp/>
        <stp>BDH|17257664319522735052</stp>
        <tr r="AD14" s="2"/>
      </tp>
      <tp t="s">
        <v>#N/A N/A</v>
        <stp/>
        <stp>BDH|13566983142838164401</stp>
        <tr r="R42" s="2"/>
      </tp>
      <tp t="s">
        <v>#N/A N/A</v>
        <stp/>
        <stp>BDH|16435112337477558198</stp>
        <tr r="G22" s="2"/>
      </tp>
      <tp t="s">
        <v>#N/A N/A</v>
        <stp/>
        <stp>BDH|10146259206985539595</stp>
        <tr r="AO54" s="2"/>
      </tp>
      <tp t="s">
        <v>#N/A N/A</v>
        <stp/>
        <stp>BDH|14747974219336239857</stp>
        <tr r="D14" s="2"/>
      </tp>
      <tp t="s">
        <v>#N/A N/A</v>
        <stp/>
        <stp>BDH|15056270598258454457</stp>
        <tr r="AE35" s="2"/>
      </tp>
      <tp t="s">
        <v>#N/A N/A</v>
        <stp/>
        <stp>BDH|14132152762553075378</stp>
        <tr r="AC57" s="2"/>
      </tp>
      <tp t="s">
        <v>#N/A N/A</v>
        <stp/>
        <stp>BDH|14130475456941191708</stp>
        <tr r="C60" s="2"/>
      </tp>
      <tp t="e">
        <v>#N/A</v>
        <stp/>
        <stp>BDH|17560725950401414722</stp>
        <tr r="AM60" s="2"/>
      </tp>
      <tp t="s">
        <v>#N/A N/A</v>
        <stp/>
        <stp>BDH|15820200616401609488</stp>
        <tr r="T52" s="2"/>
      </tp>
      <tp t="s">
        <v>#N/A N/A</v>
        <stp/>
        <stp>BDH|13144401272245565665</stp>
        <tr r="AA49" s="2"/>
      </tp>
      <tp t="s">
        <v>#N/A N/A</v>
        <stp/>
        <stp>BDH|17043011942492008202</stp>
        <tr r="AA24" s="2"/>
      </tp>
      <tp t="s">
        <v>#N/A N/A</v>
        <stp/>
        <stp>BDH|10512611667522911194</stp>
        <tr r="X10" s="2"/>
      </tp>
      <tp t="s">
        <v>#N/A N/A</v>
        <stp/>
        <stp>BDH|16626505366377740145</stp>
        <tr r="J68" s="2"/>
      </tp>
      <tp t="s">
        <v>#N/A N/A</v>
        <stp/>
        <stp>BDH|12140166618090952146</stp>
        <tr r="W28" s="2"/>
      </tp>
      <tp t="e">
        <v>#N/A</v>
        <stp/>
        <stp>BDH|18390612667428431340</stp>
        <tr r="AO61" s="2"/>
      </tp>
      <tp t="s">
        <v>#N/A N/A</v>
        <stp/>
        <stp>BDH|17804041442579306986</stp>
        <tr r="H49" s="2"/>
      </tp>
      <tp t="s">
        <v>#N/A N/A</v>
        <stp/>
        <stp>BDH|15431775847634864193</stp>
        <tr r="H34" s="2"/>
      </tp>
      <tp t="s">
        <v>#N/A N/A</v>
        <stp/>
        <stp>BDH|16278706967460184406</stp>
        <tr r="AN48" s="2"/>
      </tp>
      <tp t="s">
        <v>#N/A N/A</v>
        <stp/>
        <stp>BDH|17375441399199384095</stp>
        <tr r="L27" s="2"/>
      </tp>
      <tp t="e">
        <v>#N/A</v>
        <stp/>
        <stp>BDH|12838759033250848524</stp>
        <tr r="AN60" s="2"/>
      </tp>
      <tp t="s">
        <v>#N/A N/A</v>
        <stp/>
        <stp>BDH|11272438023003245747</stp>
        <tr r="AE62" s="2"/>
      </tp>
      <tp t="e">
        <v>#N/A</v>
        <stp/>
        <stp>BDH|10740059648552700594</stp>
        <tr r="N61" s="2"/>
      </tp>
      <tp t="s">
        <v>#N/A N/A</v>
        <stp/>
        <stp>BDH|10333592533351693483</stp>
        <tr r="AJ11" s="2"/>
      </tp>
      <tp t="s">
        <v>#N/A N/A</v>
        <stp/>
        <stp>BDH|17517359065037793651</stp>
        <tr r="W11" s="2"/>
      </tp>
      <tp t="s">
        <v>#N/A N/A</v>
        <stp/>
        <stp>BDH|12677071541784323146</stp>
        <tr r="F56" s="2"/>
      </tp>
      <tp t="s">
        <v>#N/A N/A</v>
        <stp/>
        <stp>BDH|16064146448927378791</stp>
        <tr r="AK49" s="2"/>
      </tp>
      <tp t="s">
        <v>#N/A N/A</v>
        <stp/>
        <stp>BDH|15677359137707439166</stp>
        <tr r="AA47" s="2"/>
      </tp>
      <tp t="s">
        <v>#N/A N/A</v>
        <stp/>
        <stp>BDH|16325900195522262722</stp>
        <tr r="R26" s="2"/>
      </tp>
      <tp t="s">
        <v>#N/A N/A</v>
        <stp/>
        <stp>BDH|13376610035094836191</stp>
        <tr r="AO8" s="2"/>
      </tp>
      <tp t="s">
        <v>#N/A N/A</v>
        <stp/>
        <stp>BDH|15668527021550355104</stp>
        <tr r="E64" s="2"/>
      </tp>
      <tp t="s">
        <v>#N/A N/A</v>
        <stp/>
        <stp>BDH|12256086217974261499</stp>
        <tr r="L11" s="2"/>
      </tp>
      <tp t="s">
        <v>#N/A N/A</v>
        <stp/>
        <stp>BDH|14974360353416278779</stp>
        <tr r="J16" s="2"/>
      </tp>
      <tp t="s">
        <v>#N/A N/A</v>
        <stp/>
        <stp>BDH|12989435524430420738</stp>
        <tr r="Y11" s="2"/>
      </tp>
      <tp t="s">
        <v>#N/A N/A</v>
        <stp/>
        <stp>BDH|15933582074597853343</stp>
        <tr r="M18" s="2"/>
      </tp>
      <tp t="s">
        <v>#N/A N/A</v>
        <stp/>
        <stp>BDH|15895805080320971696</stp>
        <tr r="AO25" s="2"/>
      </tp>
      <tp t="s">
        <v>#N/A N/A</v>
        <stp/>
        <stp>BDH|17516527486361081890</stp>
        <tr r="F57" s="2"/>
      </tp>
      <tp t="s">
        <v>#N/A N/A</v>
        <stp/>
        <stp>BDH|15386351438983441528</stp>
        <tr r="L26" s="2"/>
      </tp>
      <tp t="s">
        <v>#N/A N/A</v>
        <stp/>
        <stp>BDH|15874026054230609301</stp>
        <tr r="V22" s="2"/>
      </tp>
      <tp t="s">
        <v>#N/A N/A</v>
        <stp/>
        <stp>BDH|17508091812794127175</stp>
        <tr r="AJ43" s="2"/>
      </tp>
      <tp t="s">
        <v>#N/A N/A</v>
        <stp/>
        <stp>BDH|17787625569545781134</stp>
        <tr r="AA32" s="2"/>
      </tp>
      <tp t="e">
        <v>#N/A</v>
        <stp/>
        <stp>BDH|13878839231293655873</stp>
        <tr r="AF60" s="2"/>
      </tp>
      <tp t="s">
        <v>#N/A N/A</v>
        <stp/>
        <stp>BDH|13840810712830830986</stp>
        <tr r="AL11" s="2"/>
      </tp>
      <tp t="s">
        <v>#N/A N/A</v>
        <stp/>
        <stp>BDH|13853668215397738075</stp>
        <tr r="H8" s="2"/>
      </tp>
      <tp t="s">
        <v>#N/A N/A</v>
        <stp/>
        <stp>BDH|16966468082160053966</stp>
        <tr r="AJ13" s="2"/>
      </tp>
      <tp t="s">
        <v>#N/A N/A</v>
        <stp/>
        <stp>BDH|17883122615305596110</stp>
        <tr r="V46" s="2"/>
      </tp>
      <tp t="s">
        <v>#N/A N/A</v>
        <stp/>
        <stp>BDH|17988427601429880994</stp>
        <tr r="E21" s="2"/>
      </tp>
      <tp t="s">
        <v>#N/A N/A</v>
        <stp/>
        <stp>BDH|17381113315981946553</stp>
        <tr r="Y50" s="2"/>
      </tp>
      <tp t="s">
        <v>#N/A N/A</v>
        <stp/>
        <stp>BDH|13967790017824423293</stp>
        <tr r="O50" s="2"/>
      </tp>
      <tp t="e">
        <v>#N/A</v>
        <stp/>
        <stp>BDH|17910452177922016515</stp>
        <tr r="K60" s="2"/>
      </tp>
      <tp t="e">
        <v>#N/A</v>
        <stp/>
        <stp>BDH|17805320253367123521</stp>
        <tr r="H61" s="2"/>
      </tp>
      <tp t="s">
        <v>#N/A N/A</v>
        <stp/>
        <stp>BDH|10139988913118007370</stp>
        <tr r="O25" s="2"/>
      </tp>
      <tp t="s">
        <v>#N/A N/A</v>
        <stp/>
        <stp>BDH|13983239136605731463</stp>
        <tr r="E18" s="2"/>
      </tp>
      <tp t="s">
        <v>#N/A N/A</v>
        <stp/>
        <stp>BDH|16098739776612194799</stp>
        <tr r="N42" s="2"/>
      </tp>
      <tp t="s">
        <v>#N/A N/A</v>
        <stp/>
        <stp>BDH|10921825072584373871</stp>
        <tr r="O49" s="2"/>
      </tp>
      <tp t="s">
        <v>#N/A N/A</v>
        <stp/>
        <stp>BDH|12867671720830445570</stp>
        <tr r="AD27" s="2"/>
      </tp>
      <tp t="s">
        <v>#N/A N/A</v>
        <stp/>
        <stp>BDH|10416186127417726704</stp>
        <tr r="H44" s="2"/>
      </tp>
      <tp t="s">
        <v>#N/A N/A</v>
        <stp/>
        <stp>BDH|15167666349057198300</stp>
        <tr r="D64" s="2"/>
      </tp>
      <tp t="s">
        <v>#N/A N/A</v>
        <stp/>
        <stp>BDH|14000791233902757121</stp>
        <tr r="AP46" s="2"/>
      </tp>
      <tp t="s">
        <v>#N/A N/A</v>
        <stp/>
        <stp>BDH|10595419080766943924</stp>
        <tr r="AE34" s="2"/>
      </tp>
      <tp t="s">
        <v>#N/A N/A</v>
        <stp/>
        <stp>BDH|13997054910383348211</stp>
        <tr r="AK43" s="2"/>
      </tp>
      <tp t="s">
        <v>#N/A N/A</v>
        <stp/>
        <stp>BDH|14526190054932551137</stp>
        <tr r="Z29" s="2"/>
      </tp>
      <tp t="s">
        <v>#N/A N/A</v>
        <stp/>
        <stp>BDH|17389298240931510316</stp>
        <tr r="AD47" s="2"/>
      </tp>
      <tp t="s">
        <v>#N/A N/A</v>
        <stp/>
        <stp>BDH|18116831068955154052</stp>
        <tr r="AL16" s="2"/>
      </tp>
      <tp t="s">
        <v>#N/A N/A</v>
        <stp/>
        <stp>BDH|16353190505926679279</stp>
        <tr r="S42" s="2"/>
      </tp>
      <tp t="s">
        <v>#N/A N/A</v>
        <stp/>
        <stp>BDH|11616695831325794184</stp>
        <tr r="I37" s="2"/>
      </tp>
      <tp t="s">
        <v>#N/A N/A</v>
        <stp/>
        <stp>BDH|16237318172491335336</stp>
        <tr r="AP43" s="2"/>
      </tp>
      <tp t="s">
        <v>#N/A N/A</v>
        <stp/>
        <stp>BDH|10580911647128462561</stp>
        <tr r="F25" s="2"/>
      </tp>
      <tp t="s">
        <v>#N/A N/A</v>
        <stp/>
        <stp>BDH|10617908890662097274</stp>
        <tr r="AM17" s="2"/>
      </tp>
      <tp t="s">
        <v>#N/A N/A</v>
        <stp/>
        <stp>BDH|17365122850323702076</stp>
        <tr r="AM29" s="2"/>
      </tp>
      <tp t="s">
        <v>#N/A N/A</v>
        <stp/>
        <stp>BDH|18214256742746208860</stp>
        <tr r="AO45" s="2"/>
      </tp>
      <tp t="s">
        <v>#N/A N/A</v>
        <stp/>
        <stp>BDH|10619294672061558488</stp>
        <tr r="L46" s="2"/>
      </tp>
      <tp t="s">
        <v>#N/A N/A</v>
        <stp/>
        <stp>BDH|16425287911585462094</stp>
        <tr r="H65" s="2"/>
      </tp>
      <tp t="s">
        <v>#N/A N/A</v>
        <stp/>
        <stp>BDH|15904294256127787518</stp>
        <tr r="AI14" s="2"/>
      </tp>
      <tp t="s">
        <v>#N/A N/A</v>
        <stp/>
        <stp>BDH|12402779952634354410</stp>
        <tr r="AF52" s="2"/>
      </tp>
      <tp t="s">
        <v>#N/A N/A</v>
        <stp/>
        <stp>BDH|11757228947800586740</stp>
        <tr r="L21" s="2"/>
      </tp>
      <tp t="s">
        <v>#N/A N/A</v>
        <stp/>
        <stp>BDH|16714508336237378719</stp>
        <tr r="AH49" s="2"/>
      </tp>
      <tp t="s">
        <v>#N/A N/A</v>
        <stp/>
        <stp>BDH|16117708154617057374</stp>
        <tr r="U18" s="2"/>
      </tp>
      <tp t="s">
        <v>#N/A N/A</v>
        <stp/>
        <stp>BDH|18221942940523308678</stp>
        <tr r="H28" s="2"/>
      </tp>
      <tp t="s">
        <v>#N/A N/A</v>
        <stp/>
        <stp>BDH|16512142138287298394</stp>
        <tr r="Q67" s="2"/>
      </tp>
      <tp t="s">
        <v>#N/A N/A</v>
        <stp/>
        <stp>BDH|16433234926423789533</stp>
        <tr r="AG12" s="2"/>
      </tp>
      <tp t="s">
        <v>#N/A N/A</v>
        <stp/>
        <stp>BDH|12119239907144454444</stp>
        <tr r="N29" s="2"/>
      </tp>
      <tp t="s">
        <v>#N/A N/A</v>
        <stp/>
        <stp>BDH|13361589875559803837</stp>
        <tr r="Q40" s="2"/>
      </tp>
      <tp t="s">
        <v>#N/A N/A</v>
        <stp/>
        <stp>BDH|10379305701217399445</stp>
        <tr r="AF18" s="2"/>
      </tp>
      <tp t="s">
        <v>#N/A N/A</v>
        <stp/>
        <stp>BDH|13532089221573020298</stp>
        <tr r="AE22" s="2"/>
      </tp>
      <tp t="s">
        <v>#N/A N/A</v>
        <stp/>
        <stp>BDH|16802290634771864684</stp>
        <tr r="AA52" s="2"/>
      </tp>
      <tp t="s">
        <v>#N/A N/A</v>
        <stp/>
        <stp>BDH|10034151614519193941</stp>
        <tr r="AC45" s="2"/>
      </tp>
      <tp t="s">
        <v>#N/A N/A</v>
        <stp/>
        <stp>BDH|14161672415921536220</stp>
        <tr r="AL50" s="2"/>
      </tp>
      <tp t="s">
        <v>#N/A N/A</v>
        <stp/>
        <stp>BDH|10929604511483569493</stp>
        <tr r="C34" s="2"/>
      </tp>
      <tp t="s">
        <v>#N/A N/A</v>
        <stp/>
        <stp>BDH|16470123910106101033</stp>
        <tr r="D9" s="2"/>
      </tp>
      <tp t="s">
        <v>#N/A N/A</v>
        <stp/>
        <stp>BDH|18241565711938448459</stp>
        <tr r="C49" s="2"/>
      </tp>
      <tp t="s">
        <v>#N/A N/A</v>
        <stp/>
        <stp>BDH|18178402817178496558</stp>
        <tr r="AO14" s="2"/>
      </tp>
      <tp t="s">
        <v>#N/A N/A</v>
        <stp/>
        <stp>BDH|18338848141722070606</stp>
        <tr r="AD28" s="2"/>
      </tp>
      <tp t="s">
        <v>#N/A N/A</v>
        <stp/>
        <stp>BDH|15331256110853669568</stp>
        <tr r="AE32" s="2"/>
      </tp>
      <tp t="s">
        <v>#N/A N/A</v>
        <stp/>
        <stp>BDH|10069982961718930763</stp>
        <tr r="J33" s="2"/>
      </tp>
      <tp t="s">
        <v>#N/A N/A</v>
        <stp/>
        <stp>BDH|16160523137028514875</stp>
        <tr r="T27" s="2"/>
      </tp>
      <tp t="s">
        <v>#N/A N/A</v>
        <stp/>
        <stp>BDH|16047532680682277972</stp>
        <tr r="AA56" s="2"/>
      </tp>
      <tp t="s">
        <v>#N/A N/A</v>
        <stp/>
        <stp>BDH|14413853528446911862</stp>
        <tr r="O35" s="2"/>
      </tp>
      <tp t="s">
        <v>#N/A N/A</v>
        <stp/>
        <stp>BDH|15825145870406224585</stp>
        <tr r="P41" s="2"/>
      </tp>
      <tp t="s">
        <v>#N/A N/A</v>
        <stp/>
        <stp>BDH|16929237702723644782</stp>
        <tr r="K18" s="2"/>
      </tp>
      <tp t="s">
        <v>#N/A N/A</v>
        <stp/>
        <stp>BDH|17402629138587538523</stp>
        <tr r="M21" s="2"/>
      </tp>
      <tp t="s">
        <v>#N/A N/A</v>
        <stp/>
        <stp>BDH|16451086304127541144</stp>
        <tr r="T14" s="2"/>
      </tp>
      <tp t="s">
        <v>#N/A N/A</v>
        <stp/>
        <stp>BDH|10875693482326966836</stp>
        <tr r="AP37" s="2"/>
      </tp>
      <tp t="s">
        <v>#N/A N/A</v>
        <stp/>
        <stp>BDH|11826255314666017404</stp>
        <tr r="AM42" s="2"/>
      </tp>
      <tp t="s">
        <v>#N/A N/A</v>
        <stp/>
        <stp>BDH|15658839014415124983</stp>
        <tr r="T54" s="2"/>
      </tp>
      <tp t="s">
        <v>#N/A N/A</v>
        <stp/>
        <stp>BDH|15562738770067887268</stp>
        <tr r="AB48" s="2"/>
      </tp>
      <tp t="s">
        <v>#N/A N/A</v>
        <stp/>
        <stp>BDH|11525953208040801880</stp>
        <tr r="AJ49" s="2"/>
      </tp>
      <tp t="s">
        <v>#N/A N/A</v>
        <stp/>
        <stp>BDH|12580364318970174022</stp>
        <tr r="AL14" s="2"/>
      </tp>
      <tp t="s">
        <v>#N/A N/A</v>
        <stp/>
        <stp>BDH|13261975994235127684</stp>
        <tr r="AO40" s="2"/>
      </tp>
      <tp t="s">
        <v>#N/A N/A</v>
        <stp/>
        <stp>BDH|14498860488730193432</stp>
        <tr r="L42" s="2"/>
      </tp>
      <tp t="s">
        <v>#N/A N/A</v>
        <stp/>
        <stp>BDH|15386535052361836415</stp>
        <tr r="D13" s="2"/>
      </tp>
      <tp t="s">
        <v>#N/A N/A</v>
        <stp/>
        <stp>BDH|15468686422301353069</stp>
        <tr r="M43" s="2"/>
      </tp>
      <tp t="s">
        <v>#N/A N/A</v>
        <stp/>
        <stp>BDH|16864859999673627496</stp>
        <tr r="AC50" s="2"/>
      </tp>
      <tp t="e">
        <v>#N/A</v>
        <stp/>
        <stp>BDH|17994748777827873092</stp>
        <tr r="J61" s="2"/>
      </tp>
      <tp t="s">
        <v>#N/A N/A</v>
        <stp/>
        <stp>BDH|13957780749695042529</stp>
        <tr r="AH40" s="2"/>
      </tp>
      <tp t="s">
        <v>#N/A N/A</v>
        <stp/>
        <stp>BDH|10093362789488161336</stp>
        <tr r="Q22" s="2"/>
      </tp>
      <tp t="s">
        <v>#N/A N/A</v>
        <stp/>
        <stp>BDH|14237781136170233036</stp>
        <tr r="AM7" s="2"/>
      </tp>
      <tp t="s">
        <v>#N/A N/A</v>
        <stp/>
        <stp>BDH|15311089966167760464</stp>
        <tr r="AA54" s="2"/>
      </tp>
      <tp t="s">
        <v>#N/A N/A</v>
        <stp/>
        <stp>BDH|16393605952333405690</stp>
        <tr r="L7" s="2"/>
      </tp>
      <tp t="s">
        <v>#N/A N/A</v>
        <stp/>
        <stp>BDH|15070381965681791166</stp>
        <tr r="AL12" s="2"/>
      </tp>
      <tp t="s">
        <v>#N/A N/A</v>
        <stp/>
        <stp>BDH|10357749017400589694</stp>
        <tr r="G50" s="2"/>
      </tp>
      <tp t="s">
        <v>#N/A N/A</v>
        <stp/>
        <stp>BDH|10220574655106782684</stp>
        <tr r="AN49" s="2"/>
      </tp>
      <tp t="s">
        <v>#N/A N/A</v>
        <stp/>
        <stp>BDH|10101670713824943336</stp>
        <tr r="AL31" s="2"/>
      </tp>
      <tp t="s">
        <v>#N/A N/A</v>
        <stp/>
        <stp>BDH|17994777758500021596</stp>
        <tr r="I62" s="2"/>
      </tp>
      <tp t="s">
        <v>#N/A N/A</v>
        <stp/>
        <stp>BDH|15026807231578682685</stp>
        <tr r="R32" s="2"/>
      </tp>
      <tp t="s">
        <v>#N/A N/A</v>
        <stp/>
        <stp>BDH|16599740511141815175</stp>
        <tr r="E25" s="2"/>
      </tp>
      <tp t="s">
        <v>#N/A N/A</v>
        <stp/>
        <stp>BDH|10132471378681606272</stp>
        <tr r="J31" s="2"/>
      </tp>
      <tp t="s">
        <v>#N/A N/A</v>
        <stp/>
        <stp>BDH|11842103211637471634</stp>
        <tr r="D18" s="2"/>
      </tp>
      <tp t="s">
        <v>#N/A N/A</v>
        <stp/>
        <stp>BDH|16177333733704083301</stp>
        <tr r="W16" s="2"/>
      </tp>
      <tp t="s">
        <v>#N/A N/A</v>
        <stp/>
        <stp>BDH|16600056931971436573</stp>
        <tr r="K47" s="2"/>
      </tp>
      <tp t="s">
        <v>#N/A N/A</v>
        <stp/>
        <stp>BDH|10893075341357654299</stp>
        <tr r="P26" s="2"/>
      </tp>
      <tp t="s">
        <v>#N/A N/A</v>
        <stp/>
        <stp>BDH|13057425282679153701</stp>
        <tr r="AL64" s="2"/>
      </tp>
      <tp t="s">
        <v>#N/A N/A</v>
        <stp/>
        <stp>BDH|14645122650077771621</stp>
        <tr r="W54" s="2"/>
      </tp>
      <tp t="s">
        <v>#N/A N/A</v>
        <stp/>
        <stp>BDH|17756541332580233026</stp>
        <tr r="AB8" s="2"/>
      </tp>
      <tp t="s">
        <v>#N/A N/A</v>
        <stp/>
        <stp>BDH|16774514158941711694</stp>
        <tr r="M67" s="2"/>
      </tp>
      <tp t="e">
        <v>#N/A</v>
        <stp/>
        <stp>BDH|12414649013861741549</stp>
        <tr r="AC60" s="2"/>
      </tp>
      <tp t="s">
        <v>#N/A N/A</v>
        <stp/>
        <stp>BDH|16443677317556004678</stp>
        <tr r="Q28" s="2"/>
      </tp>
      <tp t="s">
        <v>#N/A N/A</v>
        <stp/>
        <stp>BDH|17262409313931315215</stp>
        <tr r="V14" s="2"/>
      </tp>
      <tp t="s">
        <v>#N/A N/A</v>
        <stp/>
        <stp>BDH|12713903024508225024</stp>
        <tr r="T66" s="2"/>
      </tp>
      <tp t="s">
        <v>#N/A N/A</v>
        <stp/>
        <stp>BDH|16201024502486374121</stp>
        <tr r="L33" s="2"/>
      </tp>
      <tp t="s">
        <v>#N/A N/A</v>
        <stp/>
        <stp>BDH|11685532175935538764</stp>
        <tr r="AG44" s="2"/>
      </tp>
      <tp t="s">
        <v>#N/A N/A</v>
        <stp/>
        <stp>BDH|12497815540126679912</stp>
        <tr r="AF66" s="2"/>
      </tp>
      <tp t="s">
        <v>#N/A N/A</v>
        <stp/>
        <stp>BDH|14719646027856108777</stp>
        <tr r="AO31" s="2"/>
      </tp>
      <tp t="s">
        <v>#N/A N/A</v>
        <stp/>
        <stp>BDH|10934160030671433299</stp>
        <tr r="F14" s="2"/>
      </tp>
      <tp t="s">
        <v>#N/A N/A</v>
        <stp/>
        <stp>BDH|16480266658080871007</stp>
        <tr r="AC41" s="2"/>
      </tp>
      <tp t="s">
        <v>#N/A N/A</v>
        <stp/>
        <stp>BDH|13300439288067227985</stp>
        <tr r="L34" s="2"/>
      </tp>
      <tp t="s">
        <v>#N/A N/A</v>
        <stp/>
        <stp>BDH|14367063918476949260</stp>
        <tr r="F50" s="2"/>
      </tp>
      <tp t="s">
        <v>#N/A N/A</v>
        <stp/>
        <stp>BDH|11286117770786352052</stp>
        <tr r="G57" s="2"/>
      </tp>
      <tp t="s">
        <v>#N/A N/A</v>
        <stp/>
        <stp>BDH|14337486805448988927</stp>
        <tr r="P24" s="2"/>
      </tp>
      <tp t="s">
        <v>#N/A N/A</v>
        <stp/>
        <stp>BDH|11858188967142386517</stp>
        <tr r="F28" s="2"/>
      </tp>
      <tp t="s">
        <v>#N/A N/A</v>
        <stp/>
        <stp>BDH|16124225898899881560</stp>
        <tr r="AM30" s="2"/>
      </tp>
      <tp t="s">
        <v>#N/A N/A</v>
        <stp/>
        <stp>BDH|12592073294402724857</stp>
        <tr r="E27" s="2"/>
      </tp>
      <tp t="s">
        <v>#N/A N/A</v>
        <stp/>
        <stp>BDH|10276664792957623942</stp>
        <tr r="Q7" s="2"/>
      </tp>
      <tp t="s">
        <v>#N/A N/A</v>
        <stp/>
        <stp>BDH|13681260474795442242</stp>
        <tr r="AE42" s="2"/>
      </tp>
      <tp t="s">
        <v>#N/A N/A</v>
        <stp/>
        <stp>BDH|12043310861364684220</stp>
        <tr r="E42" s="2"/>
      </tp>
      <tp t="s">
        <v>#N/A N/A</v>
        <stp/>
        <stp>BDH|10874061062914906311</stp>
        <tr r="AK48" s="2"/>
      </tp>
      <tp t="s">
        <v>#N/A N/A</v>
        <stp/>
        <stp>BDH|11651897382105870514</stp>
        <tr r="AN37" s="2"/>
      </tp>
      <tp t="s">
        <v>#N/A N/A</v>
        <stp/>
        <stp>BDH|17244575650473689579</stp>
        <tr r="AG10" s="2"/>
      </tp>
      <tp t="s">
        <v>#N/A N/A</v>
        <stp/>
        <stp>BDH|15205086668041617303</stp>
        <tr r="AM56" s="2"/>
      </tp>
      <tp t="s">
        <v>#N/A N/A</v>
        <stp/>
        <stp>BDH|12555767010432200769</stp>
        <tr r="AE66" s="2"/>
      </tp>
      <tp t="s">
        <v>#N/A N/A</v>
        <stp/>
        <stp>BDH|17302640301972253232</stp>
        <tr r="Q49" s="2"/>
      </tp>
      <tp t="s">
        <v>#N/A N/A</v>
        <stp/>
        <stp>BDH|15386946497960601414</stp>
        <tr r="J25" s="2"/>
      </tp>
      <tp t="s">
        <v>#N/A N/A</v>
        <stp/>
        <stp>BDH|18277446461402415940</stp>
        <tr r="AN56" s="2"/>
      </tp>
      <tp t="s">
        <v>#N/A N/A</v>
        <stp/>
        <stp>BDH|13441570770980550006</stp>
        <tr r="AA21" s="2"/>
      </tp>
      <tp t="s">
        <v>#N/A N/A</v>
        <stp/>
        <stp>BDH|15112679331343458258</stp>
        <tr r="Y21" s="2"/>
      </tp>
      <tp t="s">
        <v>#N/A N/A</v>
        <stp/>
        <stp>BDH|15538457229492814077</stp>
        <tr r="J67" s="2"/>
      </tp>
      <tp t="s">
        <v>#N/A N/A</v>
        <stp/>
        <stp>BDH|15466597055113650781</stp>
        <tr r="AC27" s="2"/>
      </tp>
      <tp t="s">
        <v>#N/A N/A</v>
        <stp/>
        <stp>BDH|16213888284097677014</stp>
        <tr r="AF26" s="2"/>
      </tp>
      <tp t="e">
        <v>#N/A</v>
        <stp/>
        <stp>BDH|14235632528822629362</stp>
        <tr r="AI60" s="2"/>
      </tp>
      <tp t="s">
        <v>#N/A N/A</v>
        <stp/>
        <stp>BDH|11010695342875750751</stp>
        <tr r="AN21" s="2"/>
      </tp>
      <tp t="s">
        <v>#N/A N/A</v>
        <stp/>
        <stp>BDH|11530455409492288629</stp>
        <tr r="S33" s="2"/>
      </tp>
      <tp t="s">
        <v>#N/A N/A</v>
        <stp/>
        <stp>BDH|14858917235126533902</stp>
        <tr r="AM57" s="2"/>
      </tp>
      <tp t="e">
        <v>#N/A</v>
        <stp/>
        <stp>BDH|11142783237273724703</stp>
        <tr r="F60" s="2"/>
      </tp>
      <tp t="s">
        <v>#N/A N/A</v>
        <stp/>
        <stp>BDH|11148597056139311958</stp>
        <tr r="H32" s="2"/>
      </tp>
      <tp t="s">
        <v>#N/A N/A</v>
        <stp/>
        <stp>BDH|10864038840042750747</stp>
        <tr r="V16" s="2"/>
      </tp>
      <tp t="s">
        <v>#N/A N/A</v>
        <stp/>
        <stp>BDH|13937737081005230816</stp>
        <tr r="D42" s="2"/>
      </tp>
      <tp t="s">
        <v>#N/A N/A</v>
        <stp/>
        <stp>BDH|12141072038000247076</stp>
        <tr r="AP64" s="2"/>
      </tp>
      <tp t="s">
        <v>#N/A N/A</v>
        <stp/>
        <stp>BDH|16536245326951948647</stp>
        <tr r="M46" s="2"/>
      </tp>
      <tp t="s">
        <v>#N/A N/A</v>
        <stp/>
        <stp>BDH|13883869711993074859</stp>
        <tr r="W25" s="2"/>
      </tp>
      <tp t="s">
        <v>#N/A N/A</v>
        <stp/>
        <stp>BDH|10815505946351778149</stp>
        <tr r="L52" s="2"/>
      </tp>
      <tp t="s">
        <v>#N/A N/A</v>
        <stp/>
        <stp>BDH|10002557439202759568</stp>
        <tr r="X34" s="2"/>
      </tp>
      <tp t="s">
        <v>#N/A N/A</v>
        <stp/>
        <stp>BDH|12780329583909849130</stp>
        <tr r="AD52" s="2"/>
      </tp>
      <tp t="s">
        <v>#N/A N/A</v>
        <stp/>
        <stp>BDH|17588015474866533781</stp>
        <tr r="C63" s="2"/>
      </tp>
      <tp t="e">
        <v>#N/A</v>
        <stp/>
        <stp>BDH|12453917992493855025</stp>
        <tr r="V60" s="2"/>
      </tp>
      <tp t="s">
        <v>#N/A N/A</v>
        <stp/>
        <stp>BDH|17799192473620837097</stp>
        <tr r="AO52" s="2"/>
      </tp>
      <tp t="s">
        <v>#N/A N/A</v>
        <stp/>
        <stp>BDH|12343156878115562076</stp>
        <tr r="AP12" s="2"/>
      </tp>
      <tp t="s">
        <v>#N/A N/A</v>
        <stp/>
        <stp>BDH|10420288244136398173</stp>
        <tr r="K11" s="2"/>
      </tp>
      <tp t="s">
        <v>#N/A N/A</v>
        <stp/>
        <stp>BDH|14476473507288996918</stp>
        <tr r="Y37" s="2"/>
      </tp>
      <tp t="s">
        <v>#N/A N/A</v>
        <stp/>
        <stp>BDH|15239706466296853339</stp>
        <tr r="AP7" s="2"/>
      </tp>
      <tp t="s">
        <v>#N/A N/A</v>
        <stp/>
        <stp>BDH|17472107886458989745</stp>
        <tr r="G36" s="2"/>
      </tp>
      <tp t="s">
        <v>#N/A N/A</v>
        <stp/>
        <stp>BDH|12982223779013804554</stp>
        <tr r="D8" s="2"/>
      </tp>
      <tp t="s">
        <v>#N/A N/A</v>
        <stp/>
        <stp>BDH|12455677546413842222</stp>
        <tr r="H25" s="2"/>
      </tp>
      <tp t="s">
        <v>#N/A N/A</v>
        <stp/>
        <stp>BDH|12275158521800978007</stp>
        <tr r="S45" s="2"/>
      </tp>
      <tp t="s">
        <v>#N/A N/A</v>
        <stp/>
        <stp>BDH|15762523469427679048</stp>
        <tr r="I41" s="2"/>
      </tp>
      <tp t="s">
        <v>#N/A N/A</v>
        <stp/>
        <stp>BDH|16407078271746513693</stp>
        <tr r="AM34" s="2"/>
      </tp>
      <tp t="s">
        <v>#N/A N/A</v>
        <stp/>
        <stp>BDH|16962906282942363395</stp>
        <tr r="AK15" s="2"/>
      </tp>
      <tp t="s">
        <v>#N/A N/A</v>
        <stp/>
        <stp>BDH|11775531492639195260</stp>
        <tr r="AP25" s="2"/>
      </tp>
      <tp t="s">
        <v>#N/A N/A</v>
        <stp/>
        <stp>BDH|14853513863322997323</stp>
        <tr r="C45" s="2"/>
      </tp>
      <tp t="s">
        <v>#N/A N/A</v>
        <stp/>
        <stp>BDH|10796643365925357349</stp>
        <tr r="AM32" s="2"/>
      </tp>
      <tp t="s">
        <v>#N/A N/A</v>
        <stp/>
        <stp>BDH|10864593842723082424</stp>
        <tr r="T29" s="2"/>
      </tp>
      <tp t="s">
        <v>#N/A N/A</v>
        <stp/>
        <stp>BDH|17535265173972695672</stp>
        <tr r="AD7" s="2"/>
      </tp>
      <tp t="s">
        <v>#N/A N/A</v>
        <stp/>
        <stp>BDH|18165575797706384425</stp>
        <tr r="I28" s="2"/>
      </tp>
      <tp t="s">
        <v>#N/A N/A</v>
        <stp/>
        <stp>BDH|13290931426468543625</stp>
        <tr r="W32" s="2"/>
      </tp>
      <tp t="s">
        <v>#N/A N/A</v>
        <stp/>
        <stp>BDH|13019350712530422730</stp>
        <tr r="T46" s="2"/>
      </tp>
      <tp t="s">
        <v>#N/A N/A</v>
        <stp/>
        <stp>BDH|17489404155272486250</stp>
        <tr r="W48" s="2"/>
      </tp>
      <tp t="s">
        <v>#N/A N/A</v>
        <stp/>
        <stp>BDH|12626100315771550564</stp>
        <tr r="AH63" s="2"/>
      </tp>
      <tp t="s">
        <v>#N/A N/A</v>
        <stp/>
        <stp>BDH|16864575929896467113</stp>
        <tr r="AF33" s="2"/>
      </tp>
      <tp t="s">
        <v>#N/A N/A</v>
        <stp/>
        <stp>BDH|15929392021551032326</stp>
        <tr r="Y43" s="2"/>
      </tp>
      <tp t="s">
        <v>#N/A N/A</v>
        <stp/>
        <stp>BDH|16508311077807192317</stp>
        <tr r="N17" s="2"/>
      </tp>
      <tp t="s">
        <v>#N/A N/A</v>
        <stp/>
        <stp>BDH|12073259876765697466</stp>
        <tr r="P15" s="2"/>
      </tp>
      <tp t="s">
        <v>#N/A N/A</v>
        <stp/>
        <stp>BDH|17683678560490615141</stp>
        <tr r="AC63" s="2"/>
      </tp>
      <tp t="s">
        <v>#N/A N/A</v>
        <stp/>
        <stp>BDH|15699834181825392656</stp>
        <tr r="AM49" s="2"/>
      </tp>
      <tp t="s">
        <v>#N/A N/A</v>
        <stp/>
        <stp>BDH|17363832031899533361</stp>
        <tr r="D50" s="2"/>
      </tp>
      <tp t="s">
        <v>#N/A N/A</v>
        <stp/>
        <stp>BDH|16454703358836758496</stp>
        <tr r="AG29" s="2"/>
      </tp>
      <tp t="s">
        <v>#N/A N/A</v>
        <stp/>
        <stp>BDH|12755105635553900599</stp>
        <tr r="K13" s="2"/>
      </tp>
      <tp t="s">
        <v>#N/A N/A</v>
        <stp/>
        <stp>BDH|15385430104251618608</stp>
        <tr r="S56" s="2"/>
      </tp>
      <tp t="s">
        <v>#N/A N/A</v>
        <stp/>
        <stp>BDH|14650020154187429066</stp>
        <tr r="U23" s="2"/>
      </tp>
      <tp t="s">
        <v>#N/A N/A</v>
        <stp/>
        <stp>BDH|15159904797117737435</stp>
        <tr r="M49" s="2"/>
      </tp>
      <tp t="s">
        <v>#N/A N/A</v>
        <stp/>
        <stp>BDH|17043569450744746538</stp>
        <tr r="AO18" s="2"/>
      </tp>
      <tp t="s">
        <v>#N/A N/A</v>
        <stp/>
        <stp>BDH|12400516563193605458</stp>
        <tr r="M50" s="2"/>
      </tp>
      <tp t="s">
        <v>#N/A N/A</v>
        <stp/>
        <stp>BDH|16785192553925092184</stp>
        <tr r="AO10" s="2"/>
      </tp>
      <tp t="s">
        <v>#N/A N/A</v>
        <stp/>
        <stp>BDH|11774043139611837573</stp>
        <tr r="Q17" s="2"/>
      </tp>
      <tp t="s">
        <v>#N/A N/A</v>
        <stp/>
        <stp>BDH|15766365214644816584</stp>
        <tr r="AB34" s="2"/>
      </tp>
      <tp t="s">
        <v>#N/A N/A</v>
        <stp/>
        <stp>BDH|13940289747875749647</stp>
        <tr r="AB24" s="2"/>
      </tp>
      <tp t="s">
        <v>#N/A N/A</v>
        <stp/>
        <stp>BDH|17047255844595386264</stp>
        <tr r="AO65" s="2"/>
      </tp>
      <tp t="s">
        <v>#N/A N/A</v>
        <stp/>
        <stp>BDH|11725248080448483538</stp>
        <tr r="M57" s="2"/>
      </tp>
      <tp t="s">
        <v>#N/A N/A</v>
        <stp/>
        <stp>BDH|18388731595675749567</stp>
        <tr r="G34" s="2"/>
      </tp>
      <tp t="s">
        <v>#N/A N/A</v>
        <stp/>
        <stp>BDH|17247833121808487304</stp>
        <tr r="S18" s="2"/>
      </tp>
      <tp t="s">
        <v>#N/A N/A</v>
        <stp/>
        <stp>BDH|13820751890933986800</stp>
        <tr r="R28" s="2"/>
      </tp>
      <tp t="s">
        <v>#N/A N/A</v>
        <stp/>
        <stp>BDH|10421199227034916178</stp>
        <tr r="P33" s="2"/>
      </tp>
      <tp t="s">
        <v>#N/A N/A</v>
        <stp/>
        <stp>BDH|12846392366930691156</stp>
        <tr r="K12" s="2"/>
      </tp>
      <tp t="s">
        <v>#N/A N/A</v>
        <stp/>
        <stp>BDH|13031423441601689425</stp>
        <tr r="AH14" s="2"/>
      </tp>
      <tp t="s">
        <v>#N/A N/A</v>
        <stp/>
        <stp>BDH|16009816019240966968</stp>
        <tr r="AD44" s="2"/>
      </tp>
      <tp t="s">
        <v>#N/A N/A</v>
        <stp/>
        <stp>BDH|11138144472522314330</stp>
        <tr r="AF12" s="2"/>
      </tp>
      <tp t="s">
        <v>#N/A N/A</v>
        <stp/>
        <stp>BDH|10203332990878377458</stp>
        <tr r="C66" s="2"/>
      </tp>
      <tp t="s">
        <v>#N/A N/A</v>
        <stp/>
        <stp>BDH|14780645921075379371</stp>
        <tr r="Z57" s="2"/>
      </tp>
      <tp t="s">
        <v>#N/A N/A</v>
        <stp/>
        <stp>BDH|15783724854015016470</stp>
        <tr r="W62" s="2"/>
      </tp>
      <tp t="s">
        <v>#N/A N/A</v>
        <stp/>
        <stp>BDH|17709625470950307000</stp>
        <tr r="U9" s="2"/>
      </tp>
      <tp t="s">
        <v>#N/A N/A</v>
        <stp/>
        <stp>BDH|12222564496200004846</stp>
        <tr r="T12" s="2"/>
      </tp>
      <tp t="s">
        <v>#N/A N/A</v>
        <stp/>
        <stp>BDH|14219541471502951287</stp>
        <tr r="AL56" s="2"/>
      </tp>
      <tp t="s">
        <v>#N/A N/A</v>
        <stp/>
        <stp>BDH|17477160405920887091</stp>
        <tr r="AG14" s="2"/>
      </tp>
      <tp t="s">
        <v>#N/A N/A</v>
        <stp/>
        <stp>BDH|15430363950502493709</stp>
        <tr r="Q12" s="2"/>
      </tp>
      <tp t="e">
        <v>#N/A</v>
        <stp/>
        <stp>BDH|14317462968695080547</stp>
        <tr r="P61" s="2"/>
      </tp>
      <tp t="s">
        <v>#N/A N/A</v>
        <stp/>
        <stp>BDH|14286296570781136632</stp>
        <tr r="R33" s="2"/>
      </tp>
      <tp t="s">
        <v>#N/A N/A</v>
        <stp/>
        <stp>BDH|12417657462156925238</stp>
        <tr r="G35" s="2"/>
      </tp>
      <tp t="s">
        <v>#N/A N/A</v>
        <stp/>
        <stp>BDH|15383165633194860578</stp>
        <tr r="O26" s="2"/>
      </tp>
      <tp t="s">
        <v>#N/A N/A</v>
        <stp/>
        <stp>BDH|12548410355373170694</stp>
        <tr r="AI16" s="2"/>
      </tp>
      <tp t="s">
        <v>#N/A N/A</v>
        <stp/>
        <stp>BDH|14634188209212934160</stp>
        <tr r="U49" s="2"/>
      </tp>
      <tp t="s">
        <v>#N/A N/A</v>
        <stp/>
        <stp>BDH|14122299121455978785</stp>
        <tr r="AE65" s="2"/>
      </tp>
      <tp t="s">
        <v>#N/A N/A</v>
        <stp/>
        <stp>BDH|16289263125552938200</stp>
        <tr r="AP21" s="2"/>
      </tp>
      <tp t="s">
        <v>#N/A N/A</v>
        <stp/>
        <stp>BDH|16598819939648541333</stp>
        <tr r="I21" s="2"/>
      </tp>
      <tp t="e">
        <v>#N/A</v>
        <stp/>
        <stp>BDH|16274688377389529838</stp>
        <tr r="Z60" s="2"/>
      </tp>
      <tp t="s">
        <v>#N/A N/A</v>
        <stp/>
        <stp>BDH|11876126870402186315</stp>
        <tr r="AK57" s="2"/>
      </tp>
      <tp t="s">
        <v>#N/A N/A</v>
        <stp/>
        <stp>BDH|13214465849844064177</stp>
        <tr r="AP54" s="2"/>
      </tp>
      <tp t="s">
        <v>#N/A N/A</v>
        <stp/>
        <stp>BDH|12144075648545260561</stp>
        <tr r="AO22" s="2"/>
      </tp>
      <tp t="s">
        <v>#N/A N/A</v>
        <stp/>
        <stp>BDH|15814189033055106489</stp>
        <tr r="K15" s="2"/>
      </tp>
      <tp t="s">
        <v>#N/A N/A</v>
        <stp/>
        <stp>BDH|16113632609351100700</stp>
        <tr r="G66" s="2"/>
      </tp>
      <tp t="s">
        <v>#N/A N/A</v>
        <stp/>
        <stp>BDH|15863901682415059700</stp>
        <tr r="D66" s="2"/>
      </tp>
      <tp t="s">
        <v>#N/A N/A</v>
        <stp/>
        <stp>BDH|17717052156451766594</stp>
        <tr r="C67" s="2"/>
      </tp>
      <tp t="s">
        <v>#N/A N/A</v>
        <stp/>
        <stp>BDH|14866488164354136484</stp>
        <tr r="O30" s="2"/>
      </tp>
      <tp t="s">
        <v>#N/A N/A</v>
        <stp/>
        <stp>BDH|14516784327686394146</stp>
        <tr r="AL26" s="2"/>
      </tp>
      <tp t="s">
        <v>#N/A N/A</v>
        <stp/>
        <stp>BDH|12696179973702891066</stp>
        <tr r="Q24" s="2"/>
      </tp>
      <tp t="s">
        <v>#N/A N/A</v>
        <stp/>
        <stp>BDH|11723627060365815217</stp>
        <tr r="V45" s="2"/>
      </tp>
      <tp t="s">
        <v>#N/A N/A</v>
        <stp/>
        <stp>BDH|11750964295646165195</stp>
        <tr r="N66" s="2"/>
      </tp>
      <tp t="s">
        <v>#N/A N/A</v>
        <stp/>
        <stp>BDH|12065553147877966242</stp>
        <tr r="AP9" s="2"/>
      </tp>
      <tp t="s">
        <v>#N/A N/A</v>
        <stp/>
        <stp>BDH|13460916208815639944</stp>
        <tr r="AH36" s="2"/>
      </tp>
      <tp t="s">
        <v>#N/A N/A</v>
        <stp/>
        <stp>BDH|11010965996553959465</stp>
        <tr r="P8" s="2"/>
      </tp>
      <tp t="s">
        <v>#N/A N/A</v>
        <stp/>
        <stp>BDH|14058418886759943719</stp>
        <tr r="D40" s="2"/>
      </tp>
      <tp t="s">
        <v>#N/A N/A</v>
        <stp/>
        <stp>BDH|14749266050386609384</stp>
        <tr r="Z32" s="2"/>
      </tp>
      <tp t="s">
        <v>#N/A N/A</v>
        <stp/>
        <stp>BDH|16129764233033832728</stp>
        <tr r="G41" s="2"/>
      </tp>
      <tp t="s">
        <v>#N/A N/A</v>
        <stp/>
        <stp>BDH|18160124674229040198</stp>
        <tr r="N54" s="2"/>
      </tp>
      <tp t="s">
        <v>#N/A N/A</v>
        <stp/>
        <stp>BDH|15972571014613697428</stp>
        <tr r="D11" s="2"/>
      </tp>
      <tp t="s">
        <v>#N/A N/A</v>
        <stp/>
        <stp>BDH|17683259474716145282</stp>
        <tr r="H30" s="2"/>
      </tp>
      <tp t="s">
        <v>#N/A N/A</v>
        <stp/>
        <stp>BDH|16542127371821083785</stp>
        <tr r="J63" s="2"/>
      </tp>
      <tp t="s">
        <v>#N/A N/A</v>
        <stp/>
        <stp>BDH|13326222951864531742</stp>
        <tr r="I29" s="2"/>
      </tp>
      <tp t="s">
        <v>#N/A N/A</v>
        <stp/>
        <stp>BDH|16948788741990951289</stp>
        <tr r="P48" s="2"/>
      </tp>
      <tp t="s">
        <v>#N/A N/A</v>
        <stp/>
        <stp>BDH|13510391741085854646</stp>
        <tr r="E43" s="2"/>
      </tp>
      <tp t="s">
        <v>#N/A N/A</v>
        <stp/>
        <stp>BDH|10494845787613284445</stp>
        <tr r="X17" s="2"/>
      </tp>
      <tp t="s">
        <v>#N/A N/A</v>
        <stp/>
        <stp>BDH|17333605412852402549</stp>
        <tr r="AM23" s="2"/>
      </tp>
      <tp t="s">
        <v>#N/A N/A</v>
        <stp/>
        <stp>BDH|14355158531935222440</stp>
        <tr r="I11" s="2"/>
      </tp>
      <tp t="s">
        <v>#N/A N/A</v>
        <stp/>
        <stp>BDH|14180020100383597077</stp>
        <tr r="AP65" s="2"/>
      </tp>
      <tp t="e">
        <v>#N/A</v>
        <stp/>
        <stp>BDH|14430037779704722084</stp>
        <tr r="G60" s="2"/>
      </tp>
      <tp t="s">
        <v>#N/A N/A</v>
        <stp/>
        <stp>BDH|16752918775878376708</stp>
        <tr r="AB63" s="2"/>
      </tp>
      <tp t="s">
        <v>#N/A N/A</v>
        <stp/>
        <stp>BDH|14199221854913397741</stp>
        <tr r="AJ21" s="2"/>
      </tp>
      <tp t="s">
        <v>#N/A N/A</v>
        <stp/>
        <stp>BDH|11650213427401020708</stp>
        <tr r="F46" s="2"/>
      </tp>
      <tp t="s">
        <v>#N/A N/A</v>
        <stp/>
        <stp>BDH|15066898856349752688</stp>
        <tr r="AJ50" s="2"/>
      </tp>
      <tp t="s">
        <v>#N/A N/A</v>
        <stp/>
        <stp>BDH|17721571100983878689</stp>
        <tr r="AJ7" s="2"/>
      </tp>
      <tp t="s">
        <v>#N/A N/A</v>
        <stp/>
        <stp>BDH|16326825845688633512</stp>
        <tr r="Z27" s="2"/>
      </tp>
      <tp t="s">
        <v>#N/A N/A</v>
        <stp/>
        <stp>BDH|10544382958157623602</stp>
        <tr r="X57" s="2"/>
      </tp>
      <tp t="s">
        <v>#N/A N/A</v>
        <stp/>
        <stp>BDH|17249352915222773065</stp>
        <tr r="AJ28" s="2"/>
      </tp>
      <tp t="s">
        <v>#N/A N/A</v>
        <stp/>
        <stp>BDH|11565374827527055067</stp>
        <tr r="T36" s="2"/>
      </tp>
      <tp t="s">
        <v>#N/A N/A</v>
        <stp/>
        <stp>BDH|13849008124604900273</stp>
        <tr r="C28" s="2"/>
      </tp>
      <tp t="s">
        <v>#N/A N/A</v>
        <stp/>
        <stp>BDH|10443601728771967279</stp>
        <tr r="AE8" s="2"/>
      </tp>
      <tp t="s">
        <v>#N/A N/A</v>
        <stp/>
        <stp>BDH|13953115741662306381</stp>
        <tr r="O29" s="2"/>
      </tp>
      <tp t="s">
        <v>#N/A N/A</v>
        <stp/>
        <stp>BDH|15869318904465994418</stp>
        <tr r="AN13" s="2"/>
      </tp>
      <tp t="s">
        <v>#N/A N/A</v>
        <stp/>
        <stp>BDH|15173419100046412015</stp>
        <tr r="AN41" s="2"/>
      </tp>
      <tp t="s">
        <v>#N/A N/A</v>
        <stp/>
        <stp>BDH|15690267854283472658</stp>
        <tr r="P12" s="2"/>
      </tp>
      <tp t="s">
        <v>#N/A N/A</v>
        <stp/>
        <stp>BDH|11896718036905980732</stp>
        <tr r="Y28" s="2"/>
      </tp>
      <tp t="s">
        <v>#N/A N/A</v>
        <stp/>
        <stp>BDH|12665137791205177805</stp>
        <tr r="D15" s="2"/>
      </tp>
      <tp t="s">
        <v>#N/A N/A</v>
        <stp/>
        <stp>BDH|12657564857964017129</stp>
        <tr r="AP63" s="2"/>
      </tp>
      <tp t="s">
        <v>#N/A N/A</v>
        <stp/>
        <stp>BDH|16747086132527958516</stp>
        <tr r="U37" s="2"/>
      </tp>
      <tp t="s">
        <v>#N/A N/A</v>
        <stp/>
        <stp>BDH|16706664069778984956</stp>
        <tr r="L50" s="2"/>
      </tp>
      <tp t="s">
        <v>#N/A N/A</v>
        <stp/>
        <stp>BDH|14317125491779197259</stp>
        <tr r="T32" s="2"/>
      </tp>
      <tp t="s">
        <v>#N/A N/A</v>
        <stp/>
        <stp>BDH|12090514651840401538</stp>
        <tr r="H37" s="2"/>
      </tp>
      <tp t="s">
        <v>#N/A N/A</v>
        <stp/>
        <stp>BDH|10651785551513850607</stp>
        <tr r="T63" s="2"/>
      </tp>
      <tp t="s">
        <v>#N/A N/A</v>
        <stp/>
        <stp>BDH|14422503903557178114</stp>
        <tr r="AJ27" s="2"/>
      </tp>
      <tp t="s">
        <v>#N/A N/A</v>
        <stp/>
        <stp>BDH|11558700003896618767</stp>
        <tr r="J18" s="2"/>
      </tp>
      <tp t="e">
        <v>#N/A</v>
        <stp/>
        <stp>BDH|11608011011347888081</stp>
        <tr r="AI61" s="2"/>
      </tp>
      <tp t="s">
        <v>#N/A N/A</v>
        <stp/>
        <stp>BDH|12916022916882906621</stp>
        <tr r="AG46" s="2"/>
      </tp>
      <tp t="s">
        <v>#N/A N/A</v>
        <stp/>
        <stp>BDH|14308267048825338086</stp>
        <tr r="AB42" s="2"/>
      </tp>
      <tp t="s">
        <v>#N/A N/A</v>
        <stp/>
        <stp>BDH|17015527301547684236</stp>
        <tr r="AJ23" s="2"/>
      </tp>
      <tp t="s">
        <v>#N/A N/A</v>
        <stp/>
        <stp>BDH|11919547428679152829</stp>
        <tr r="AH57" s="2"/>
      </tp>
      <tp t="s">
        <v>#N/A N/A</v>
        <stp/>
        <stp>BDH|16522329997388132377</stp>
        <tr r="E45" s="2"/>
      </tp>
      <tp t="e">
        <v>#N/A</v>
        <stp/>
        <stp>BDH|14405050012344328662</stp>
        <tr r="Q60" s="2"/>
      </tp>
      <tp t="e">
        <v>#N/A</v>
        <stp/>
        <stp>BDH|11244526473412622634</stp>
        <tr r="Z61" s="2"/>
      </tp>
      <tp t="s">
        <v>#N/A N/A</v>
        <stp/>
        <stp>BDH|18431068494396774078</stp>
        <tr r="Q46" s="2"/>
      </tp>
      <tp t="e">
        <v>#N/A</v>
        <stp/>
        <stp>BDH|16004143153894248139</stp>
        <tr r="O61" s="2"/>
      </tp>
      <tp t="s">
        <v>#N/A N/A</v>
        <stp/>
        <stp>BDH|13456539950634477058</stp>
        <tr r="AO56" s="2"/>
      </tp>
      <tp t="s">
        <v>#N/A N/A</v>
        <stp/>
        <stp>BDH|15677004450476613163</stp>
        <tr r="J47" s="2"/>
      </tp>
      <tp t="s">
        <v>#N/A N/A</v>
        <stp/>
        <stp>BDH|10160721301377997727</stp>
        <tr r="J14" s="2"/>
      </tp>
      <tp t="s">
        <v>#N/A N/A</v>
        <stp/>
        <stp>BDH|11866011243940221210</stp>
        <tr r="K9" s="2"/>
      </tp>
      <tp t="s">
        <v>#N/A N/A</v>
        <stp/>
        <stp>BDH|16832422053997407756</stp>
        <tr r="Z42" s="2"/>
      </tp>
      <tp t="s">
        <v>#N/A N/A</v>
        <stp/>
        <stp>BDH|11556199855177473556</stp>
        <tr r="H12" s="2"/>
      </tp>
      <tp t="s">
        <v>#N/A N/A</v>
        <stp/>
        <stp>BDH|13485221918865750218</stp>
        <tr r="C61" s="2"/>
      </tp>
      <tp t="s">
        <v>#N/A N/A</v>
        <stp/>
        <stp>BDH|15241033332846906723</stp>
        <tr r="AM11" s="2"/>
      </tp>
      <tp t="s">
        <v>#N/A N/A</v>
        <stp/>
        <stp>BDH|16190015498868640061</stp>
        <tr r="N45" s="2"/>
      </tp>
      <tp t="s">
        <v>#N/A N/A</v>
        <stp/>
        <stp>BDH|16485687619783506588</stp>
        <tr r="N21" s="2"/>
      </tp>
      <tp t="s">
        <v>#N/A N/A</v>
        <stp/>
        <stp>BDH|10505294416165144135</stp>
        <tr r="AM31" s="2"/>
      </tp>
      <tp t="s">
        <v>#N/A N/A</v>
        <stp/>
        <stp>BDH|17816781716835509385</stp>
        <tr r="Z14" s="2"/>
      </tp>
      <tp t="s">
        <v>#N/A N/A</v>
        <stp/>
        <stp>BDH|13351325201730327786</stp>
        <tr r="C11" s="2"/>
      </tp>
      <tp t="s">
        <v>#N/A N/A</v>
        <stp/>
        <stp>BDH|13824798955065804360</stp>
        <tr r="AD25" s="2"/>
      </tp>
      <tp t="s">
        <v>#N/A N/A</v>
        <stp/>
        <stp>BDH|17810355572125087152</stp>
        <tr r="C48" s="2"/>
      </tp>
      <tp t="s">
        <v>#N/A N/A</v>
        <stp/>
        <stp>BDH|14770294617943205317</stp>
        <tr r="T68" s="2"/>
      </tp>
      <tp t="s">
        <v>#N/A N/A</v>
        <stp/>
        <stp>BDH|11694398266766590562</stp>
        <tr r="G64" s="2"/>
      </tp>
      <tp t="s">
        <v>#N/A N/A</v>
        <stp/>
        <stp>BDH|10423253748639539868</stp>
        <tr r="R43" s="2"/>
      </tp>
      <tp t="s">
        <v>#N/A N/A</v>
        <stp/>
        <stp>BDH|16085048660642732595</stp>
        <tr r="AB54" s="2"/>
      </tp>
      <tp t="s">
        <v>#N/A N/A</v>
        <stp/>
        <stp>BDH|13943557175696562066</stp>
        <tr r="I31" s="2"/>
      </tp>
      <tp t="s">
        <v>#N/A N/A</v>
        <stp/>
        <stp>BDH|13616660799212590916</stp>
        <tr r="AI52" s="2"/>
      </tp>
      <tp t="s">
        <v>#N/A N/A</v>
        <stp/>
        <stp>BDH|10308595743675441318</stp>
        <tr r="P25" s="2"/>
      </tp>
      <tp t="s">
        <v>#N/A N/A</v>
        <stp/>
        <stp>BDH|12861292240672406192</stp>
        <tr r="K32" s="2"/>
      </tp>
      <tp t="s">
        <v>#N/A N/A</v>
        <stp/>
        <stp>BDH|14412070926136921739</stp>
        <tr r="AC30" s="2"/>
      </tp>
      <tp t="s">
        <v>#N/A N/A</v>
        <stp/>
        <stp>BDH|12901124474090667363</stp>
        <tr r="AE54" s="2"/>
      </tp>
      <tp t="s">
        <v>#N/A N/A</v>
        <stp/>
        <stp>BDH|14401984572115466852</stp>
        <tr r="AN14" s="2"/>
      </tp>
      <tp t="s">
        <v>#N/A N/A</v>
        <stp/>
        <stp>BDH|11200624780999834167</stp>
        <tr r="AC44" s="2"/>
      </tp>
      <tp t="s">
        <v>#N/A N/A</v>
        <stp/>
        <stp>BDH|12765165439852325556</stp>
        <tr r="AH50" s="2"/>
      </tp>
      <tp t="s">
        <v>#N/A N/A</v>
        <stp/>
        <stp>BDH|15585924490933094192</stp>
        <tr r="J50" s="2"/>
      </tp>
      <tp t="s">
        <v>#N/A N/A</v>
        <stp/>
        <stp>BDH|17320639870057795690</stp>
        <tr r="N62" s="2"/>
      </tp>
      <tp t="s">
        <v>#N/A N/A</v>
        <stp/>
        <stp>BDH|17976537080544262961</stp>
        <tr r="J62" s="2"/>
      </tp>
      <tp t="s">
        <v>#N/A N/A</v>
        <stp/>
        <stp>BDH|13432218648175038738</stp>
        <tr r="W64" s="2"/>
      </tp>
      <tp t="s">
        <v>#N/A N/A</v>
        <stp/>
        <stp>BDH|17006839597444250589</stp>
        <tr r="F40" s="2"/>
      </tp>
      <tp t="e">
        <v>#N/A</v>
        <stp/>
        <stp>BDH|12299665917218515974</stp>
        <tr r="T61" s="2"/>
      </tp>
      <tp t="s">
        <v>#N/A N/A</v>
        <stp/>
        <stp>BDH|15304136732710382303</stp>
        <tr r="Z33" s="2"/>
      </tp>
      <tp t="s">
        <v>#N/A N/A</v>
        <stp/>
        <stp>BDH|12618599414070839221</stp>
        <tr r="AI67" s="2"/>
      </tp>
      <tp t="s">
        <v>#N/A N/A</v>
        <stp/>
        <stp>BDH|14134769643102762123</stp>
        <tr r="AC36" s="2"/>
      </tp>
      <tp t="s">
        <v>#N/A N/A</v>
        <stp/>
        <stp>BDH|15063858386831296003</stp>
        <tr r="S36" s="2"/>
      </tp>
      <tp t="s">
        <v>#N/A N/A</v>
        <stp/>
        <stp>BDH|11805716521470836012</stp>
        <tr r="Z28" s="2"/>
      </tp>
      <tp t="s">
        <v>#N/A N/A</v>
        <stp/>
        <stp>BDH|17791600471510053279</stp>
        <tr r="D63" s="2"/>
      </tp>
      <tp t="s">
        <v>#N/A N/A</v>
        <stp/>
        <stp>BDH|13635303530064406337</stp>
        <tr r="M32" s="2"/>
      </tp>
      <tp t="s">
        <v>#N/A N/A</v>
        <stp/>
        <stp>BDH|16519913887613568061</stp>
        <tr r="N46" s="2"/>
      </tp>
      <tp t="s">
        <v>#N/A N/A</v>
        <stp/>
        <stp>BDH|16765251163195677373</stp>
        <tr r="I26" s="2"/>
      </tp>
      <tp t="s">
        <v>#N/A N/A</v>
        <stp/>
        <stp>BDH|12432272988049256592</stp>
        <tr r="AK22" s="2"/>
      </tp>
      <tp t="s">
        <v>#N/A N/A</v>
        <stp/>
        <stp>BDH|10148598108328198912</stp>
        <tr r="L47" s="2"/>
      </tp>
      <tp t="s">
        <v>#N/A N/A</v>
        <stp/>
        <stp>BDH|10241750052971484711</stp>
        <tr r="AD48" s="2"/>
      </tp>
      <tp t="s">
        <v>#N/A N/A</v>
        <stp/>
        <stp>BDH|14178001343804058016</stp>
        <tr r="AO34" s="2"/>
      </tp>
      <tp t="s">
        <v>#N/A N/A</v>
        <stp/>
        <stp>BDH|12106247377586210531</stp>
        <tr r="AA29" s="2"/>
      </tp>
      <tp t="s">
        <v>#N/A N/A</v>
        <stp/>
        <stp>BDH|14653425373167526414</stp>
        <tr r="V13" s="2"/>
      </tp>
      <tp t="s">
        <v>#N/A N/A</v>
        <stp/>
        <stp>BDH|15185391557852947552</stp>
        <tr r="J66" s="2"/>
      </tp>
      <tp t="s">
        <v>#N/A N/A</v>
        <stp/>
        <stp>BDH|15610121616174946583</stp>
        <tr r="AC48" s="2"/>
      </tp>
      <tp t="s">
        <v>#N/A N/A</v>
        <stp/>
        <stp>BDH|17084534127683138772</stp>
        <tr r="D54" s="2"/>
      </tp>
      <tp t="s">
        <v>#N/A N/A</v>
        <stp/>
        <stp>BDH|14790999900391422883</stp>
        <tr r="AP66" s="2"/>
      </tp>
      <tp t="s">
        <v>#N/A N/A</v>
        <stp/>
        <stp>BDH|11047991002488846469</stp>
        <tr r="AK10" s="2"/>
      </tp>
      <tp t="s">
        <v>#N/A N/A</v>
        <stp/>
        <stp>BDH|13648541790209301244</stp>
        <tr r="S23" s="2"/>
      </tp>
      <tp t="s">
        <v>#N/A N/A</v>
        <stp/>
        <stp>BDH|14202762247191326251</stp>
        <tr r="J56" s="2"/>
      </tp>
      <tp t="s">
        <v>#N/A N/A</v>
        <stp/>
        <stp>BDH|16527448667254031421</stp>
        <tr r="Q63" s="2"/>
      </tp>
      <tp t="s">
        <v>#N/A N/A</v>
        <stp/>
        <stp>BDH|12176725700950490138</stp>
        <tr r="AL45" s="2"/>
      </tp>
      <tp t="s">
        <v>#N/A N/A</v>
        <stp/>
        <stp>BDH|13691499032000034096</stp>
        <tr r="AJ68" s="2"/>
      </tp>
      <tp t="s">
        <v>#N/A N/A</v>
        <stp/>
        <stp>BDH|12452150772347788737</stp>
        <tr r="K22" s="2"/>
      </tp>
      <tp t="s">
        <v>#N/A N/A</v>
        <stp/>
        <stp>BDH|14231716209397833059</stp>
        <tr r="AP30" s="2"/>
      </tp>
      <tp t="s">
        <v>#N/A N/A</v>
        <stp/>
        <stp>BDH|15751131931086507570</stp>
        <tr r="AO32" s="2"/>
      </tp>
      <tp t="s">
        <v>#N/A N/A</v>
        <stp/>
        <stp>BDH|14220006160822742432</stp>
        <tr r="L14" s="2"/>
      </tp>
      <tp t="s">
        <v>#N/A N/A</v>
        <stp/>
        <stp>BDH|13797892684016434173</stp>
        <tr r="AP27" s="2"/>
      </tp>
      <tp t="s">
        <v>#N/A N/A</v>
        <stp/>
        <stp>BDH|13425598508574411683</stp>
        <tr r="J52" s="2"/>
      </tp>
      <tp t="s">
        <v>#N/A N/A</v>
        <stp/>
        <stp>BDH|14987213227956201641</stp>
        <tr r="Z26" s="2"/>
      </tp>
      <tp t="s">
        <v>#N/A N/A</v>
        <stp/>
        <stp>BDH|15833613408003029485</stp>
        <tr r="AP36" s="2"/>
      </tp>
      <tp t="s">
        <v>#N/A N/A</v>
        <stp/>
        <stp>BDH|12443728619131455136</stp>
        <tr r="AI29" s="2"/>
      </tp>
      <tp t="s">
        <v>#N/A N/A</v>
        <stp/>
        <stp>BDH|14497799800641412614</stp>
        <tr r="K33" s="2"/>
      </tp>
      <tp t="s">
        <v>#N/A N/A</v>
        <stp/>
        <stp>BDH|13623364538821195617</stp>
        <tr r="C24" s="2"/>
      </tp>
      <tp t="s">
        <v>#N/A N/A</v>
        <stp/>
        <stp>BDH|16593549258480946286</stp>
        <tr r="P22" s="2"/>
      </tp>
      <tp t="s">
        <v>#N/A N/A</v>
        <stp/>
        <stp>BDH|13482379895414997945</stp>
        <tr r="AP10" s="2"/>
      </tp>
      <tp t="s">
        <v>#N/A N/A</v>
        <stp/>
        <stp>BDH|14364140789879770021</stp>
        <tr r="N67" s="2"/>
      </tp>
      <tp t="s">
        <v>#N/A N/A</v>
        <stp/>
        <stp>BDH|15864859987231059010</stp>
        <tr r="J29" s="2"/>
      </tp>
      <tp t="s">
        <v>#N/A N/A</v>
        <stp/>
        <stp>BDH|17404392165381614751</stp>
        <tr r="AO46" s="2"/>
      </tp>
      <tp t="s">
        <v>#N/A N/A</v>
        <stp/>
        <stp>BDH|16828685746762957243</stp>
        <tr r="AB11" s="2"/>
      </tp>
      <tp t="s">
        <v>#N/A N/A</v>
        <stp/>
        <stp>BDH|17838754273636295563</stp>
        <tr r="I43" s="2"/>
      </tp>
      <tp t="s">
        <v>#N/A N/A</v>
        <stp/>
        <stp>BDH|13247497701671368232</stp>
        <tr r="AA23" s="2"/>
      </tp>
      <tp t="s">
        <v>#N/A N/A</v>
        <stp/>
        <stp>BDH|11871063586658136531</stp>
        <tr r="M44" s="2"/>
      </tp>
      <tp t="s">
        <v>#N/A N/A</v>
        <stp/>
        <stp>BDH|15124836790831093183</stp>
        <tr r="R48" s="2"/>
      </tp>
      <tp t="s">
        <v>#N/A N/A</v>
        <stp/>
        <stp>BDH|12221552038872756228</stp>
        <tr r="AP22" s="2"/>
      </tp>
      <tp t="s">
        <v>#N/A N/A</v>
        <stp/>
        <stp>BDH|14396668349160678270</stp>
        <tr r="H10" s="2"/>
      </tp>
      <tp t="s">
        <v>#N/A N/A</v>
        <stp/>
        <stp>BDH|15423184630315504640</stp>
        <tr r="AN63" s="2"/>
      </tp>
      <tp t="s">
        <v>#N/A N/A</v>
        <stp/>
        <stp>BDH|18366264125748501480</stp>
        <tr r="AA42" s="2"/>
      </tp>
      <tp t="s">
        <v>#N/A N/A</v>
        <stp/>
        <stp>BDH|16084328803786856746</stp>
        <tr r="AC11" s="2"/>
      </tp>
      <tp t="s">
        <v>#N/A N/A</v>
        <stp/>
        <stp>BDH|12487539779285237109</stp>
        <tr r="AA9" s="2"/>
      </tp>
      <tp t="s">
        <v>#N/A N/A</v>
        <stp/>
        <stp>BDH|12661755773572826445</stp>
        <tr r="AA10" s="2"/>
      </tp>
      <tp t="s">
        <v>#N/A N/A</v>
        <stp/>
        <stp>BDH|10814051801042264626</stp>
        <tr r="K46" s="2"/>
      </tp>
      <tp t="s">
        <v>#N/A N/A</v>
        <stp/>
        <stp>BDH|13102490042091641604</stp>
        <tr r="D32" s="2"/>
      </tp>
      <tp t="s">
        <v>#N/A N/A</v>
        <stp/>
        <stp>BDH|15880136627842227024</stp>
        <tr r="AG24" s="2"/>
      </tp>
      <tp t="s">
        <v>#N/A N/A</v>
        <stp/>
        <stp>BDH|11118697120538275961</stp>
        <tr r="AM13" s="2"/>
      </tp>
      <tp t="s">
        <v>#N/A N/A</v>
        <stp/>
        <stp>BDH|18136887145757655759</stp>
        <tr r="H35" s="2"/>
      </tp>
      <tp t="s">
        <v>#N/A N/A</v>
        <stp/>
        <stp>BDH|11241097765186949584</stp>
        <tr r="AL13" s="2"/>
      </tp>
      <tp t="s">
        <v>#N/A N/A</v>
        <stp/>
        <stp>BDH|17190232945023172686</stp>
        <tr r="K16" s="2"/>
      </tp>
      <tp t="s">
        <v>#N/A N/A</v>
        <stp/>
        <stp>BDH|15042599599699961470</stp>
        <tr r="AL57" s="2"/>
      </tp>
      <tp t="s">
        <v>#N/A N/A</v>
        <stp/>
        <stp>BDH|12431908940212395990</stp>
        <tr r="AK66" s="2"/>
      </tp>
      <tp t="s">
        <v>#N/A N/A</v>
        <stp/>
        <stp>BDH|13376759508555598557</stp>
        <tr r="AO7" s="2"/>
      </tp>
      <tp t="s">
        <v>#N/A N/A</v>
        <stp/>
        <stp>BDH|17470356134931061345</stp>
        <tr r="AL7" s="2"/>
      </tp>
      <tp t="s">
        <v>#N/A N/A</v>
        <stp/>
        <stp>BDH|11547102116723582760</stp>
        <tr r="I24" s="2"/>
      </tp>
      <tp t="s">
        <v>#N/A N/A</v>
        <stp/>
        <stp>BDH|18148720196801321260</stp>
        <tr r="W57" s="2"/>
      </tp>
      <tp t="s">
        <v>#N/A N/A</v>
        <stp/>
        <stp>BDH|16602928390305727634</stp>
        <tr r="K42" s="2"/>
      </tp>
      <tp t="s">
        <v>#N/A N/A</v>
        <stp/>
        <stp>BDH|13268139265097702638</stp>
        <tr r="X47" s="2"/>
      </tp>
      <tp t="s">
        <v>#N/A N/A</v>
        <stp/>
        <stp>BDH|17013043470744461106</stp>
        <tr r="T62" s="2"/>
      </tp>
      <tp t="s">
        <v>#N/A N/A</v>
        <stp/>
        <stp>BDH|14245275374307466350</stp>
        <tr r="N56" s="2"/>
      </tp>
      <tp t="s">
        <v>#N/A N/A</v>
        <stp/>
        <stp>BDH|11356541012005790517</stp>
        <tr r="AO24" s="2"/>
      </tp>
      <tp t="s">
        <v>#N/A N/A</v>
        <stp/>
        <stp>BDH|11092757784172040927</stp>
        <tr r="O23" s="2"/>
      </tp>
      <tp t="s">
        <v>#N/A N/A</v>
        <stp/>
        <stp>BDH|16987729777040909365</stp>
        <tr r="X22" s="2"/>
      </tp>
      <tp t="s">
        <v>#N/A N/A</v>
        <stp/>
        <stp>BDH|18188935621493742579</stp>
        <tr r="T37" s="2"/>
      </tp>
      <tp t="s">
        <v>#N/A N/A</v>
        <stp/>
        <stp>BDH|11071865799521866445</stp>
        <tr r="AA48" s="2"/>
      </tp>
      <tp t="s">
        <v>#N/A N/A</v>
        <stp/>
        <stp>BDH|14408535314374083115</stp>
        <tr r="AH27" s="2"/>
      </tp>
      <tp t="s">
        <v>#N/A N/A</v>
        <stp/>
        <stp>BDH|10477475168727950008</stp>
        <tr r="AH17" s="2"/>
      </tp>
      <tp t="s">
        <v>#N/A N/A</v>
        <stp/>
        <stp>BDH|10306737462674693069</stp>
        <tr r="AA35" s="2"/>
      </tp>
      <tp t="s">
        <v>#N/A N/A</v>
        <stp/>
        <stp>BDH|12245803692657386166</stp>
        <tr r="Y29" s="2"/>
      </tp>
      <tp t="s">
        <v>#N/A N/A</v>
        <stp/>
        <stp>BDH|13550416284892286870</stp>
        <tr r="AA25" s="2"/>
      </tp>
      <tp t="s">
        <v>#N/A N/A</v>
        <stp/>
        <stp>BDH|10962670864557783288</stp>
        <tr r="AC24" s="2"/>
      </tp>
      <tp t="s">
        <v>#N/A N/A</v>
        <stp/>
        <stp>BDH|16058758137977514027</stp>
        <tr r="AE68" s="2"/>
      </tp>
      <tp t="s">
        <v>#N/A N/A</v>
        <stp/>
        <stp>BDH|11175704086013513872</stp>
        <tr r="AI48" s="2"/>
      </tp>
      <tp t="s">
        <v>#N/A N/A</v>
        <stp/>
        <stp>BDH|13071964933355502949</stp>
        <tr r="R47" s="2"/>
      </tp>
      <tp t="s">
        <v>#N/A N/A</v>
        <stp/>
        <stp>BDH|17067386801642977349</stp>
        <tr r="AI17" s="2"/>
      </tp>
      <tp t="s">
        <v>#N/A N/A</v>
        <stp/>
        <stp>BDH|17750930352199298701</stp>
        <tr r="V26" s="2"/>
      </tp>
      <tp t="s">
        <v>#N/A N/A</v>
        <stp/>
        <stp>BDH|14850392653574421323</stp>
        <tr r="AD17" s="2"/>
      </tp>
      <tp t="s">
        <v>#N/A N/A</v>
        <stp/>
        <stp>BDH|11979817224416004885</stp>
        <tr r="Z52" s="2"/>
      </tp>
      <tp t="s">
        <v>#N/A N/A</v>
        <stp/>
        <stp>BDH|13182471903735695777</stp>
        <tr r="AB52" s="2"/>
      </tp>
      <tp t="s">
        <v>#N/A N/A</v>
        <stp/>
        <stp>BDH|15115521904631374407</stp>
        <tr r="AH33" s="2"/>
      </tp>
      <tp t="s">
        <v>#N/A N/A</v>
        <stp/>
        <stp>BDH|18201575566567214957</stp>
        <tr r="Z12" s="2"/>
      </tp>
      <tp t="s">
        <v>#N/A N/A</v>
        <stp/>
        <stp>BDH|17494418065267589722</stp>
        <tr r="C65" s="2"/>
      </tp>
      <tp t="s">
        <v>#N/A N/A</v>
        <stp/>
        <stp>BDH|11562035402763287715</stp>
        <tr r="AL21" s="2"/>
      </tp>
      <tp t="e">
        <v>#N/A</v>
        <stp/>
        <stp>BDH|16341713432921656616</stp>
        <tr r="AL61" s="2"/>
      </tp>
      <tp t="s">
        <v>#N/A N/A</v>
        <stp/>
        <stp>BDH|16356961469619346581</stp>
        <tr r="U43" s="2"/>
      </tp>
      <tp t="s">
        <v>#N/A N/A</v>
        <stp/>
        <stp>BDH|10246358137824770119</stp>
        <tr r="Y32" s="2"/>
      </tp>
      <tp t="s">
        <v>#N/A N/A</v>
        <stp/>
        <stp>BDH|17125199528048784919</stp>
        <tr r="K63" s="2"/>
      </tp>
      <tp t="s">
        <v>#N/A N/A</v>
        <stp/>
        <stp>BDH|12783257236896086026</stp>
        <tr r="T28" s="2"/>
      </tp>
      <tp t="s">
        <v>#N/A N/A</v>
        <stp/>
        <stp>BDH|13285755642254047134</stp>
        <tr r="AL65" s="2"/>
      </tp>
      <tp t="s">
        <v>#N/A N/A</v>
        <stp/>
        <stp>BDH|10488233910542069415</stp>
        <tr r="C17" s="2"/>
      </tp>
      <tp t="e">
        <v>#N/A</v>
        <stp/>
        <stp>BDH|10474104664036260440</stp>
        <tr r="J60" s="2"/>
      </tp>
      <tp t="s">
        <v>#N/A N/A</v>
        <stp/>
        <stp>BDH|13918315935916213098</stp>
        <tr r="P16" s="2"/>
      </tp>
      <tp t="s">
        <v>#N/A N/A</v>
        <stp/>
        <stp>BDH|15974233151655733253</stp>
        <tr r="U17" s="2"/>
      </tp>
      <tp t="s">
        <v>#N/A N/A</v>
        <stp/>
        <stp>BDH|15477614770399420883</stp>
        <tr r="P21" s="2"/>
      </tp>
      <tp t="s">
        <v>#N/A N/A</v>
        <stp/>
        <stp>BDH|16219945026598934002</stp>
        <tr r="AH41" s="2"/>
      </tp>
      <tp t="s">
        <v>#N/A N/A</v>
        <stp/>
        <stp>BDH|17849312530805920787</stp>
        <tr r="Q44" s="2"/>
      </tp>
      <tp t="s">
        <v>#N/A N/A</v>
        <stp/>
        <stp>BDH|15678501507960835511</stp>
        <tr r="AF16" s="2"/>
      </tp>
      <tp t="s">
        <v>#N/A N/A</v>
        <stp/>
        <stp>BDH|17823261635706410578</stp>
        <tr r="W37" s="2"/>
      </tp>
      <tp t="s">
        <v>#N/A N/A</v>
        <stp/>
        <stp>BDH|17040726927370831763</stp>
        <tr r="G13" s="2"/>
      </tp>
      <tp t="s">
        <v>#N/A N/A</v>
        <stp/>
        <stp>BDH|17584861013489246288</stp>
        <tr r="AA36" s="2"/>
      </tp>
      <tp t="s">
        <v>#N/A N/A</v>
        <stp/>
        <stp>BDH|15132098513865649408</stp>
        <tr r="AG56" s="2"/>
      </tp>
      <tp t="s">
        <v>#N/A N/A</v>
        <stp/>
        <stp>BDH|11199262944192923075</stp>
        <tr r="AM33" s="2"/>
      </tp>
      <tp t="s">
        <v>#N/A N/A</v>
        <stp/>
        <stp>BDH|14777639117640992672</stp>
        <tr r="O48" s="2"/>
      </tp>
      <tp t="s">
        <v>#N/A N/A</v>
        <stp/>
        <stp>BDH|14620669688208286768</stp>
        <tr r="AJ10" s="2"/>
      </tp>
      <tp t="s">
        <v>#N/A N/A</v>
        <stp/>
        <stp>BDH|12194898001037185841</stp>
        <tr r="AF24" s="2"/>
      </tp>
      <tp t="s">
        <v>#N/A N/A</v>
        <stp/>
        <stp>BDH|14154057079782786462</stp>
        <tr r="AM35" s="2"/>
      </tp>
      <tp t="s">
        <v>#N/A N/A</v>
        <stp/>
        <stp>BDH|13885663372077602064</stp>
        <tr r="L64" s="2"/>
      </tp>
      <tp t="s">
        <v>#N/A N/A</v>
        <stp/>
        <stp>BDH|12541064104112944528</stp>
        <tr r="AL66" s="2"/>
      </tp>
      <tp t="s">
        <v>#N/A N/A</v>
        <stp/>
        <stp>BDH|13025712549391458404</stp>
        <tr r="N25" s="2"/>
      </tp>
      <tp t="s">
        <v>#N/A N/A</v>
        <stp/>
        <stp>BDH|13172889399642996551</stp>
        <tr r="AO66" s="2"/>
      </tp>
      <tp t="s">
        <v>#N/A N/A</v>
        <stp/>
        <stp>BDH|16313265608404506547</stp>
        <tr r="C16" s="2"/>
      </tp>
      <tp t="s">
        <v>#N/A N/A</v>
        <stp/>
        <stp>BDH|11107172672510938225</stp>
        <tr r="S29" s="2"/>
      </tp>
      <tp t="s">
        <v>#N/A N/A</v>
        <stp/>
        <stp>BDH|16064254628773465064</stp>
        <tr r="AL9" s="2"/>
      </tp>
      <tp t="s">
        <v>#N/A N/A</v>
        <stp/>
        <stp>BDH|16704075905180806322</stp>
        <tr r="J41" s="2"/>
      </tp>
      <tp t="s">
        <v>#N/A N/A</v>
        <stp/>
        <stp>BDH|11975556726047251470</stp>
        <tr r="Y65" s="2"/>
      </tp>
      <tp t="e">
        <v>#N/A</v>
        <stp/>
        <stp>BDH|18000669699615968785</stp>
        <tr r="Y60" s="2"/>
      </tp>
      <tp t="s">
        <v>#N/A N/A</v>
        <stp/>
        <stp>BDH|14595520819603579654</stp>
        <tr r="R66" s="2"/>
      </tp>
      <tp t="s">
        <v>#N/A N/A</v>
        <stp/>
        <stp>BDH|13653788218367909719</stp>
        <tr r="N48" s="2"/>
      </tp>
    </main>
    <main first="bofaddin.rtdserver">
      <tp t="s">
        <v>#N/A N/A</v>
        <stp/>
        <stp>BDH|2406158892989943</stp>
        <tr r="AB64" s="2"/>
      </tp>
      <tp t="s">
        <v>#N/A N/A</v>
        <stp/>
        <stp>BDH|8989646452496365163</stp>
        <tr r="P47" s="2"/>
      </tp>
      <tp t="s">
        <v>#N/A N/A</v>
        <stp/>
        <stp>BDH|2026383387403400606</stp>
        <tr r="I45" s="2"/>
      </tp>
      <tp t="s">
        <v>#N/A N/A</v>
        <stp/>
        <stp>BDH|4074255281091681399</stp>
        <tr r="J21" s="2"/>
      </tp>
      <tp t="s">
        <v>#N/A N/A</v>
        <stp/>
        <stp>BDH|3200989817914520337</stp>
        <tr r="R62" s="2"/>
      </tp>
      <tp t="s">
        <v>#N/A N/A</v>
        <stp/>
        <stp>BDH|9921442641961715439</stp>
        <tr r="AK23" s="2"/>
      </tp>
      <tp t="e">
        <v>#N/A</v>
        <stp/>
        <stp>BDH|6977132388256891525</stp>
        <tr r="AH60" s="2"/>
      </tp>
      <tp t="s">
        <v>#N/A N/A</v>
        <stp/>
        <stp>BDH|5210309689811153329</stp>
        <tr r="Y18" s="2"/>
      </tp>
      <tp t="s">
        <v>#N/A N/A</v>
        <stp/>
        <stp>BDH|6256531558692344828</stp>
        <tr r="P44" s="2"/>
      </tp>
      <tp t="s">
        <v>#N/A N/A</v>
        <stp/>
        <stp>BDH|5178117798432573342</stp>
        <tr r="W33" s="2"/>
      </tp>
      <tp t="s">
        <v>#N/A N/A</v>
        <stp/>
        <stp>BDH|7140577460670973860</stp>
        <tr r="AL68" s="2"/>
      </tp>
      <tp t="s">
        <v>#N/A N/A</v>
        <stp/>
        <stp>BDH|5835114866936552847</stp>
        <tr r="L36" s="2"/>
      </tp>
      <tp t="s">
        <v>#N/A N/A</v>
        <stp/>
        <stp>BDH|1834143443478219024</stp>
        <tr r="AL40" s="2"/>
      </tp>
      <tp t="s">
        <v>#N/A N/A</v>
        <stp/>
        <stp>BDH|9985704755696407173</stp>
        <tr r="Z66" s="2"/>
      </tp>
      <tp t="s">
        <v>#N/A N/A</v>
        <stp/>
        <stp>BDH|2202466658126498975</stp>
        <tr r="AJ40" s="2"/>
      </tp>
      <tp t="s">
        <v>#N/A N/A</v>
        <stp/>
        <stp>BDH|4785028999400180121</stp>
        <tr r="Y57" s="2"/>
      </tp>
      <tp t="s">
        <v>#N/A N/A</v>
        <stp/>
        <stp>BDH|8838716869646845378</stp>
        <tr r="D41" s="2"/>
      </tp>
      <tp t="s">
        <v>#N/A N/A</v>
        <stp/>
        <stp>BDH|6551167179024454822</stp>
        <tr r="AB22" s="2"/>
      </tp>
      <tp t="e">
        <v>#N/A</v>
        <stp/>
        <stp>BDH|4340012279936073970</stp>
        <tr r="L60" s="2"/>
      </tp>
      <tp t="s">
        <v>#N/A N/A</v>
        <stp/>
        <stp>BDH|9943165368736840438</stp>
        <tr r="W34" s="2"/>
      </tp>
      <tp t="s">
        <v>#N/A N/A</v>
        <stp/>
        <stp>BDH|7522991510501292222</stp>
        <tr r="T31" s="2"/>
      </tp>
      <tp t="s">
        <v>#N/A N/A</v>
        <stp/>
        <stp>BDH|9835326429141814561</stp>
        <tr r="AH52" s="2"/>
      </tp>
      <tp t="s">
        <v>#N/A N/A</v>
        <stp/>
        <stp>BDH|9523609413821239398</stp>
        <tr r="AB25" s="2"/>
      </tp>
      <tp t="s">
        <v>#N/A N/A</v>
        <stp/>
        <stp>BDH|1447591546695110979</stp>
        <tr r="G25" s="2"/>
      </tp>
      <tp t="s">
        <v>#N/A N/A</v>
        <stp/>
        <stp>BDH|4997490646289716139</stp>
        <tr r="AL67" s="2"/>
      </tp>
      <tp t="s">
        <v>#N/A N/A</v>
        <stp/>
        <stp>BDH|7893418291803331591</stp>
        <tr r="C12" s="2"/>
      </tp>
      <tp t="s">
        <v>#N/A N/A</v>
        <stp/>
        <stp>BDH|3833147475898962121</stp>
        <tr r="Z63" s="2"/>
      </tp>
      <tp t="s">
        <v>#N/A N/A</v>
        <stp/>
        <stp>BDH|5172350381223385142</stp>
        <tr r="AI66" s="2"/>
      </tp>
      <tp t="s">
        <v>#N/A N/A</v>
        <stp/>
        <stp>BDH|5967831539775460740</stp>
        <tr r="X37" s="2"/>
      </tp>
      <tp t="s">
        <v>#N/A N/A</v>
        <stp/>
        <stp>BDH|7426455333565496952</stp>
        <tr r="D68" s="2"/>
      </tp>
      <tp t="s">
        <v>#N/A N/A</v>
        <stp/>
        <stp>BDH|9436256017393250578</stp>
        <tr r="Z23" s="2"/>
      </tp>
      <tp t="s">
        <v>#N/A N/A</v>
        <stp/>
        <stp>BDH|9665056060044445748</stp>
        <tr r="AF22" s="2"/>
      </tp>
      <tp t="e">
        <v>#N/A</v>
        <stp/>
        <stp>BDH|8727616711532069177</stp>
        <tr r="AD61" s="2"/>
      </tp>
      <tp t="s">
        <v>#N/A N/A</v>
        <stp/>
        <stp>BDH|6597400573669501039</stp>
        <tr r="AG42" s="2"/>
      </tp>
      <tp t="s">
        <v>#N/A N/A</v>
        <stp/>
        <stp>BDH|7152303306399566128</stp>
        <tr r="AA66" s="2"/>
      </tp>
      <tp t="s">
        <v>#N/A N/A</v>
        <stp/>
        <stp>BDH|2037440606678394211</stp>
        <tr r="R45" s="2"/>
      </tp>
      <tp t="s">
        <v>#N/A N/A</v>
        <stp/>
        <stp>BDH|7888717329957887983</stp>
        <tr r="I32" s="2"/>
      </tp>
      <tp t="s">
        <v>#N/A N/A</v>
        <stp/>
        <stp>BDH|4517220677924731977</stp>
        <tr r="AE18" s="2"/>
      </tp>
      <tp t="s">
        <v>#N/A N/A</v>
        <stp/>
        <stp>BDH|6362665849529565180</stp>
        <tr r="T65" s="2"/>
      </tp>
      <tp t="s">
        <v>#N/A N/A</v>
        <stp/>
        <stp>BDH|2338360583497762206</stp>
        <tr r="S43" s="2"/>
      </tp>
      <tp t="s">
        <v>#N/A N/A</v>
        <stp/>
        <stp>BDH|3164824923236733369</stp>
        <tr r="Z47" s="2"/>
      </tp>
      <tp t="s">
        <v>#N/A N/A</v>
        <stp/>
        <stp>BDH|3016461878695179991</stp>
        <tr r="AI23" s="2"/>
      </tp>
      <tp t="s">
        <v>#N/A N/A</v>
        <stp/>
        <stp>BDH|6720242781160444000</stp>
        <tr r="S62" s="2"/>
      </tp>
      <tp t="s">
        <v>#N/A N/A</v>
        <stp/>
        <stp>BDH|6930432978038354170</stp>
        <tr r="AF34" s="2"/>
      </tp>
      <tp t="s">
        <v>#N/A N/A</v>
        <stp/>
        <stp>BDH|1544121900699248530</stp>
        <tr r="AA43" s="2"/>
      </tp>
      <tp t="s">
        <v>#N/A N/A</v>
        <stp/>
        <stp>BDH|3560374490241303476</stp>
        <tr r="Y33" s="2"/>
      </tp>
      <tp t="s">
        <v>#N/A N/A</v>
        <stp/>
        <stp>BDH|7915307597149149898</stp>
        <tr r="M22" s="2"/>
      </tp>
      <tp t="s">
        <v>#N/A N/A</v>
        <stp/>
        <stp>BDH|8500178350222640223</stp>
        <tr r="F10" s="2"/>
      </tp>
      <tp t="s">
        <v>#N/A N/A</v>
        <stp/>
        <stp>BDH|3080103483263137545</stp>
        <tr r="R49" s="2"/>
      </tp>
      <tp t="s">
        <v>#N/A N/A</v>
        <stp/>
        <stp>BDH|4968604927888865402</stp>
        <tr r="Z13" s="2"/>
      </tp>
      <tp t="s">
        <v>#N/A N/A</v>
        <stp/>
        <stp>BDH|3998602686245005489</stp>
        <tr r="AO37" s="2"/>
      </tp>
      <tp t="s">
        <v>#N/A N/A</v>
        <stp/>
        <stp>BDH|9351907320007463900</stp>
        <tr r="P54" s="2"/>
      </tp>
      <tp t="s">
        <v>#N/A N/A</v>
        <stp/>
        <stp>BDH|8238028409614821068</stp>
        <tr r="AD22" s="2"/>
      </tp>
      <tp t="s">
        <v>#N/A N/A</v>
        <stp/>
        <stp>BDH|7169240996295108552</stp>
        <tr r="G37" s="2"/>
      </tp>
      <tp t="s">
        <v>#N/A N/A</v>
        <stp/>
        <stp>BDH|6166875265840514415</stp>
        <tr r="AK56" s="2"/>
      </tp>
      <tp t="s">
        <v>#N/A N/A</v>
        <stp/>
        <stp>BDH|8510994152399189180</stp>
        <tr r="AM48" s="2"/>
      </tp>
      <tp t="s">
        <v>#N/A N/A</v>
        <stp/>
        <stp>BDH|6674953661823186675</stp>
        <tr r="I66" s="2"/>
      </tp>
      <tp t="s">
        <v>#N/A N/A</v>
        <stp/>
        <stp>BDH|9906351011002843511</stp>
        <tr r="AD37" s="2"/>
      </tp>
      <tp t="s">
        <v>#N/A N/A</v>
        <stp/>
        <stp>BDH|8651280168225170536</stp>
        <tr r="L45" s="2"/>
      </tp>
      <tp t="s">
        <v>#N/A N/A</v>
        <stp/>
        <stp>BDH|9656836533397625948</stp>
        <tr r="AD8" s="2"/>
      </tp>
      <tp t="s">
        <v>#N/A N/A</v>
        <stp/>
        <stp>BDH|9545558605626628676</stp>
        <tr r="X23" s="2"/>
      </tp>
      <tp t="s">
        <v>#N/A N/A</v>
        <stp/>
        <stp>BDH|9763922161452954885</stp>
        <tr r="N41" s="2"/>
      </tp>
      <tp t="s">
        <v>#N/A N/A</v>
        <stp/>
        <stp>BDH|6501012847539241744</stp>
        <tr r="K14" s="2"/>
      </tp>
      <tp t="s">
        <v>#N/A N/A</v>
        <stp/>
        <stp>BDH|3662219896876140255</stp>
        <tr r="V47" s="2"/>
      </tp>
      <tp t="s">
        <v>#N/A N/A</v>
        <stp/>
        <stp>BDH|8995387435946853298</stp>
        <tr r="J28" s="2"/>
      </tp>
      <tp t="e">
        <v>#N/A</v>
        <stp/>
        <stp>BDH|1508718909243001984</stp>
        <tr r="Y61" s="2"/>
      </tp>
      <tp t="s">
        <v>#N/A N/A</v>
        <stp/>
        <stp>BDH|72197009727396719</stp>
        <tr r="K43" s="2"/>
      </tp>
      <tp t="s">
        <v>#N/A N/A</v>
        <stp/>
        <stp>BDH|51705418870201771</stp>
        <tr r="AN26" s="2"/>
      </tp>
      <tp t="s">
        <v>#N/A N/A</v>
        <stp/>
        <stp>BDH|3791540638209411152</stp>
        <tr r="I56" s="2"/>
      </tp>
      <tp t="s">
        <v>#N/A N/A</v>
        <stp/>
        <stp>BDH|5946315622861545856</stp>
        <tr r="AP13" s="2"/>
      </tp>
      <tp t="s">
        <v>#N/A N/A</v>
        <stp/>
        <stp>BDH|2629480280526051556</stp>
        <tr r="R52" s="2"/>
      </tp>
      <tp t="s">
        <v>#N/A N/A</v>
        <stp/>
        <stp>BDH|5801733556238431224</stp>
        <tr r="AG54" s="2"/>
      </tp>
      <tp t="s">
        <v>#N/A N/A</v>
        <stp/>
        <stp>BDH|5291343658408268675</stp>
        <tr r="AM52" s="2"/>
      </tp>
      <tp t="s">
        <v>#N/A N/A</v>
        <stp/>
        <stp>BDH|1462886304966276212</stp>
        <tr r="D43" s="2"/>
      </tp>
      <tp t="s">
        <v>#N/A N/A</v>
        <stp/>
        <stp>BDH|1699908509545712002</stp>
        <tr r="K37" s="2"/>
      </tp>
      <tp t="s">
        <v>#N/A N/A</v>
        <stp/>
        <stp>BDH|2632208764953387893</stp>
        <tr r="H7" s="2"/>
      </tp>
      <tp t="s">
        <v>#N/A N/A</v>
        <stp/>
        <stp>BDH|9040750487572890927</stp>
        <tr r="AM15" s="2"/>
      </tp>
      <tp t="s">
        <v>#N/A N/A</v>
        <stp/>
        <stp>BDH|1845940808121997449</stp>
        <tr r="T7" s="2"/>
      </tp>
      <tp t="s">
        <v>#N/A N/A</v>
        <stp/>
        <stp>BDH|1644396036315901999</stp>
        <tr r="V29" s="2"/>
      </tp>
      <tp t="s">
        <v>#N/A N/A</v>
        <stp/>
        <stp>BDH|9537676431021201088</stp>
        <tr r="X66" s="2"/>
      </tp>
      <tp t="s">
        <v>#N/A N/A</v>
        <stp/>
        <stp>BDH|3146993209757905060</stp>
        <tr r="AI15" s="2"/>
      </tp>
      <tp t="s">
        <v>#N/A N/A</v>
        <stp/>
        <stp>BDH|6978306476208542757</stp>
        <tr r="M64" s="2"/>
      </tp>
      <tp t="s">
        <v>#N/A N/A</v>
        <stp/>
        <stp>BDH|3341997011397246168</stp>
        <tr r="T56" s="2"/>
      </tp>
      <tp t="s">
        <v>#N/A N/A</v>
        <stp/>
        <stp>BDH|5816421596386527350</stp>
        <tr r="AN45" s="2"/>
      </tp>
      <tp t="s">
        <v>#N/A N/A</v>
        <stp/>
        <stp>BDH|5920334193841694331</stp>
        <tr r="H42" s="2"/>
      </tp>
      <tp t="s">
        <v>#N/A N/A</v>
        <stp/>
        <stp>BDH|6037698090387602336</stp>
        <tr r="U54" s="2"/>
      </tp>
      <tp t="s">
        <v>#N/A N/A</v>
        <stp/>
        <stp>BDH|7822007931559580019</stp>
        <tr r="L13" s="2"/>
      </tp>
      <tp t="s">
        <v>#N/A N/A</v>
        <stp/>
        <stp>BDH|8275300647967367549</stp>
        <tr r="L17" s="2"/>
      </tp>
      <tp t="s">
        <v>#N/A N/A</v>
        <stp/>
        <stp>BDH|9546478026717786513</stp>
        <tr r="AI8" s="2"/>
      </tp>
      <tp t="s">
        <v>#N/A N/A</v>
        <stp/>
        <stp>BDH|5614903303479590828</stp>
        <tr r="AF29" s="2"/>
      </tp>
      <tp t="s">
        <v>#N/A N/A</v>
        <stp/>
        <stp>BDH|7173354295506283615</stp>
        <tr r="AE33" s="2"/>
      </tp>
      <tp t="s">
        <v>#N/A N/A</v>
        <stp/>
        <stp>BDH|5041907838966809427</stp>
        <tr r="G68" s="2"/>
      </tp>
      <tp t="s">
        <v>#N/A N/A</v>
        <stp/>
        <stp>BDH|5874025999344337537</stp>
        <tr r="AF65" s="2"/>
      </tp>
      <tp t="s">
        <v>#N/A N/A</v>
        <stp/>
        <stp>BDH|2242807749240113394</stp>
        <tr r="H11" s="2"/>
      </tp>
      <tp t="s">
        <v>#N/A N/A</v>
        <stp/>
        <stp>BDH|6259950404344366636</stp>
        <tr r="AE9" s="2"/>
      </tp>
      <tp t="s">
        <v>#N/A N/A</v>
        <stp/>
        <stp>BDH|7884542163719578094</stp>
        <tr r="AL49" s="2"/>
      </tp>
      <tp t="s">
        <v>#N/A N/A</v>
        <stp/>
        <stp>BDH|6185695085217591280</stp>
        <tr r="E37" s="2"/>
      </tp>
      <tp t="s">
        <v>#N/A N/A</v>
        <stp/>
        <stp>BDH|8742253931002181627</stp>
        <tr r="AI7" s="2"/>
      </tp>
      <tp t="s">
        <v>#N/A N/A</v>
        <stp/>
        <stp>BDH|9597394884468827701</stp>
        <tr r="Z45" s="2"/>
      </tp>
      <tp t="s">
        <v>#N/A N/A</v>
        <stp/>
        <stp>BDH|8368337075672230379</stp>
        <tr r="AK65" s="2"/>
      </tp>
      <tp t="s">
        <v>#N/A N/A</v>
        <stp/>
        <stp>BDH|8543686707352346199</stp>
        <tr r="M37" s="2"/>
      </tp>
      <tp t="s">
        <v>#N/A N/A</v>
        <stp/>
        <stp>BDH|7574879312935072615</stp>
        <tr r="X62" s="2"/>
      </tp>
      <tp t="s">
        <v>#N/A N/A</v>
        <stp/>
        <stp>BDH|3067306096497108360</stp>
        <tr r="E17" s="2"/>
      </tp>
      <tp t="s">
        <v>#N/A N/A</v>
        <stp/>
        <stp>BDH|5647446421539008723</stp>
        <tr r="AB10" s="2"/>
      </tp>
      <tp t="s">
        <v>#N/A N/A</v>
        <stp/>
        <stp>BDH|6485823630101266156</stp>
        <tr r="N37" s="2"/>
      </tp>
      <tp t="s">
        <v>#N/A N/A</v>
        <stp/>
        <stp>BDH|3249751300451189874</stp>
        <tr r="AB41" s="2"/>
      </tp>
      <tp t="s">
        <v>#N/A N/A</v>
        <stp/>
        <stp>BDH|6783050087494229760</stp>
        <tr r="C41" s="2"/>
      </tp>
      <tp t="s">
        <v>#N/A N/A</v>
        <stp/>
        <stp>BDH|1634682624200955854</stp>
        <tr r="G63" s="2"/>
      </tp>
      <tp t="s">
        <v>#N/A N/A</v>
        <stp/>
        <stp>BDH|6471459095087162136</stp>
        <tr r="AH32" s="2"/>
      </tp>
      <tp t="s">
        <v>#N/A N/A</v>
        <stp/>
        <stp>BDH|4664007590761439156</stp>
        <tr r="AI46" s="2"/>
      </tp>
      <tp t="s">
        <v>#N/A N/A</v>
        <stp/>
        <stp>BDH|9249550034173780132</stp>
        <tr r="W36" s="2"/>
      </tp>
      <tp t="s">
        <v>#N/A N/A</v>
        <stp/>
        <stp>BDH|9337911771462103866</stp>
        <tr r="F65" s="2"/>
      </tp>
      <tp t="s">
        <v>#N/A N/A</v>
        <stp/>
        <stp>BDH|8590856119498581481</stp>
        <tr r="G40" s="2"/>
      </tp>
      <tp t="s">
        <v>#N/A N/A</v>
        <stp/>
        <stp>BDH|2981949211552969516</stp>
        <tr r="AH15" s="2"/>
      </tp>
      <tp t="s">
        <v>#N/A N/A</v>
        <stp/>
        <stp>BDH|2425655810890316865</stp>
        <tr r="AF37" s="2"/>
      </tp>
      <tp t="e">
        <v>#N/A</v>
        <stp/>
        <stp>BDH|9595457153895530028</stp>
        <tr r="L61" s="2"/>
      </tp>
      <tp t="s">
        <v>#N/A N/A</v>
        <stp/>
        <stp>BDH|2100235102025233868</stp>
        <tr r="AE29" s="2"/>
      </tp>
      <tp t="s">
        <v>#N/A N/A</v>
        <stp/>
        <stp>BDH|1769878021703513519</stp>
        <tr r="AF64" s="2"/>
      </tp>
      <tp t="s">
        <v>#N/A N/A</v>
        <stp/>
        <stp>BDH|1524109485126763328</stp>
        <tr r="E34" s="2"/>
      </tp>
      <tp t="s">
        <v>#N/A N/A</v>
        <stp/>
        <stp>BDH|8105221695008680650</stp>
        <tr r="N65" s="2"/>
      </tp>
      <tp t="s">
        <v>#N/A N/A</v>
        <stp/>
        <stp>BDH|3292896324437867322</stp>
        <tr r="H57" s="2"/>
      </tp>
      <tp t="s">
        <v>#N/A N/A</v>
        <stp/>
        <stp>BDH|1046324087951060600</stp>
        <tr r="AA11" s="2"/>
      </tp>
      <tp t="s">
        <v>#N/A N/A</v>
        <stp/>
        <stp>BDH|3090199687517737336</stp>
        <tr r="S11" s="2"/>
      </tp>
      <tp t="s">
        <v>#N/A N/A</v>
        <stp/>
        <stp>BDH|9991771705129990985</stp>
        <tr r="Z22" s="2"/>
      </tp>
      <tp t="s">
        <v>#N/A N/A</v>
        <stp/>
        <stp>BDH|4898444354383733859</stp>
        <tr r="O15" s="2"/>
      </tp>
      <tp t="s">
        <v>#N/A N/A</v>
        <stp/>
        <stp>BDH|8308330089189646458</stp>
        <tr r="S25" s="2"/>
      </tp>
      <tp t="s">
        <v>#N/A N/A</v>
        <stp/>
        <stp>BDH|1081276035327931907</stp>
        <tr r="V64" s="2"/>
      </tp>
      <tp t="s">
        <v>#N/A N/A</v>
        <stp/>
        <stp>BDH|1383208077638937252</stp>
        <tr r="Q29" s="2"/>
      </tp>
      <tp t="s">
        <v>#N/A N/A</v>
        <stp/>
        <stp>BDH|9133693642746183339</stp>
        <tr r="AF47" s="2"/>
      </tp>
      <tp t="s">
        <v>#N/A N/A</v>
        <stp/>
        <stp>BDH|8001688160522512450</stp>
        <tr r="AB50" s="2"/>
      </tp>
      <tp t="s">
        <v>#N/A N/A</v>
        <stp/>
        <stp>BDH|8068314302997266292</stp>
        <tr r="X26" s="2"/>
      </tp>
      <tp t="s">
        <v>#N/A N/A</v>
        <stp/>
        <stp>BDH|6932978122061116248</stp>
        <tr r="S15" s="2"/>
      </tp>
      <tp t="s">
        <v>#N/A N/A</v>
        <stp/>
        <stp>BDH|8784544657137431194</stp>
        <tr r="V35" s="2"/>
      </tp>
      <tp t="s">
        <v>#N/A N/A</v>
        <stp/>
        <stp>BDH|8588641903611947125</stp>
        <tr r="AF36" s="2"/>
      </tp>
      <tp t="s">
        <v>#N/A N/A</v>
        <stp/>
        <stp>BDH|2185554425042664999</stp>
        <tr r="S30" s="2"/>
      </tp>
      <tp t="s">
        <v>#N/A N/A</v>
        <stp/>
        <stp>BDH|4412931368640759566</stp>
        <tr r="AI28" s="2"/>
      </tp>
      <tp t="s">
        <v>#N/A N/A</v>
        <stp/>
        <stp>BDH|9325349789818586454</stp>
        <tr r="AP16" s="2"/>
      </tp>
      <tp t="s">
        <v>#N/A N/A</v>
        <stp/>
        <stp>BDH|4955601216484528951</stp>
        <tr r="V65" s="2"/>
      </tp>
      <tp t="s">
        <v>#N/A N/A</v>
        <stp/>
        <stp>BDH|2404170188186034340</stp>
        <tr r="F11" s="2"/>
      </tp>
      <tp t="s">
        <v>#N/A N/A</v>
        <stp/>
        <stp>BDH|6297460428829091732</stp>
        <tr r="Y41" s="2"/>
      </tp>
      <tp t="s">
        <v>#N/A N/A</v>
        <stp/>
        <stp>BDH|7634418113138934426</stp>
        <tr r="V27" s="2"/>
      </tp>
      <tp t="s">
        <v>#N/A N/A</v>
        <stp/>
        <stp>BDH|1933071697177626136</stp>
        <tr r="Y25" s="2"/>
      </tp>
      <tp t="s">
        <v>#N/A N/A</v>
        <stp/>
        <stp>BDH|4432924104095642696</stp>
        <tr r="L15" s="2"/>
      </tp>
      <tp t="s">
        <v>#N/A N/A</v>
        <stp/>
        <stp>BDH|4477295346054696802</stp>
        <tr r="AE37" s="2"/>
      </tp>
      <tp t="s">
        <v>#N/A N/A</v>
        <stp/>
        <stp>BDH|5961881551844866251</stp>
        <tr r="O62" s="2"/>
      </tp>
      <tp t="s">
        <v>#N/A N/A</v>
        <stp/>
        <stp>BDH|6838913714987245725</stp>
        <tr r="AH25" s="2"/>
      </tp>
      <tp t="s">
        <v>#N/A N/A</v>
        <stp/>
        <stp>BDH|3218554474677646877</stp>
        <tr r="AE48" s="2"/>
      </tp>
      <tp t="s">
        <v>#N/A N/A</v>
        <stp/>
        <stp>BDH|8404534527665570476</stp>
        <tr r="Q62" s="2"/>
      </tp>
      <tp t="s">
        <v>#N/A N/A</v>
        <stp/>
        <stp>BDH|6278525174229050367</stp>
        <tr r="Z48" s="2"/>
      </tp>
      <tp t="e">
        <v>#N/A</v>
        <stp/>
        <stp>BDH|4057927457091212756</stp>
        <tr r="AG60" s="2"/>
      </tp>
      <tp t="s">
        <v>#N/A N/A</v>
        <stp/>
        <stp>BDH|4792224996441830093</stp>
        <tr r="L54" s="2"/>
      </tp>
      <tp t="s">
        <v>#N/A N/A</v>
        <stp/>
        <stp>BDH|9936090090629689747</stp>
        <tr r="E11" s="2"/>
      </tp>
      <tp t="s">
        <v>#N/A N/A</v>
        <stp/>
        <stp>BDH|2875790835168033074</stp>
        <tr r="AP32" s="2"/>
      </tp>
      <tp t="s">
        <v>#N/A N/A</v>
        <stp/>
        <stp>BDH|3116553392112356366</stp>
        <tr r="AL30" s="2"/>
      </tp>
      <tp t="s">
        <v>#N/A N/A</v>
        <stp/>
        <stp>BDH|7702932562322440410</stp>
        <tr r="H13" s="2"/>
      </tp>
      <tp t="s">
        <v>#N/A N/A</v>
        <stp/>
        <stp>BDH|3954677090333873161</stp>
        <tr r="F13" s="2"/>
      </tp>
      <tp t="s">
        <v>#N/A N/A</v>
        <stp/>
        <stp>BDH|4436051550579117601</stp>
        <tr r="M33" s="2"/>
      </tp>
      <tp t="s">
        <v>#N/A N/A</v>
        <stp/>
        <stp>BDH|2596555306248427127</stp>
        <tr r="AE47" s="2"/>
      </tp>
      <tp t="s">
        <v>#N/A N/A</v>
        <stp/>
        <stp>BDH|2295661366344489869</stp>
        <tr r="O46" s="2"/>
      </tp>
      <tp t="s">
        <v>#N/A N/A</v>
        <stp/>
        <stp>BDH|7736214897240880292</stp>
        <tr r="AC54" s="2"/>
      </tp>
      <tp t="s">
        <v>#N/A N/A</v>
        <stp/>
        <stp>BDH|1395466784491766263</stp>
        <tr r="AJ35" s="2"/>
      </tp>
      <tp t="s">
        <v>#N/A N/A</v>
        <stp/>
        <stp>BDH|8252448036432984380</stp>
        <tr r="AH37" s="2"/>
      </tp>
      <tp t="s">
        <v>#N/A N/A</v>
        <stp/>
        <stp>BDH|5672946126096322666</stp>
        <tr r="AH35" s="2"/>
      </tp>
      <tp t="s">
        <v>#N/A N/A</v>
        <stp/>
        <stp>BDH|5144884059222169403</stp>
        <tr r="O17" s="2"/>
      </tp>
      <tp t="s">
        <v>#N/A N/A</v>
        <stp/>
        <stp>BDH|8590750446444449133</stp>
        <tr r="E46" s="2"/>
      </tp>
      <tp t="s">
        <v>#N/A N/A</v>
        <stp/>
        <stp>BDH|8321888544779763397</stp>
        <tr r="AF54" s="2"/>
      </tp>
      <tp t="s">
        <v>#N/A N/A</v>
        <stp/>
        <stp>BDH|4064860217477747479</stp>
        <tr r="P68" s="2"/>
      </tp>
      <tp t="s">
        <v>#N/A N/A</v>
        <stp/>
        <stp>BDH|3770027211395093954</stp>
        <tr r="D26" s="2"/>
      </tp>
      <tp t="s">
        <v>#N/A N/A</v>
        <stp/>
        <stp>BDH|3420923067266448436</stp>
        <tr r="AN68" s="2"/>
      </tp>
      <tp t="s">
        <v>#N/A N/A</v>
        <stp/>
        <stp>BDH|9317060351873037129</stp>
        <tr r="C32" s="2"/>
      </tp>
      <tp t="s">
        <v>#N/A N/A</v>
        <stp/>
        <stp>BDH|9586516120266177638</stp>
        <tr r="D67" s="2"/>
      </tp>
      <tp t="s">
        <v>#N/A N/A</v>
        <stp/>
        <stp>BDH|5204819870845310167</stp>
        <tr r="AO23" s="2"/>
      </tp>
      <tp t="s">
        <v>#N/A N/A</v>
        <stp/>
        <stp>BDH|1469855079852902273</stp>
        <tr r="C7" s="2"/>
      </tp>
      <tp t="s">
        <v>#N/A N/A</v>
        <stp/>
        <stp>BDH|1288756908490974801</stp>
        <tr r="C31" s="2"/>
      </tp>
      <tp t="s">
        <v>#N/A N/A</v>
        <stp/>
        <stp>BDH|7360780997732250588</stp>
        <tr r="F44" s="2"/>
      </tp>
      <tp t="s">
        <v>#N/A N/A</v>
        <stp/>
        <stp>BDH|5510722110075921890</stp>
        <tr r="AA57" s="2"/>
      </tp>
      <tp t="s">
        <v>#N/A N/A</v>
        <stp/>
        <stp>BDH|1258913793648105764</stp>
        <tr r="AM12" s="2"/>
      </tp>
      <tp t="s">
        <v>#N/A N/A</v>
        <stp/>
        <stp>BDH|9471173862643513338</stp>
        <tr r="AN24" s="2"/>
      </tp>
      <tp t="s">
        <v>#N/A N/A</v>
        <stp/>
        <stp>BDH|9753358936213625456</stp>
        <tr r="AF10" s="2"/>
      </tp>
      <tp t="s">
        <v>#N/A N/A</v>
        <stp/>
        <stp>BDH|9558204263560566370</stp>
        <tr r="AC34" s="2"/>
      </tp>
      <tp t="s">
        <v>#N/A N/A</v>
        <stp/>
        <stp>BDH|2314279192231289604</stp>
        <tr r="V24" s="2"/>
      </tp>
      <tp t="s">
        <v>#N/A N/A</v>
        <stp/>
        <stp>BDH|2771539751609958584</stp>
        <tr r="J45" s="2"/>
      </tp>
      <tp t="s">
        <v>#N/A N/A</v>
        <stp/>
        <stp>BDH|3807577358364342908</stp>
        <tr r="Y44" s="2"/>
      </tp>
      <tp t="s">
        <v>#N/A N/A</v>
        <stp/>
        <stp>BDH|7658155287840142013</stp>
        <tr r="AA41" s="2"/>
      </tp>
      <tp t="s">
        <v>#N/A N/A</v>
        <stp/>
        <stp>BDH|8306137223675047064</stp>
        <tr r="V15" s="2"/>
      </tp>
      <tp t="s">
        <v>#N/A N/A</v>
        <stp/>
        <stp>BDH|3224121380690416416</stp>
        <tr r="X40" s="2"/>
      </tp>
      <tp t="s">
        <v>#N/A N/A</v>
        <stp/>
        <stp>BDH|8725041678882976375</stp>
        <tr r="G45" s="2"/>
      </tp>
      <tp t="s">
        <v>#N/A N/A</v>
        <stp/>
        <stp>BDH|2700877883635322959</stp>
        <tr r="E65" s="2"/>
      </tp>
      <tp t="s">
        <v>#N/A N/A</v>
        <stp/>
        <stp>BDH|9427519664767739331</stp>
        <tr r="R64" s="2"/>
      </tp>
      <tp t="s">
        <v>#N/A N/A</v>
        <stp/>
        <stp>BDH|70373137884892701</stp>
        <tr r="M31" s="2"/>
      </tp>
      <tp t="s">
        <v>#N/A N/A</v>
        <stp/>
        <stp>BDH|3553453481103338387</stp>
        <tr r="AB12" s="2"/>
      </tp>
      <tp t="e">
        <v>#N/A</v>
        <stp/>
        <stp>BDH|8818949256453837888</stp>
        <tr r="M61" s="2"/>
      </tp>
      <tp t="s">
        <v>#N/A N/A</v>
        <stp/>
        <stp>BDH|4395736391743321683</stp>
        <tr r="AD65" s="2"/>
      </tp>
      <tp t="e">
        <v>#N/A</v>
        <stp/>
        <stp>BDH|5996658483920138446</stp>
        <tr r="AB61" s="2"/>
      </tp>
      <tp t="s">
        <v>#N/A N/A</v>
        <stp/>
        <stp>BDH|9174793030190282214</stp>
        <tr r="AB15" s="2"/>
      </tp>
      <tp t="s">
        <v>#N/A N/A</v>
        <stp/>
        <stp>BDH|9169279462532853070</stp>
        <tr r="G43" s="2"/>
      </tp>
      <tp t="s">
        <v>#N/A N/A</v>
        <stp/>
        <stp>BDH|4544380740975532930</stp>
        <tr r="R35" s="2"/>
      </tp>
      <tp t="s">
        <v>#N/A N/A</v>
        <stp/>
        <stp>BDH|5147823756404550386</stp>
        <tr r="AC10" s="2"/>
      </tp>
      <tp t="s">
        <v>#N/A N/A</v>
        <stp/>
        <stp>BDH|7383675328525102958</stp>
        <tr r="AH12" s="2"/>
      </tp>
      <tp t="s">
        <v>#N/A N/A</v>
        <stp/>
        <stp>BDH|5986957632051247148</stp>
        <tr r="X21" s="2"/>
      </tp>
      <tp t="s">
        <v>#N/A N/A</v>
        <stp/>
        <stp>BDH|8979439027777150642</stp>
        <tr r="Y34" s="2"/>
      </tp>
      <tp t="s">
        <v>#N/A N/A</v>
        <stp/>
        <stp>BDH|1125411744519445796</stp>
        <tr r="G7" s="2"/>
      </tp>
      <tp t="s">
        <v>#N/A N/A</v>
        <stp/>
        <stp>BDH|2232167178802732921</stp>
        <tr r="O37" s="2"/>
      </tp>
      <tp t="s">
        <v>#N/A N/A</v>
        <stp/>
        <stp>BDH|9971108727824451143</stp>
        <tr r="F36" s="2"/>
      </tp>
      <tp t="s">
        <v>#N/A N/A</v>
        <stp/>
        <stp>BDH|8124077983149897639</stp>
        <tr r="F22" s="2"/>
      </tp>
      <tp t="e">
        <v>#N/A</v>
        <stp/>
        <stp>BDH|4910915361632022676</stp>
        <tr r="AJ61" s="2"/>
      </tp>
      <tp t="s">
        <v>#N/A N/A</v>
        <stp/>
        <stp>BDH|9385495647592232417</stp>
        <tr r="AD57" s="2"/>
      </tp>
      <tp t="s">
        <v>#N/A N/A</v>
        <stp/>
        <stp>BDH|3928355993176555055</stp>
        <tr r="AM44" s="2"/>
      </tp>
      <tp t="s">
        <v>#N/A N/A</v>
        <stp/>
        <stp>BDH|9583381499105891901</stp>
        <tr r="AA63" s="2"/>
      </tp>
      <tp t="s">
        <v>#N/A N/A</v>
        <stp/>
        <stp>BDH|7121891332025007673</stp>
        <tr r="AK9" s="2"/>
      </tp>
      <tp t="s">
        <v>#N/A N/A</v>
        <stp/>
        <stp>BDH|8960334124230720649</stp>
        <tr r="Z43" s="2"/>
      </tp>
      <tp t="s">
        <v>#N/A N/A</v>
        <stp/>
        <stp>BDH|8942255734091160748</stp>
        <tr r="AH67" s="2"/>
      </tp>
      <tp t="s">
        <v>#N/A N/A</v>
        <stp/>
        <stp>BDH|1495646786418288864</stp>
        <tr r="U8" s="2"/>
      </tp>
      <tp t="s">
        <v>#N/A N/A</v>
        <stp/>
        <stp>BDH|4754886517217824525</stp>
        <tr r="F26" s="2"/>
      </tp>
      <tp t="s">
        <v>#N/A N/A</v>
        <stp/>
        <stp>BDH|5951375382521678084</stp>
        <tr r="J30" s="2"/>
      </tp>
      <tp t="s">
        <v>#N/A N/A</v>
        <stp/>
        <stp>BDH|3725800964394506648</stp>
        <tr r="Z36" s="2"/>
      </tp>
      <tp t="s">
        <v>#N/A N/A</v>
        <stp/>
        <stp>BDH|6583523758329577084</stp>
        <tr r="J36" s="2"/>
      </tp>
      <tp t="s">
        <v>#N/A N/A</v>
        <stp/>
        <stp>BDH|9874097444381701308</stp>
        <tr r="AB21" s="2"/>
      </tp>
      <tp t="s">
        <v>#N/A N/A</v>
        <stp/>
        <stp>BDH|7702069129728878225</stp>
        <tr r="AP33" s="2"/>
      </tp>
      <tp t="s">
        <v>#N/A N/A</v>
        <stp/>
        <stp>BDH|4550684912204510893</stp>
        <tr r="T40" s="2"/>
      </tp>
      <tp t="s">
        <v>#N/A N/A</v>
        <stp/>
        <stp>BDH|4947864079581414511</stp>
        <tr r="AK32" s="2"/>
      </tp>
      <tp t="s">
        <v>#N/A N/A</v>
        <stp/>
        <stp>BDH|8623945552743362802</stp>
        <tr r="C14" s="2"/>
      </tp>
      <tp t="s">
        <v>#N/A N/A</v>
        <stp/>
        <stp>BDH|8541384680865798995</stp>
        <tr r="U35" s="2"/>
      </tp>
      <tp t="s">
        <v>#N/A N/A</v>
        <stp/>
        <stp>BDH|8564230726383357406</stp>
        <tr r="Z37" s="2"/>
      </tp>
      <tp t="s">
        <v>#N/A N/A</v>
        <stp/>
        <stp>BDH|2788923144540267003</stp>
        <tr r="Y27" s="2"/>
      </tp>
      <tp t="s">
        <v>#N/A N/A</v>
        <stp/>
        <stp>BDH|9323376831295667335</stp>
        <tr r="J10" s="2"/>
      </tp>
      <tp t="s">
        <v>#N/A N/A</v>
        <stp/>
        <stp>BDH|8140745675861998694</stp>
        <tr r="J26" s="2"/>
      </tp>
      <tp t="s">
        <v>#N/A N/A</v>
        <stp/>
        <stp>BDH|3734072163562583867</stp>
        <tr r="V31" s="2"/>
      </tp>
      <tp t="s">
        <v>#N/A N/A</v>
        <stp/>
        <stp>BDH|4330385489954327408</stp>
        <tr r="AP62" s="2"/>
      </tp>
      <tp t="s">
        <v>#N/A N/A</v>
        <stp/>
        <stp>BDH|3629010262032013844</stp>
        <tr r="AI57" s="2"/>
      </tp>
      <tp t="e">
        <v>#N/A</v>
        <stp/>
        <stp>BDH|7575951932165166750</stp>
        <tr r="AL60" s="2"/>
      </tp>
      <tp t="s">
        <v>#N/A N/A</v>
        <stp/>
        <stp>BDH|4755557483025667316</stp>
        <tr r="W8" s="2"/>
      </tp>
      <tp t="s">
        <v>#N/A N/A</v>
        <stp/>
        <stp>BDH|8871546015460682398</stp>
        <tr r="V30" s="2"/>
      </tp>
      <tp t="s">
        <v>#N/A N/A</v>
        <stp/>
        <stp>BDH|4139872265747710223</stp>
        <tr r="AK7" s="2"/>
      </tp>
      <tp t="s">
        <v>#N/A N/A</v>
        <stp/>
        <stp>BDH|7574869176402644556</stp>
        <tr r="Z18" s="2"/>
      </tp>
      <tp t="s">
        <v>#N/A N/A</v>
        <stp/>
        <stp>BDH|8446478854164575247</stp>
        <tr r="Y23" s="2"/>
      </tp>
      <tp t="s">
        <v>#N/A N/A</v>
        <stp/>
        <stp>BDH|8602777020853070169</stp>
        <tr r="AB23" s="2"/>
      </tp>
      <tp t="s">
        <v>#N/A N/A</v>
        <stp/>
        <stp>BDH|8463269141653506210</stp>
        <tr r="X43" s="2"/>
      </tp>
      <tp t="s">
        <v>#N/A N/A</v>
        <stp/>
        <stp>BDH|9536220221235234338</stp>
        <tr r="AH42" s="2"/>
      </tp>
      <tp t="s">
        <v>#N/A N/A</v>
        <stp/>
        <stp>BDH|2843568969786038806</stp>
        <tr r="AG23" s="2"/>
      </tp>
      <tp t="s">
        <v>#N/A N/A</v>
        <stp/>
        <stp>BDH|5515056946946500878</stp>
        <tr r="W35" s="2"/>
      </tp>
      <tp t="s">
        <v>#N/A N/A</v>
        <stp/>
        <stp>BDH|4315535862880096868</stp>
        <tr r="AF48" s="2"/>
      </tp>
      <tp t="s">
        <v>#N/A N/A</v>
        <stp/>
        <stp>BDH|1644745598758906867</stp>
        <tr r="G10" s="2"/>
      </tp>
      <tp t="s">
        <v>#N/A N/A</v>
        <stp/>
        <stp>BDH|2429063679732621881</stp>
        <tr r="W41" s="2"/>
      </tp>
      <tp t="s">
        <v>#N/A N/A</v>
        <stp/>
        <stp>BDH|9310765954366057245</stp>
        <tr r="AO42" s="2"/>
      </tp>
      <tp t="s">
        <v>#N/A N/A</v>
        <stp/>
        <stp>BDH|8117635085909435066</stp>
        <tr r="AD68" s="2"/>
      </tp>
      <tp t="s">
        <v>#N/A N/A</v>
        <stp/>
        <stp>BDH|59216118453922236</stp>
        <tr r="K28" s="2"/>
      </tp>
      <tp t="s">
        <v>#N/A N/A</v>
        <stp/>
        <stp>BDH|80497330390192562</stp>
        <tr r="R36" s="2"/>
      </tp>
      <tp t="s">
        <v>#N/A N/A</v>
        <stp/>
        <stp>BDH|7333983944652429014</stp>
        <tr r="AK28" s="2"/>
      </tp>
      <tp t="s">
        <v>#N/A N/A</v>
        <stp/>
        <stp>BDH|6692608070307871848</stp>
        <tr r="W43" s="2"/>
      </tp>
      <tp t="s">
        <v>#N/A N/A</v>
        <stp/>
        <stp>BDH|4300840438134256361</stp>
        <tr r="D23" s="2"/>
      </tp>
      <tp t="s">
        <v>#N/A N/A</v>
        <stp/>
        <stp>BDH|7132522538391950892</stp>
        <tr r="D36" s="2"/>
      </tp>
      <tp t="s">
        <v>#N/A N/A</v>
        <stp/>
        <stp>BDH|9632100545333941710</stp>
        <tr r="F41" s="2"/>
      </tp>
      <tp t="s">
        <v>#N/A N/A</v>
        <stp/>
        <stp>BDH|8207111434624947657</stp>
        <tr r="AG68" s="2"/>
      </tp>
      <tp t="e">
        <v>#N/A</v>
        <stp/>
        <stp>BDH|3032485194504438237</stp>
        <tr r="W60" s="2"/>
      </tp>
      <tp t="s">
        <v>#N/A N/A</v>
        <stp/>
        <stp>BDH|9885503857860513119</stp>
        <tr r="O31" s="2"/>
      </tp>
      <tp t="s">
        <v>#N/A N/A</v>
        <stp/>
        <stp>BDH|7839759538809616288</stp>
        <tr r="AB7" s="2"/>
      </tp>
      <tp t="s">
        <v>#N/A N/A</v>
        <stp/>
        <stp>BDH|2934115445876491928</stp>
        <tr r="AA28" s="2"/>
      </tp>
      <tp t="s">
        <v>#N/A N/A</v>
        <stp/>
        <stp>BDH|8526029034735998620</stp>
        <tr r="AP40" s="2"/>
      </tp>
      <tp t="s">
        <v>#N/A N/A</v>
        <stp/>
        <stp>BDH|2037985136668077863</stp>
        <tr r="E62" s="2"/>
      </tp>
      <tp t="s">
        <v>#N/A N/A</v>
        <stp/>
        <stp>BDH|5521905379004391777</stp>
        <tr r="J32" s="2"/>
      </tp>
      <tp t="s">
        <v>#N/A N/A</v>
        <stp/>
        <stp>BDH|4011267183993558593</stp>
        <tr r="D62" s="2"/>
      </tp>
      <tp t="s">
        <v>#N/A N/A</v>
        <stp/>
        <stp>BDH|8635150197738922049</stp>
        <tr r="AM9" s="2"/>
      </tp>
      <tp t="s">
        <v>#N/A N/A</v>
        <stp/>
        <stp>BDH|3572049788373131010</stp>
        <tr r="AD13" s="2"/>
      </tp>
      <tp t="s">
        <v>#N/A N/A</v>
        <stp/>
        <stp>BDH|7342582970799446414</stp>
        <tr r="I67" s="2"/>
      </tp>
      <tp t="s">
        <v>#N/A N/A</v>
        <stp/>
        <stp>BDH|9710632229851735440</stp>
        <tr r="F15" s="2"/>
      </tp>
      <tp t="s">
        <v>#N/A N/A</v>
        <stp/>
        <stp>BDH|9881033970001346764</stp>
        <tr r="AP47" s="2"/>
      </tp>
      <tp t="s">
        <v>#N/A N/A</v>
        <stp/>
        <stp>BDH|5221619008232312979</stp>
        <tr r="AB67" s="2"/>
      </tp>
      <tp t="s">
        <v>#N/A N/A</v>
        <stp/>
        <stp>BDH|3505572988143372567</stp>
        <tr r="H45" s="2"/>
      </tp>
      <tp t="s">
        <v>#N/A N/A</v>
        <stp/>
        <stp>BDH|7835203544358086139</stp>
        <tr r="AG50" s="2"/>
      </tp>
      <tp t="s">
        <v>#N/A N/A</v>
        <stp/>
        <stp>BDH|4978426997616447777</stp>
        <tr r="AK21" s="2"/>
      </tp>
      <tp t="s">
        <v>#N/A N/A</v>
        <stp/>
        <stp>BDH|9231741969251780173</stp>
        <tr r="AP26" s="2"/>
      </tp>
      <tp t="e">
        <v>#N/A</v>
        <stp/>
        <stp>BDH|8711851267898949630</stp>
        <tr r="M60" s="2"/>
      </tp>
      <tp t="s">
        <v>#N/A N/A</v>
        <stp/>
        <stp>BDH|5558815051112289287</stp>
        <tr r="C22" s="2"/>
      </tp>
      <tp t="s">
        <v>#N/A N/A</v>
        <stp/>
        <stp>BDH|3719020717343864969</stp>
        <tr r="Q45" s="2"/>
      </tp>
      <tp t="s">
        <v>#N/A N/A</v>
        <stp/>
        <stp>BDH|8331712940726794592</stp>
        <tr r="D28" s="2"/>
      </tp>
      <tp t="s">
        <v>#N/A N/A</v>
        <stp/>
        <stp>BDH|1460499868242057995</stp>
        <tr r="AO33" s="2"/>
      </tp>
      <tp t="s">
        <v>#N/A N/A</v>
        <stp/>
        <stp>BDH|2924002034928766178</stp>
        <tr r="F9" s="2"/>
      </tp>
      <tp t="s">
        <v>#N/A N/A</v>
        <stp/>
        <stp>BDH|6803279635387067872</stp>
        <tr r="AB26" s="2"/>
      </tp>
      <tp t="s">
        <v>#N/A N/A</v>
        <stp/>
        <stp>BDH|7905361699264659120</stp>
        <tr r="P18" s="2"/>
      </tp>
      <tp t="s">
        <v>#N/A N/A</v>
        <stp/>
        <stp>BDH|9775324729086881664</stp>
        <tr r="T9" s="2"/>
      </tp>
      <tp t="s">
        <v>#N/A N/A</v>
        <stp/>
        <stp>BDH|6557148893363881595</stp>
        <tr r="C35" s="2"/>
      </tp>
      <tp t="s">
        <v>#N/A N/A</v>
        <stp/>
        <stp>BDH|5265374780587361155</stp>
        <tr r="O42" s="2"/>
      </tp>
      <tp t="s">
        <v>#N/A N/A</v>
        <stp/>
        <stp>BDH|5779307551239694230</stp>
        <tr r="K44" s="2"/>
      </tp>
      <tp t="s">
        <v>#N/A N/A</v>
        <stp/>
        <stp>BDH|7245439905869338277</stp>
        <tr r="O32" s="2"/>
      </tp>
      <tp t="s">
        <v>#N/A N/A</v>
        <stp/>
        <stp>BDH|5821668573589410599</stp>
        <tr r="F27" s="2"/>
      </tp>
      <tp t="s">
        <v>#N/A N/A</v>
        <stp/>
        <stp>BDH|8694631746032320003</stp>
        <tr r="W22" s="2"/>
      </tp>
      <tp t="s">
        <v>#N/A N/A</v>
        <stp/>
        <stp>BDH|2094064944077564976</stp>
        <tr r="G14" s="2"/>
      </tp>
      <tp t="s">
        <v>#N/A N/A</v>
        <stp/>
        <stp>BDH|9965284947342786517</stp>
        <tr r="M34" s="2"/>
      </tp>
      <tp t="s">
        <v>#N/A N/A</v>
        <stp/>
        <stp>BDH|3831523497311986658</stp>
        <tr r="E48" s="2"/>
      </tp>
      <tp t="s">
        <v>#N/A N/A</v>
        <stp/>
        <stp>BDH|7683493814598354293</stp>
        <tr r="I8" s="2"/>
      </tp>
      <tp t="s">
        <v>#N/A N/A</v>
        <stp/>
        <stp>BDH|2205287393163762282</stp>
        <tr r="U50" s="2"/>
      </tp>
      <tp t="s">
        <v>#N/A N/A</v>
        <stp/>
        <stp>BDH|8238322383058789322</stp>
        <tr r="K17" s="2"/>
      </tp>
      <tp t="s">
        <v>#N/A N/A</v>
        <stp/>
        <stp>BDH|3096917817911133204</stp>
        <tr r="AO50" s="2"/>
      </tp>
      <tp t="s">
        <v>#N/A N/A</v>
        <stp/>
        <stp>BDH|4111330076010552860</stp>
        <tr r="O40" s="2"/>
      </tp>
      <tp t="s">
        <v>#N/A N/A</v>
        <stp/>
        <stp>BDH|9135914082607239743</stp>
        <tr r="AC40" s="2"/>
      </tp>
      <tp t="s">
        <v>#N/A N/A</v>
        <stp/>
        <stp>BDH|9757820540445029812</stp>
        <tr r="AC14" s="2"/>
      </tp>
      <tp t="s">
        <v>#N/A N/A</v>
        <stp/>
        <stp>BDH|9963715079634413516</stp>
        <tr r="Z49" s="2"/>
      </tp>
      <tp t="s">
        <v>#N/A N/A</v>
        <stp/>
        <stp>BDH|9149575782895725970</stp>
        <tr r="AM45" s="2"/>
      </tp>
      <tp t="s">
        <v>#N/A N/A</v>
        <stp/>
        <stp>BDH|4946171333287024999</stp>
        <tr r="N68" s="2"/>
      </tp>
      <tp t="s">
        <v>#N/A N/A</v>
        <stp/>
        <stp>BDH|5719900222695750371</stp>
        <tr r="G16" s="2"/>
      </tp>
      <tp t="s">
        <v>#N/A N/A</v>
        <stp/>
        <stp>BDH|9802597733727451032</stp>
        <tr r="P46" s="2"/>
      </tp>
      <tp t="s">
        <v>#N/A N/A</v>
        <stp/>
        <stp>BDH|5341863416956001267</stp>
        <tr r="AE7" s="2"/>
      </tp>
      <tp t="s">
        <v>#N/A N/A</v>
        <stp/>
        <stp>BDH|4046022327718797672</stp>
        <tr r="M9" s="2"/>
      </tp>
      <tp t="s">
        <v>#N/A N/A</v>
        <stp/>
        <stp>BDH|4874861175965825662</stp>
        <tr r="Z15" s="2"/>
      </tp>
      <tp t="s">
        <v>#N/A N/A</v>
        <stp/>
        <stp>BDH|2244974386633071991</stp>
        <tr r="R12" s="2"/>
      </tp>
      <tp t="s">
        <v>#N/A N/A</v>
        <stp/>
        <stp>BDH|7100558220949658087</stp>
        <tr r="U42" s="2"/>
      </tp>
      <tp t="s">
        <v>#N/A N/A</v>
        <stp/>
        <stp>BDH|8640495120535021254</stp>
        <tr r="N24" s="2"/>
      </tp>
      <tp t="s">
        <v>#N/A N/A</v>
        <stp/>
        <stp>BDH|5110381470648059023</stp>
        <tr r="V41" s="2"/>
      </tp>
      <tp t="s">
        <v>#N/A N/A</v>
        <stp/>
        <stp>BDH|8980690288858374703</stp>
        <tr r="X12" s="2"/>
      </tp>
      <tp t="s">
        <v>#N/A N/A</v>
        <stp/>
        <stp>BDH|7396439644259764789</stp>
        <tr r="AN7" s="2"/>
      </tp>
      <tp t="s">
        <v>#N/A N/A</v>
        <stp/>
        <stp>BDH|2156189635830327976</stp>
        <tr r="I23" s="2"/>
      </tp>
      <tp t="s">
        <v>#N/A N/A</v>
        <stp/>
        <stp>BDH|4230424998472461247</stp>
        <tr r="AE30" s="2"/>
      </tp>
      <tp t="s">
        <v>#N/A N/A</v>
        <stp/>
        <stp>BDH|7432047879838648174</stp>
        <tr r="AD16" s="2"/>
      </tp>
      <tp t="s">
        <v>#N/A N/A</v>
        <stp/>
        <stp>BDH|2017977856405119290</stp>
        <tr r="R31" s="2"/>
      </tp>
      <tp t="s">
        <v>#N/A N/A</v>
        <stp/>
        <stp>BDH|7482199496197279108</stp>
        <tr r="AN64" s="2"/>
      </tp>
      <tp t="s">
        <v>#N/A N/A</v>
        <stp/>
        <stp>BDH|2877336473677543836</stp>
        <tr r="AK41" s="2"/>
      </tp>
      <tp t="s">
        <v>#N/A N/A</v>
        <stp/>
        <stp>BDH|5745556951199932545</stp>
        <tr r="N31" s="2"/>
      </tp>
      <tp t="s">
        <v>#N/A N/A</v>
        <stp/>
        <stp>BDH|1756183503329452070</stp>
        <tr r="AP34" s="2"/>
      </tp>
      <tp t="s">
        <v>#N/A N/A</v>
        <stp/>
        <stp>BDH|7412437190590065386</stp>
        <tr r="V25" s="2"/>
      </tp>
      <tp t="s">
        <v>#N/A N/A</v>
        <stp/>
        <stp>BDH|2945856392993873990</stp>
        <tr r="W46" s="2"/>
      </tp>
      <tp t="s">
        <v>#N/A N/A</v>
        <stp/>
        <stp>BDH|5991842294045612805</stp>
        <tr r="V52" s="2"/>
      </tp>
      <tp t="s">
        <v>#N/A N/A</v>
        <stp/>
        <stp>BDH|8712160098761067853</stp>
        <tr r="AH64" s="2"/>
      </tp>
      <tp t="s">
        <v>#N/A N/A</v>
        <stp/>
        <stp>BDH|8617870769578711731</stp>
        <tr r="AO29" s="2"/>
      </tp>
      <tp t="s">
        <v>#N/A N/A</v>
        <stp/>
        <stp>BDH|4373441225222805968</stp>
        <tr r="N27" s="2"/>
      </tp>
      <tp t="s">
        <v>#N/A N/A</v>
        <stp/>
        <stp>BDH|9893351725481296074</stp>
        <tr r="L22" s="2"/>
      </tp>
      <tp t="s">
        <v>#N/A N/A</v>
        <stp/>
        <stp>BDH|4823691051586501880</stp>
        <tr r="AI62" s="2"/>
      </tp>
      <tp t="s">
        <v>#N/A N/A</v>
        <stp/>
        <stp>BDH|3857771083606651378</stp>
        <tr r="G32" s="2"/>
      </tp>
      <tp t="s">
        <v>#N/A N/A</v>
        <stp/>
        <stp>BDH|3457847436528052949</stp>
        <tr r="T18" s="2"/>
      </tp>
      <tp t="s">
        <v>#N/A N/A</v>
        <stp/>
        <stp>BDH|5280702472408523473</stp>
        <tr r="Q35" s="2"/>
      </tp>
      <tp t="s">
        <v>#N/A N/A</v>
        <stp/>
        <stp>BDH|1096590369502358917</stp>
        <tr r="V40" s="2"/>
      </tp>
      <tp t="s">
        <v>#N/A N/A</v>
        <stp/>
        <stp>BDH|5730369086287038048</stp>
        <tr r="Y47" s="2"/>
      </tp>
      <tp t="s">
        <v>#N/A N/A</v>
        <stp/>
        <stp>BDH|9322875594046322706</stp>
        <tr r="AP56" s="2"/>
      </tp>
      <tp t="s">
        <v>#N/A N/A</v>
        <stp/>
        <stp>BDH|9720135009419858862</stp>
        <tr r="AF14" s="2"/>
      </tp>
      <tp t="s">
        <v>#N/A N/A</v>
        <stp/>
        <stp>BDH|8387786064700866048</stp>
        <tr r="G9" s="2"/>
      </tp>
      <tp t="s">
        <v>#N/A N/A</v>
        <stp/>
        <stp>BDH|6122295192166191286</stp>
        <tr r="AC43" s="2"/>
      </tp>
      <tp t="s">
        <v>#N/A N/A</v>
        <stp/>
        <stp>BDH|5310290197131706698</stp>
        <tr r="R41" s="2"/>
      </tp>
      <tp t="s">
        <v>#N/A N/A</v>
        <stp/>
        <stp>BDH|8104229605635407610</stp>
        <tr r="U68" s="2"/>
      </tp>
      <tp t="s">
        <v>#N/A N/A</v>
        <stp/>
        <stp>BDH|5579551831782668874</stp>
        <tr r="AJ64" s="2"/>
      </tp>
      <tp t="s">
        <v>#N/A N/A</v>
        <stp/>
        <stp>BDH|6006252101844476904</stp>
        <tr r="T15" s="2"/>
      </tp>
      <tp t="s">
        <v>#N/A N/A</v>
        <stp/>
        <stp>BDH|1637222407918117223</stp>
        <tr r="O41" s="2"/>
      </tp>
      <tp t="s">
        <v>#N/A N/A</v>
        <stp/>
        <stp>BDH|8959548625703908515</stp>
        <tr r="E23" s="2"/>
      </tp>
      <tp t="s">
        <v>#N/A N/A</v>
        <stp/>
        <stp>BDH|6009098155549864359</stp>
        <tr r="AJ29" s="2"/>
      </tp>
      <tp t="s">
        <v>#N/A N/A</v>
        <stp/>
        <stp>BDH|4387190491643252686</stp>
        <tr r="AC46" s="2"/>
      </tp>
      <tp t="s">
        <v>#N/A N/A</v>
        <stp/>
        <stp>BDH|5670925072501797303</stp>
        <tr r="M47" s="2"/>
      </tp>
      <tp t="s">
        <v>#N/A N/A</v>
        <stp/>
        <stp>BDH|9463546927540036769</stp>
        <tr r="S9" s="2"/>
      </tp>
      <tp t="s">
        <v>#N/A N/A</v>
        <stp/>
        <stp>BDH|9173901003109589013</stp>
        <tr r="AI44" s="2"/>
      </tp>
      <tp t="s">
        <v>#N/A N/A</v>
        <stp/>
        <stp>BDH|3518191090404888623</stp>
        <tr r="AB44" s="2"/>
      </tp>
      <tp t="s">
        <v>#N/A N/A</v>
        <stp/>
        <stp>BDH|8662637732837406357</stp>
        <tr r="AG37" s="2"/>
      </tp>
      <tp t="s">
        <v>#N/A N/A</v>
        <stp/>
        <stp>BDH|4542837492324360807</stp>
        <tr r="W45" s="2"/>
      </tp>
      <tp t="s">
        <v>#N/A N/A</v>
        <stp/>
        <stp>BDH|9120276165651741530</stp>
        <tr r="Q42" s="2"/>
      </tp>
      <tp t="s">
        <v>#N/A N/A</v>
        <stp/>
        <stp>BDH|1943340139279486178</stp>
        <tr r="R54" s="2"/>
      </tp>
      <tp t="s">
        <v>#N/A N/A</v>
        <stp/>
        <stp>BDH|7124640106678682019</stp>
        <tr r="S65" s="2"/>
      </tp>
      <tp t="s">
        <v>#N/A N/A</v>
        <stp/>
        <stp>BDH|1238183713421811952</stp>
        <tr r="AJ62" s="2"/>
      </tp>
      <tp t="s">
        <v>#N/A N/A</v>
        <stp/>
        <stp>BDH|2016566950178787359</stp>
        <tr r="W17" s="2"/>
      </tp>
      <tp t="s">
        <v>#N/A N/A</v>
        <stp/>
        <stp>BDH|1678904816808748832</stp>
        <tr r="AG9" s="2"/>
      </tp>
      <tp t="s">
        <v>#N/A N/A</v>
        <stp/>
        <stp>BDH|4979237026858124589</stp>
        <tr r="S40" s="2"/>
      </tp>
      <tp t="s">
        <v>#N/A N/A</v>
        <stp/>
        <stp>BDH|8843642639662477645</stp>
        <tr r="U33" s="2"/>
      </tp>
      <tp t="s">
        <v>#N/A N/A</v>
        <stp/>
        <stp>BDH|7760350903835361872</stp>
        <tr r="AE21" s="2"/>
      </tp>
      <tp t="s">
        <v>#N/A N/A</v>
        <stp/>
        <stp>BDH|8070634643514735729</stp>
        <tr r="Z24" s="2"/>
      </tp>
      <tp t="s">
        <v>#N/A N/A</v>
        <stp/>
        <stp>BDH|5970458616078628191</stp>
        <tr r="N50" s="2"/>
      </tp>
      <tp t="s">
        <v>#N/A N/A</v>
        <stp/>
        <stp>BDH|34632747933971568</stp>
        <tr r="U30" s="2"/>
      </tp>
      <tp t="s">
        <v>#N/A N/A</v>
        <stp/>
        <stp>BDH|8914317223497777462</stp>
        <tr r="R10" s="2"/>
      </tp>
      <tp t="s">
        <v>#N/A N/A</v>
        <stp/>
        <stp>BDH|4896032782175146324</stp>
        <tr r="AF28" s="2"/>
      </tp>
      <tp t="s">
        <v>#N/A N/A</v>
        <stp/>
        <stp>BDH|3687627528908463535</stp>
        <tr r="AN22" s="2"/>
      </tp>
      <tp t="s">
        <v>#N/A N/A</v>
        <stp/>
        <stp>BDH|4856162097402193433</stp>
        <tr r="AH29" s="2"/>
      </tp>
      <tp t="s">
        <v>#N/A N/A</v>
        <stp/>
        <stp>BDH|1280380705910364879</stp>
        <tr r="AE26" s="2"/>
      </tp>
      <tp t="s">
        <v>#N/A N/A</v>
        <stp/>
        <stp>BDH|9770076733158951826</stp>
        <tr r="AA31" s="2"/>
      </tp>
      <tp t="s">
        <v>#N/A N/A</v>
        <stp/>
        <stp>BDH|9539906423641646980</stp>
        <tr r="C56" s="2"/>
      </tp>
      <tp t="s">
        <v>#N/A N/A</v>
        <stp/>
        <stp>BDH|2695089291535395446</stp>
        <tr r="AO35" s="2"/>
      </tp>
      <tp t="s">
        <v>#N/A N/A</v>
        <stp/>
        <stp>BDH|5532035784170893737</stp>
        <tr r="AM62" s="2"/>
      </tp>
      <tp t="s">
        <v>#N/A N/A</v>
        <stp/>
        <stp>BDH|4928915279908059881</stp>
        <tr r="N22" s="2"/>
      </tp>
      <tp t="s">
        <v>#N/A N/A</v>
        <stp/>
        <stp>BDH|9938575826122983680</stp>
        <tr r="V33" s="2"/>
      </tp>
      <tp t="s">
        <v>#N/A N/A</v>
        <stp/>
        <stp>BDH|8765052723634946418</stp>
        <tr r="P34" s="2"/>
      </tp>
      <tp t="s">
        <v>#N/A N/A</v>
        <stp/>
        <stp>BDH|3762894027841035207</stp>
        <tr r="AL42" s="2"/>
      </tp>
      <tp t="s">
        <v>#N/A N/A</v>
        <stp/>
        <stp>BDH|2410483159521321884</stp>
        <tr r="Y31" s="2"/>
      </tp>
      <tp t="s">
        <v>#N/A N/A</v>
        <stp/>
        <stp>BDH|8368416126485244180</stp>
        <tr r="V7" s="2"/>
      </tp>
      <tp t="s">
        <v>#N/A N/A</v>
        <stp/>
        <stp>BDH|2473549006348853505</stp>
        <tr r="X11" s="2"/>
      </tp>
      <tp t="s">
        <v>#N/A N/A</v>
        <stp/>
        <stp>BDH|5449695535263542939</stp>
        <tr r="D60" s="2"/>
      </tp>
      <tp t="s">
        <v>#N/A N/A</v>
        <stp/>
        <stp>BDH|5643536310758255385</stp>
        <tr r="M7" s="2"/>
      </tp>
      <tp t="s">
        <v>#N/A N/A</v>
        <stp/>
        <stp>BDH|8544075368393213776</stp>
        <tr r="AJ32" s="2"/>
      </tp>
      <tp t="s">
        <v>#N/A N/A</v>
        <stp/>
        <stp>BDH|8662381687039344054</stp>
        <tr r="D31" s="2"/>
      </tp>
      <tp t="s">
        <v>#N/A N/A</v>
        <stp/>
        <stp>BDH|8623796933192878487</stp>
        <tr r="F23" s="2"/>
      </tp>
      <tp t="e">
        <v>#N/A</v>
        <stp/>
        <stp>BDH|1282339957778322592</stp>
        <tr r="F61" s="2"/>
      </tp>
      <tp t="s">
        <v>#N/A N/A</v>
        <stp/>
        <stp>BDH|9841205732940065265</stp>
        <tr r="C29" s="2"/>
      </tp>
      <tp t="s">
        <v>#N/A N/A</v>
        <stp/>
        <stp>BDH|4929593473808804474</stp>
        <tr r="E35" s="2"/>
      </tp>
      <tp t="s">
        <v>#N/A N/A</v>
        <stp/>
        <stp>BDH|3464851801364809552</stp>
        <tr r="AJ46" s="2"/>
      </tp>
      <tp t="s">
        <v>#N/A N/A</v>
        <stp/>
        <stp>BDH|2004548182064604129</stp>
        <tr r="AG67" s="2"/>
      </tp>
      <tp t="s">
        <v>#N/A N/A</v>
        <stp/>
        <stp>BDH|4025580017202427891</stp>
        <tr r="Z64" s="2"/>
      </tp>
      <tp t="s">
        <v>#N/A N/A</v>
        <stp/>
        <stp>BDH|3821814409012444360</stp>
        <tr r="P31" s="2"/>
      </tp>
      <tp t="s">
        <v>#N/A N/A</v>
        <stp/>
        <stp>BDH|9099234624871141247</stp>
        <tr r="H14" s="2"/>
      </tp>
      <tp t="s">
        <v>#N/A N/A</v>
        <stp/>
        <stp>BDH|7458065117999142565</stp>
        <tr r="K64" s="2"/>
      </tp>
      <tp t="s">
        <v>#N/A N/A</v>
        <stp/>
        <stp>BDH|1631331446374496853</stp>
        <tr r="AO17" s="2"/>
      </tp>
      <tp t="s">
        <v>#N/A N/A</v>
        <stp/>
        <stp>BDH|8321309217750372054</stp>
        <tr r="AG22" s="2"/>
      </tp>
      <tp t="s">
        <v>#N/A N/A</v>
        <stp/>
        <stp>BDH|8750156041717655063</stp>
        <tr r="K45" s="2"/>
      </tp>
      <tp t="s">
        <v>#N/A N/A</v>
        <stp/>
        <stp>BDH|1921738789674178013</stp>
        <tr r="O28" s="2"/>
      </tp>
      <tp t="s">
        <v>#N/A N/A</v>
        <stp/>
        <stp>BDH|3366835904129213859</stp>
        <tr r="C64" s="2"/>
      </tp>
      <tp t="s">
        <v>#N/A N/A</v>
        <stp/>
        <stp>BDH|6297855804032456644</stp>
        <tr r="AN16" s="2"/>
      </tp>
      <tp t="s">
        <v>#N/A N/A</v>
        <stp/>
        <stp>BDH|8888173412804986674</stp>
        <tr r="U25" s="2"/>
      </tp>
      <tp t="s">
        <v>#N/A N/A</v>
        <stp/>
        <stp>BDH|8594961917818238262</stp>
        <tr r="W67" s="2"/>
      </tp>
      <tp t="s">
        <v>#N/A N/A</v>
        <stp/>
        <stp>BDH|2258551114569726540</stp>
        <tr r="R23" s="2"/>
      </tp>
      <tp t="s">
        <v>#N/A N/A</v>
        <stp/>
        <stp>BDH|3075604244749461207</stp>
        <tr r="W7" s="2"/>
      </tp>
      <tp t="s">
        <v>#N/A N/A</v>
        <stp/>
        <stp>BDH|5820576393605819646</stp>
        <tr r="T23" s="2"/>
      </tp>
      <tp t="s">
        <v>#N/A N/A</v>
        <stp/>
        <stp>BDH|8565869230299509066</stp>
        <tr r="I9" s="2"/>
      </tp>
      <tp t="s">
        <v>#N/A N/A</v>
        <stp/>
        <stp>BDH|3225111587991659120</stp>
        <tr r="AC56" s="2"/>
      </tp>
      <tp t="s">
        <v>#N/A N/A</v>
        <stp/>
        <stp>BDH|1386596779048271108</stp>
        <tr r="AJ66" s="2"/>
      </tp>
      <tp t="s">
        <v>#N/A N/A</v>
        <stp/>
        <stp>BDH|4935832394789949662</stp>
        <tr r="AK8" s="2"/>
      </tp>
      <tp t="s">
        <v>#N/A N/A</v>
        <stp/>
        <stp>BDH|4749643598135922437</stp>
        <tr r="K65" s="2"/>
      </tp>
      <tp t="s">
        <v>#N/A N/A</v>
        <stp/>
        <stp>BDH|6666009695650783559</stp>
        <tr r="N14" s="2"/>
      </tp>
      <tp t="s">
        <v>#N/A N/A</v>
        <stp/>
        <stp>BDH|8100651974434993781</stp>
        <tr r="J7" s="2"/>
      </tp>
      <tp t="s">
        <v>#N/A N/A</v>
        <stp/>
        <stp>BDH|1734520096221763627</stp>
        <tr r="AP24" s="2"/>
      </tp>
      <tp t="s">
        <v>#N/A N/A</v>
        <stp/>
        <stp>BDH|4715607810290737961</stp>
        <tr r="J22" s="2"/>
      </tp>
      <tp t="s">
        <v>#N/A N/A</v>
        <stp/>
        <stp>BDH|5020543390477179438</stp>
        <tr r="AK40" s="2"/>
      </tp>
      <tp t="s">
        <v>#N/A N/A</v>
        <stp/>
        <stp>BDH|8674347710277754723</stp>
        <tr r="AH11" s="2"/>
      </tp>
      <tp t="s">
        <v>#N/A N/A</v>
        <stp/>
        <stp>BDH|2248346231411483943</stp>
        <tr r="AN43" s="2"/>
      </tp>
      <tp t="s">
        <v>#N/A N/A</v>
        <stp/>
        <stp>BDH|2577525752568345022</stp>
        <tr r="J24" s="2"/>
      </tp>
      <tp t="s">
        <v>#N/A N/A</v>
        <stp/>
        <stp>BDH|5803889364255488441</stp>
        <tr r="X56" s="2"/>
      </tp>
      <tp t="e">
        <v>#N/A</v>
        <stp/>
        <stp>BDH|6727962400456389369</stp>
        <tr r="T60" s="2"/>
      </tp>
      <tp t="s">
        <v>#N/A N/A</v>
        <stp/>
        <stp>BDH|7626810645327373651</stp>
        <tr r="AP45" s="2"/>
      </tp>
      <tp t="s">
        <v>#N/A N/A</v>
        <stp/>
        <stp>BDH|9042303381630765837</stp>
        <tr r="C36" s="2"/>
      </tp>
      <tp t="s">
        <v>#N/A N/A</v>
        <stp/>
        <stp>BDH|3130952353573549670</stp>
        <tr r="AF21" s="2"/>
      </tp>
      <tp t="s">
        <v>#N/A N/A</v>
        <stp/>
        <stp>BDH|4289545497221707336</stp>
        <tr r="AN62" s="2"/>
      </tp>
      <tp t="s">
        <v>#N/A N/A</v>
        <stp/>
        <stp>BDH|1673447313398660628</stp>
        <tr r="AD15" s="2"/>
      </tp>
      <tp t="s">
        <v>#N/A N/A</v>
        <stp/>
        <stp>BDH|6460230413489962776</stp>
        <tr r="AO36" s="2"/>
      </tp>
      <tp t="s">
        <v>#N/A N/A</v>
        <stp/>
        <stp>BDH|2600643560071873802</stp>
        <tr r="M29" s="2"/>
      </tp>
      <tp t="s">
        <v>#N/A N/A</v>
        <stp/>
        <stp>BDH|5955226420377398920</stp>
        <tr r="L48" s="2"/>
      </tp>
      <tp t="s">
        <v>#N/A N/A</v>
        <stp/>
        <stp>BDH|9545420873893979271</stp>
        <tr r="AD29" s="2"/>
      </tp>
      <tp t="e">
        <v>#N/A</v>
        <stp/>
        <stp>BDH|8726768520642875436</stp>
        <tr r="AA60" s="2"/>
      </tp>
      <tp t="s">
        <v>#N/A N/A</v>
        <stp/>
        <stp>BDH|4959840617440607644</stp>
        <tr r="I40" s="2"/>
      </tp>
      <tp t="s">
        <v>#N/A N/A</v>
        <stp/>
        <stp>BDH|2746961079796071102</stp>
        <tr r="AE15" s="2"/>
      </tp>
      <tp t="s">
        <v>#N/A N/A</v>
        <stp/>
        <stp>BDH|1828207798854056583</stp>
        <tr r="O33" s="2"/>
      </tp>
      <tp t="s">
        <v>#N/A N/A</v>
        <stp/>
        <stp>BDH|1160896972020631548</stp>
        <tr r="AJ25" s="2"/>
      </tp>
      <tp t="s">
        <v>#N/A N/A</v>
        <stp/>
        <stp>BDH|6028148520246579893</stp>
        <tr r="C18" s="2"/>
      </tp>
      <tp t="s">
        <v>#N/A N/A</v>
        <stp/>
        <stp>BDH|5069286921218424640</stp>
        <tr r="AO47" s="2"/>
      </tp>
      <tp t="s">
        <v>#N/A N/A</v>
        <stp/>
        <stp>BDH|9825075821089051975</stp>
        <tr r="C15" s="2"/>
      </tp>
      <tp t="s">
        <v>#N/A N/A</v>
        <stp/>
        <stp>BDH|7278818962725885707</stp>
        <tr r="U24" s="2"/>
      </tp>
      <tp t="s">
        <v>#N/A N/A</v>
        <stp/>
        <stp>BDH|6881620872888076410</stp>
        <tr r="R50" s="2"/>
      </tp>
      <tp t="s">
        <v>#N/A N/A</v>
        <stp/>
        <stp>BDH|3189695344248496211</stp>
        <tr r="AC23" s="2"/>
      </tp>
      <tp t="s">
        <v>#N/A N/A</v>
        <stp/>
        <stp>BDH|6157737607362441883</stp>
        <tr r="U22" s="2"/>
      </tp>
      <tp t="s">
        <v>#N/A N/A</v>
        <stp/>
        <stp>BDH|9817064625937004724</stp>
        <tr r="F17" s="2"/>
      </tp>
      <tp t="s">
        <v>#N/A N/A</v>
        <stp/>
        <stp>BDH|8405434049507365436</stp>
        <tr r="AO9" s="2"/>
      </tp>
      <tp t="s">
        <v>#N/A N/A</v>
        <stp/>
        <stp>BDH|3001288697772649178</stp>
        <tr r="I44" s="2"/>
      </tp>
      <tp t="s">
        <v>#N/A N/A</v>
        <stp/>
        <stp>BDH|9823272801939008905</stp>
        <tr r="Q25" s="2"/>
      </tp>
      <tp t="s">
        <v>#N/A N/A</v>
        <stp/>
        <stp>BDH|9669393669754986314</stp>
        <tr r="D10" s="2"/>
      </tp>
      <tp t="s">
        <v>#N/A N/A</v>
        <stp/>
        <stp>BDH|8250187581599656327</stp>
        <tr r="C25" s="2"/>
      </tp>
      <tp t="s">
        <v>#N/A N/A</v>
        <stp/>
        <stp>BDH|7521477666199878737</stp>
        <tr r="AG30" s="2"/>
      </tp>
      <tp t="s">
        <v>#N/A N/A</v>
        <stp/>
        <stp>BDH|8650543748972428010</stp>
        <tr r="Z50" s="2"/>
      </tp>
      <tp t="s">
        <v>#N/A N/A</v>
        <stp/>
        <stp>BDH|4979242542529098038</stp>
        <tr r="AO28" s="2"/>
      </tp>
      <tp t="s">
        <v>#N/A N/A</v>
        <stp/>
        <stp>BDH|1544764494023391788</stp>
        <tr r="AK42" s="2"/>
      </tp>
      <tp t="s">
        <v>#N/A N/A</v>
        <stp/>
        <stp>BDH|3346887712727411615</stp>
        <tr r="AB9" s="2"/>
      </tp>
      <tp t="s">
        <v>#N/A N/A</v>
        <stp/>
        <stp>BDH|5734143445572941932</stp>
        <tr r="AC13" s="2"/>
      </tp>
      <tp t="s">
        <v>#N/A N/A</v>
        <stp/>
        <stp>BDH|9898414816280025736</stp>
        <tr r="AL28" s="2"/>
      </tp>
      <tp t="s">
        <v>#N/A N/A</v>
        <stp/>
        <stp>BDH|6269696799507801570</stp>
        <tr r="N28" s="2"/>
      </tp>
      <tp t="s">
        <v>#N/A N/A</v>
        <stp/>
        <stp>BDH|9612751735334311288</stp>
        <tr r="AD56" s="2"/>
      </tp>
      <tp t="s">
        <v>#N/A N/A</v>
        <stp/>
        <stp>BDH|7853824282494491813</stp>
        <tr r="X67" s="2"/>
      </tp>
      <tp t="s">
        <v>#N/A N/A</v>
        <stp/>
        <stp>BDH|3536718685693949457</stp>
        <tr r="U34" s="2"/>
      </tp>
      <tp t="s">
        <v>#N/A N/A</v>
        <stp/>
        <stp>BDH|1765660483231790583</stp>
        <tr r="M16" s="2"/>
      </tp>
      <tp t="s">
        <v>#N/A N/A</v>
        <stp/>
        <stp>BDH|9332563270278194869</stp>
        <tr r="AI36" s="2"/>
      </tp>
      <tp t="s">
        <v>#N/A N/A</v>
        <stp/>
        <stp>BDH|5616983878307357770</stp>
        <tr r="AK37" s="2"/>
      </tp>
      <tp t="s">
        <v>#N/A N/A</v>
        <stp/>
        <stp>BDH|2318872222203521019</stp>
        <tr r="AF45" s="2"/>
      </tp>
      <tp t="s">
        <v>#N/A N/A</v>
        <stp/>
        <stp>BDH|2884220957738883666</stp>
        <tr r="AI25" s="2"/>
      </tp>
      <tp t="s">
        <v>#N/A N/A</v>
        <stp/>
        <stp>BDH|8848778531845823252</stp>
        <tr r="AH62" s="2"/>
      </tp>
      <tp t="e">
        <v>#N/A</v>
        <stp/>
        <stp>BDH|8113672001080076543</stp>
        <tr r="I61" s="2"/>
      </tp>
      <tp t="s">
        <v>#N/A N/A</v>
        <stp/>
        <stp>BDH|2510672417488710610</stp>
        <tr r="H29" s="2"/>
      </tp>
      <tp t="s">
        <v>#N/A N/A</v>
        <stp/>
        <stp>BDH|5109878422266550229</stp>
        <tr r="Y30" s="2"/>
      </tp>
      <tp t="s">
        <v>#N/A N/A</v>
        <stp/>
        <stp>BDH|5140126553509280316</stp>
        <tr r="AM41" s="2"/>
      </tp>
      <tp t="s">
        <v>#N/A N/A</v>
        <stp/>
        <stp>BDH|5552049250942526944</stp>
        <tr r="AN18" s="2"/>
      </tp>
      <tp t="s">
        <v>#N/A N/A</v>
        <stp/>
        <stp>BDH|6920913278684335736</stp>
        <tr r="H36" s="2"/>
      </tp>
      <tp t="s">
        <v>#N/A N/A</v>
        <stp/>
        <stp>BDH|8056227973940551648</stp>
        <tr r="AB37" s="2"/>
      </tp>
      <tp t="s">
        <v>#N/A N/A</v>
        <stp/>
        <stp>BDH|2668834624136770569</stp>
        <tr r="G8" s="2"/>
      </tp>
      <tp t="s">
        <v>#N/A N/A</v>
        <stp/>
        <stp>BDH|3644518595806524268</stp>
        <tr r="AD32" s="2"/>
      </tp>
      <tp t="s">
        <v>#N/A N/A</v>
        <stp/>
        <stp>BDH|5216517882510843389</stp>
        <tr r="W66" s="2"/>
      </tp>
      <tp t="s">
        <v>#N/A N/A</v>
        <stp/>
        <stp>BDH|6689638132668738061</stp>
        <tr r="AN15" s="2"/>
      </tp>
      <tp t="s">
        <v>#N/A N/A</v>
        <stp/>
        <stp>BDH|3417765266899421067</stp>
        <tr r="K49" s="2"/>
      </tp>
      <tp t="s">
        <v>#N/A N/A</v>
        <stp/>
        <stp>BDH|1646970044825258209</stp>
        <tr r="O36" s="2"/>
      </tp>
      <tp t="s">
        <v>#N/A N/A</v>
        <stp/>
        <stp>BDH|1305954042024367301</stp>
        <tr r="V28" s="2"/>
      </tp>
      <tp t="s">
        <v>#N/A N/A</v>
        <stp/>
        <stp>BDH|7121744622038479143</stp>
        <tr r="S57" s="2"/>
      </tp>
      <tp t="s">
        <v>#N/A N/A</v>
        <stp/>
        <stp>BDH|5128850100197243112</stp>
        <tr r="AI50" s="2"/>
      </tp>
      <tp t="e">
        <v>#N/A</v>
        <stp/>
        <stp>BDH|9188176417337652504</stp>
        <tr r="AK60" s="2"/>
      </tp>
      <tp t="s">
        <v>#N/A N/A</v>
        <stp/>
        <stp>BDH|3769759044549081222</stp>
        <tr r="X30" s="2"/>
      </tp>
      <tp t="s">
        <v>#N/A N/A</v>
        <stp/>
        <stp>BDH|9335040620256231611</stp>
        <tr r="AJ15" s="2"/>
      </tp>
      <tp t="s">
        <v>#N/A N/A</v>
        <stp/>
        <stp>BDH|8984606279626723431</stp>
        <tr r="M10" s="2"/>
      </tp>
      <tp t="s">
        <v>#N/A N/A</v>
        <stp/>
        <stp>BDH|3393463777842673909</stp>
        <tr r="Y35" s="2"/>
      </tp>
      <tp t="s">
        <v>#N/A N/A</v>
        <stp/>
        <stp>BDH|5297809507376155009</stp>
        <tr r="Y10" s="2"/>
      </tp>
      <tp t="s">
        <v>#N/A N/A</v>
        <stp/>
        <stp>BDH|9114904687923610042</stp>
        <tr r="Y7" s="2"/>
      </tp>
      <tp t="s">
        <v>#N/A N/A</v>
        <stp/>
        <stp>BDH|1272862830634128504</stp>
        <tr r="AP14" s="2"/>
      </tp>
      <tp t="s">
        <v>#N/A N/A</v>
        <stp/>
        <stp>BDH|77188083708821737</stp>
        <tr r="AG47" s="2"/>
      </tp>
      <tp t="s">
        <v>#N/A N/A</v>
        <stp/>
        <stp>BDH|42837658008392369</stp>
        <tr r="I17" s="2"/>
      </tp>
      <tp t="s">
        <v>#N/A N/A</v>
        <stp/>
        <stp>BDH|61582806072375118</stp>
        <tr r="AI22" s="2"/>
      </tp>
      <tp t="e">
        <v>#N/A</v>
        <stp/>
        <stp>BDH|72442132730662193</stp>
        <tr r="K61" s="2"/>
      </tp>
      <tp t="s">
        <v>#N/A N/A</v>
        <stp/>
        <stp>BDH|3599020743554653787</stp>
        <tr r="AP8" s="2"/>
      </tp>
      <tp t="s">
        <v>#N/A N/A</v>
        <stp/>
        <stp>BDH|5189448830712767493</stp>
        <tr r="AO11" s="2"/>
      </tp>
      <tp t="s">
        <v>#N/A N/A</v>
        <stp/>
        <stp>BDH|7937989801789899331</stp>
        <tr r="K7" s="2"/>
      </tp>
      <tp t="s">
        <v>#N/A N/A</v>
        <stp/>
        <stp>BDH|4489908278599380744</stp>
        <tr r="U46" s="2"/>
      </tp>
      <tp t="s">
        <v>#N/A N/A</v>
        <stp/>
        <stp>BDH|1880889129777583876</stp>
        <tr r="E31" s="2"/>
      </tp>
      <tp t="s">
        <v>#N/A N/A</v>
        <stp/>
        <stp>BDH|8933901549450002186</stp>
        <tr r="F42" s="2"/>
      </tp>
      <tp t="s">
        <v>#N/A N/A</v>
        <stp/>
        <stp>BDH|6758141748500101722</stp>
        <tr r="P57" s="2"/>
      </tp>
      <tp t="s">
        <v>#N/A N/A</v>
        <stp/>
        <stp>BDH|4927311180039878286</stp>
        <tr r="V68" s="2"/>
      </tp>
      <tp t="s">
        <v>#N/A N/A</v>
        <stp/>
        <stp>BDH|9177956400237424385</stp>
        <tr r="P66" s="2"/>
      </tp>
      <tp t="s">
        <v>#N/A N/A</v>
        <stp/>
        <stp>BDH|3763081128907767281</stp>
        <tr r="Z7" s="2"/>
      </tp>
      <tp t="s">
        <v>#N/A N/A</v>
        <stp/>
        <stp>BDH|1629607039372589222</stp>
        <tr r="AD26" s="2"/>
      </tp>
      <tp t="e">
        <v>#N/A</v>
        <stp/>
        <stp>BDH|9013223370989877120</stp>
        <tr r="AC61" s="2"/>
      </tp>
      <tp t="s">
        <v>#N/A N/A</v>
        <stp/>
        <stp>BDH|6389444164850824024</stp>
        <tr r="AI33" s="2"/>
      </tp>
      <tp t="s">
        <v>#N/A N/A</v>
        <stp/>
        <stp>BDH|5377720932061266485</stp>
        <tr r="T48" s="2"/>
      </tp>
      <tp t="s">
        <v>#N/A N/A</v>
        <stp/>
        <stp>BDH|1758583162220463605</stp>
        <tr r="AI65" s="2"/>
      </tp>
      <tp t="s">
        <v>#N/A N/A</v>
        <stp/>
        <stp>BDH|5385249414446808423</stp>
        <tr r="R13" s="2"/>
      </tp>
      <tp t="s">
        <v>#N/A N/A</v>
        <stp/>
        <stp>BDH|1556414779975070344</stp>
        <tr r="AL41" s="2"/>
      </tp>
      <tp t="s">
        <v>#N/A N/A</v>
        <stp/>
        <stp>BDH|2068699723425017735</stp>
        <tr r="AL37" s="2"/>
      </tp>
      <tp t="s">
        <v>#N/A N/A</v>
        <stp/>
        <stp>BDH|1658572475366859120</stp>
        <tr r="AP23" s="2"/>
      </tp>
      <tp t="s">
        <v>#N/A N/A</v>
        <stp/>
        <stp>BDH|6874204306329268927</stp>
        <tr r="AF41" s="2"/>
      </tp>
      <tp t="s">
        <v>#N/A N/A</v>
        <stp/>
        <stp>BDH|9137987635400076720</stp>
        <tr r="AA46" s="2"/>
      </tp>
      <tp t="s">
        <v>#N/A N/A</v>
        <stp/>
        <stp>BDH|7807077501181859288</stp>
        <tr r="I18" s="2"/>
      </tp>
      <tp t="s">
        <v>#N/A N/A</v>
        <stp/>
        <stp>BDH|6442795316006134253</stp>
        <tr r="AE40" s="2"/>
      </tp>
      <tp t="s">
        <v>#N/A N/A</v>
        <stp/>
        <stp>BDH|6037026918607750427</stp>
        <tr r="AK68" s="2"/>
      </tp>
      <tp t="s">
        <v>#N/A N/A</v>
        <stp/>
        <stp>BDH|5968436913055530137</stp>
        <tr r="AP49" s="2"/>
      </tp>
      <tp t="s">
        <v>#N/A N/A</v>
        <stp/>
        <stp>BDH|3469115751701948228</stp>
        <tr r="P28" s="2"/>
      </tp>
      <tp t="s">
        <v>#N/A N/A</v>
        <stp/>
        <stp>BDH|7553592903960548657</stp>
        <tr r="T24" s="2"/>
      </tp>
      <tp t="s">
        <v>#N/A N/A</v>
        <stp/>
        <stp>BDH|5627609138896422261</stp>
        <tr r="X64" s="2"/>
      </tp>
      <tp t="s">
        <v>#N/A N/A</v>
        <stp/>
        <stp>BDH|3715751262193936557</stp>
        <tr r="G30" s="2"/>
      </tp>
      <tp t="s">
        <v>#N/A N/A</v>
        <stp/>
        <stp>BDH|1635396744334425632</stp>
        <tr r="V17" s="2"/>
      </tp>
      <tp t="s">
        <v>#N/A N/A</v>
        <stp/>
        <stp>BDH|3433410217994910673</stp>
        <tr r="AE24" s="2"/>
      </tp>
      <tp t="s">
        <v>#N/A N/A</v>
        <stp/>
        <stp>BDH|5649426259986630675</stp>
        <tr r="AM68" s="2"/>
      </tp>
      <tp t="s">
        <v>#N/A N/A</v>
        <stp/>
        <stp>BDH|9957294739974751821</stp>
        <tr r="AJ37" s="2"/>
      </tp>
      <tp t="s">
        <v>#N/A N/A</v>
        <stp/>
        <stp>BDH|8920866511350377501</stp>
        <tr r="AA16" s="2"/>
      </tp>
      <tp t="e">
        <v>#N/A</v>
        <stp/>
        <stp>BDH|1546890915444337872</stp>
        <tr r="Q61" s="2"/>
      </tp>
      <tp t="s">
        <v>#N/A N/A</v>
        <stp/>
        <stp>BDH|8988674790450684356</stp>
        <tr r="I64" s="2"/>
      </tp>
      <tp t="s">
        <v>#N/A N/A</v>
        <stp/>
        <stp>BDH|5848364878081978428</stp>
        <tr r="AH28" s="2"/>
      </tp>
      <tp t="e">
        <v>#N/A</v>
        <stp/>
        <stp>BDH|3381570722890247066</stp>
        <tr r="O60" s="2"/>
      </tp>
      <tp t="s">
        <v>#N/A N/A</v>
        <stp/>
        <stp>BDH|1726890511094860851</stp>
        <tr r="S14" s="2"/>
      </tp>
      <tp t="s">
        <v>#N/A N/A</v>
        <stp/>
        <stp>BDH|1305483049891331430</stp>
        <tr r="C42" s="2"/>
      </tp>
      <tp t="s">
        <v>#N/A N/A</v>
        <stp/>
        <stp>BDH|5139167453747068271</stp>
        <tr r="S49" s="2"/>
      </tp>
      <tp t="s">
        <v>#N/A N/A</v>
        <stp/>
        <stp>BDH|5338295467881835464</stp>
        <tr r="D29" s="2"/>
      </tp>
      <tp t="s">
        <v>#N/A N/A</v>
        <stp/>
        <stp>BDH|4072111345887327245</stp>
        <tr r="H48" s="2"/>
      </tp>
      <tp t="s">
        <v>#N/A N/A</v>
        <stp/>
        <stp>BDH|9093411873959207738</stp>
        <tr r="AI9" s="2"/>
      </tp>
      <tp t="s">
        <v>#N/A N/A</v>
        <stp/>
        <stp>BDH|5248468710236323244</stp>
        <tr r="K21" s="2"/>
      </tp>
      <tp t="s">
        <v>#N/A N/A</v>
        <stp/>
        <stp>BDH|3048814423794089910</stp>
        <tr r="H16" s="2"/>
      </tp>
      <tp t="s">
        <v>#N/A N/A</v>
        <stp/>
        <stp>BDH|3780200363436163559</stp>
        <tr r="K26" s="2"/>
      </tp>
      <tp t="s">
        <v>#N/A N/A</v>
        <stp/>
        <stp>BDH|1435261139150209491</stp>
        <tr r="AJ12" s="2"/>
      </tp>
      <tp t="s">
        <v>#N/A N/A</v>
        <stp/>
        <stp>BDH|4076600084726547800</stp>
        <tr r="AL22" s="2"/>
      </tp>
      <tp t="s">
        <v>#N/A N/A</v>
        <stp/>
        <stp>BDH|6703957848397389880</stp>
        <tr r="H18" s="2"/>
      </tp>
      <tp t="s">
        <v>#N/A N/A</v>
        <stp/>
        <stp>BDH|3434347343241564103</stp>
        <tr r="J9" s="2"/>
      </tp>
      <tp t="s">
        <v>#N/A N/A</v>
        <stp/>
        <stp>BDH|6965594860055126472</stp>
        <tr r="L37" s="2"/>
      </tp>
      <tp t="s">
        <v>#N/A N/A</v>
        <stp/>
        <stp>BDH|3380489924552164386</stp>
        <tr r="AC31" s="2"/>
      </tp>
      <tp t="s">
        <v>#N/A N/A</v>
        <stp/>
        <stp>BDH|8571058617465706860</stp>
        <tr r="I12" s="2"/>
      </tp>
      <tp t="s">
        <v>#N/A N/A</v>
        <stp/>
        <stp>BDH|3166370481608624478</stp>
        <tr r="Q36" s="2"/>
      </tp>
      <tp t="s">
        <v>#N/A N/A</v>
        <stp/>
        <stp>BDH|6512712819656826238</stp>
        <tr r="S47" s="2"/>
      </tp>
      <tp t="s">
        <v>#N/A N/A</v>
        <stp/>
        <stp>BDH|5100717517342146510</stp>
        <tr r="L66" s="2"/>
      </tp>
      <tp t="s">
        <v>#N/A N/A</v>
        <stp/>
        <stp>BDH|7276352205653751321</stp>
        <tr r="E54" s="2"/>
      </tp>
      <tp t="s">
        <v>#N/A N/A</v>
        <stp/>
        <stp>BDH|6898793935412277410</stp>
        <tr r="H50" s="2"/>
      </tp>
      <tp t="s">
        <v>#N/A N/A</v>
        <stp/>
        <stp>BDH|5002360651927179017</stp>
        <tr r="K10" s="2"/>
      </tp>
      <tp t="s">
        <v>#N/A N/A</v>
        <stp/>
        <stp>BDH|2117920421309690435</stp>
        <tr r="O57" s="2"/>
      </tp>
      <tp t="s">
        <v>#N/A N/A</v>
        <stp/>
        <stp>BDH|2621729356536392269</stp>
        <tr r="AF49" s="2"/>
      </tp>
      <tp t="s">
        <v>#N/A N/A</v>
        <stp/>
        <stp>BDH|6080587613167624199</stp>
        <tr r="AI30" s="2"/>
      </tp>
      <tp t="s">
        <v>#N/A N/A</v>
        <stp/>
        <stp>BDH|8689316270189337105</stp>
        <tr r="Y26" s="2"/>
      </tp>
      <tp t="s">
        <v>#N/A N/A</v>
        <stp/>
        <stp>BDH|6962065827269413988</stp>
        <tr r="R65" s="2"/>
      </tp>
      <tp t="e">
        <v>#N/A</v>
        <stp/>
        <stp>BDH|1508825953838755072</stp>
        <tr r="R61" s="2"/>
      </tp>
      <tp t="s">
        <v>#N/A N/A</v>
        <stp/>
        <stp>BDH|8097375746092568907</stp>
        <tr r="AC7" s="2"/>
      </tp>
      <tp t="s">
        <v>#N/A N/A</v>
        <stp/>
        <stp>BDH|1820629335410908020</stp>
        <tr r="AE52" s="2"/>
      </tp>
      <tp t="s">
        <v>#N/A N/A</v>
        <stp/>
        <stp>BDH|3458773184350431867</stp>
        <tr r="AF62" s="2"/>
      </tp>
      <tp t="s">
        <v>#N/A N/A</v>
        <stp/>
        <stp>BDH|2716327444300216163</stp>
        <tr r="AC28" s="2"/>
      </tp>
      <tp t="s">
        <v>#N/A N/A</v>
        <stp/>
        <stp>BDH|3211369636053112460</stp>
        <tr r="I7" s="2"/>
      </tp>
      <tp t="s">
        <v>#N/A N/A</v>
        <stp/>
        <stp>BDH|6755007025486466639</stp>
        <tr r="AA13" s="2"/>
      </tp>
      <tp t="s">
        <v>#N/A N/A</v>
        <stp/>
        <stp>BDH|2393255191519607446</stp>
        <tr r="T16" s="2"/>
      </tp>
      <tp t="s">
        <v>#N/A N/A</v>
        <stp/>
        <stp>BDH|7069666022492705497</stp>
        <tr r="AB56" s="2"/>
      </tp>
      <tp t="s">
        <v>#N/A N/A</v>
        <stp/>
        <stp>BDH|1729434568887192171</stp>
        <tr r="AD30" s="2"/>
      </tp>
      <tp t="s">
        <v>#N/A N/A</v>
        <stp/>
        <stp>BDH|3397015916045731294</stp>
        <tr r="AD66" s="2"/>
      </tp>
      <tp t="s">
        <v>#N/A N/A</v>
        <stp/>
        <stp>BDH|2458987986223297524</stp>
        <tr r="AB28" s="2"/>
      </tp>
      <tp t="s">
        <v>#N/A N/A</v>
        <stp/>
        <stp>BDH|1464508780321680889</stp>
        <tr r="AE13" s="2"/>
      </tp>
      <tp t="s">
        <v>#N/A N/A</v>
        <stp/>
        <stp>BDH|1120288754455564627</stp>
        <tr r="O54" s="2"/>
      </tp>
      <tp t="s">
        <v>#N/A N/A</v>
        <stp/>
        <stp>BDH|8730463301370291998</stp>
        <tr r="Y16" s="2"/>
      </tp>
      <tp t="s">
        <v>#N/A N/A</v>
        <stp/>
        <stp>BDH|6932613228245349284</stp>
        <tr r="K67" s="2"/>
      </tp>
      <tp t="s">
        <v>#N/A N/A</v>
        <stp/>
        <stp>BDH|9691925357178988812</stp>
        <tr r="AA30" s="2"/>
      </tp>
      <tp t="s">
        <v>#N/A N/A</v>
        <stp/>
        <stp>BDH|5491104353756419285</stp>
        <tr r="AI31" s="2"/>
      </tp>
      <tp t="s">
        <v>#N/A N/A</v>
        <stp/>
        <stp>BDH|9157802579882819189</stp>
        <tr r="AE64" s="2"/>
      </tp>
      <tp t="s">
        <v>#N/A N/A</v>
        <stp/>
        <stp>BDH|3919362177327555553</stp>
        <tr r="U47" s="2"/>
      </tp>
      <tp t="s">
        <v>#N/A N/A</v>
        <stp/>
        <stp>BDH|2819730790689498077</stp>
        <tr r="P32" s="2"/>
      </tp>
      <tp t="s">
        <v>#N/A N/A</v>
        <stp/>
        <stp>BDH|5722399285383422870</stp>
        <tr r="L18" s="2"/>
      </tp>
      <tp t="s">
        <v>#N/A N/A</v>
        <stp/>
        <stp>BDH|3936519502423797042</stp>
        <tr r="AH45" s="2"/>
      </tp>
      <tp t="s">
        <v>#N/A N/A</v>
        <stp/>
        <stp>BDH|6348378326764880636</stp>
        <tr r="S13" s="2"/>
      </tp>
      <tp t="s">
        <v>#N/A N/A</v>
        <stp/>
        <stp>BDH|9359781488633840023</stp>
        <tr r="M15" s="2"/>
      </tp>
      <tp t="s">
        <v>#N/A N/A</v>
        <stp/>
        <stp>BDH|1393594542045406056</stp>
        <tr r="X42" s="2"/>
      </tp>
      <tp t="s">
        <v>#N/A N/A</v>
        <stp/>
        <stp>BDH|1601499607849926989</stp>
        <tr r="AF56" s="2"/>
      </tp>
      <tp t="s">
        <v>#N/A N/A</v>
        <stp/>
        <stp>BDH|4364137439591184269</stp>
        <tr r="Q13" s="2"/>
      </tp>
      <tp t="s">
        <v>#N/A N/A</v>
        <stp/>
        <stp>BDH|6445103858907627049</stp>
        <tr r="I49" s="2"/>
      </tp>
      <tp t="s">
        <v>#N/A N/A</v>
        <stp/>
        <stp>BDH|8321266301389276689</stp>
        <tr r="L57" s="2"/>
      </tp>
      <tp t="s">
        <v>#N/A N/A</v>
        <stp/>
        <stp>BDH|7702565982757897852</stp>
        <tr r="AI41" s="2"/>
      </tp>
      <tp t="s">
        <v>#N/A N/A</v>
        <stp/>
        <stp>BDH|4729828825493900874</stp>
        <tr r="U66" s="2"/>
      </tp>
      <tp t="s">
        <v>#N/A N/A</v>
        <stp/>
        <stp>BDH|1088000777064159780</stp>
        <tr r="U26" s="2"/>
      </tp>
      <tp t="s">
        <v>#N/A N/A</v>
        <stp/>
        <stp>BDH|6323386777474747358</stp>
        <tr r="AO49" s="2"/>
      </tp>
      <tp t="s">
        <v>#N/A N/A</v>
        <stp/>
        <stp>BDH|5002071078104081316</stp>
        <tr r="AD11" s="2"/>
      </tp>
      <tp t="s">
        <v>#N/A N/A</v>
        <stp/>
        <stp>BDH|7785387164547339067</stp>
        <tr r="U21" s="2"/>
      </tp>
      <tp t="s">
        <v>#N/A N/A</v>
        <stp/>
        <stp>BDH|1309860770739308294</stp>
        <tr r="Q18" s="2"/>
      </tp>
      <tp t="s">
        <v>#N/A N/A</v>
        <stp/>
        <stp>BDH|5011802193096485783</stp>
        <tr r="L12" s="2"/>
      </tp>
      <tp t="s">
        <v>#N/A N/A</v>
        <stp/>
        <stp>BDH|2256770462315915326</stp>
        <tr r="AM46" s="2"/>
      </tp>
      <tp t="s">
        <v>#N/A N/A</v>
        <stp/>
        <stp>BDH|4910587597124910937</stp>
        <tr r="S68" s="2"/>
      </tp>
      <tp t="s">
        <v>#N/A N/A</v>
        <stp/>
        <stp>BDH|6978853087222659112</stp>
        <tr r="AN32" s="2"/>
      </tp>
      <tp t="s">
        <v>#N/A N/A</v>
        <stp/>
        <stp>BDH|4765546179233225040</stp>
        <tr r="AM26" s="2"/>
      </tp>
      <tp t="s">
        <v>#N/A N/A</v>
        <stp/>
        <stp>BDH|7493191937844627407</stp>
        <tr r="AG52" s="2"/>
      </tp>
      <tp t="s">
        <v>#N/A N/A</v>
        <stp/>
        <stp>BDH|7109723035115325398</stp>
        <tr r="N35" s="2"/>
      </tp>
      <tp t="s">
        <v>#N/A N/A</v>
        <stp/>
        <stp>BDH|7693399530187723549</stp>
        <tr r="Z30" s="2"/>
      </tp>
      <tp t="s">
        <v>#N/A N/A</v>
        <stp/>
        <stp>BDH|5752051422764561698</stp>
        <tr r="AE23" s="2"/>
      </tp>
      <tp t="s">
        <v>#N/A N/A</v>
        <stp/>
        <stp>BDH|2852822481941292644</stp>
        <tr r="U57" s="2"/>
      </tp>
      <tp t="s">
        <v>#N/A N/A</v>
        <stp/>
        <stp>BDH|4396763511471927608</stp>
        <tr r="G52" s="2"/>
      </tp>
      <tp t="s">
        <v>#N/A N/A</v>
        <stp/>
        <stp>BDH|2299104916223839418</stp>
        <tr r="K56" s="2"/>
      </tp>
      <tp t="s">
        <v>#N/A N/A</v>
        <stp/>
        <stp>BDH|2465894609316953909</stp>
        <tr r="L65" s="2"/>
      </tp>
      <tp t="s">
        <v>#N/A N/A</v>
        <stp/>
        <stp>BDH|3992266956735631424</stp>
        <tr r="D12" s="2"/>
      </tp>
      <tp t="e">
        <v>#N/A</v>
        <stp/>
        <stp>BDH|2641566421639173920</stp>
        <tr r="AJ60" s="2"/>
      </tp>
      <tp t="s">
        <v>#N/A N/A</v>
        <stp/>
        <stp>BDH|4077396448434398205</stp>
        <tr r="AD67" s="2"/>
      </tp>
      <tp t="s">
        <v>#N/A N/A</v>
        <stp/>
        <stp>BDH|4023376744861052711</stp>
        <tr r="T34" s="2"/>
      </tp>
      <tp t="s">
        <v>#N/A N/A</v>
        <stp/>
        <stp>BDH|5012470730076011158</stp>
        <tr r="J34" s="2"/>
      </tp>
      <tp t="s">
        <v>#N/A N/A</v>
        <stp/>
        <stp>BDH|4103918611878108130</stp>
        <tr r="V21" s="2"/>
      </tp>
      <tp t="s">
        <v>#N/A N/A</v>
        <stp/>
        <stp>BDH|4968965519859410019</stp>
        <tr r="X44" s="2"/>
      </tp>
      <tp t="s">
        <v>#N/A N/A</v>
        <stp/>
        <stp>BDH|5669531817332652673</stp>
        <tr r="V11" s="2"/>
      </tp>
      <tp t="s">
        <v>#N/A N/A</v>
        <stp/>
        <stp>BDH|7227124874716516222</stp>
        <tr r="AK67" s="2"/>
      </tp>
      <tp t="s">
        <v>#N/A N/A</v>
        <stp/>
        <stp>BDH|9623216726799335519</stp>
        <tr r="G48" s="2"/>
      </tp>
      <tp t="s">
        <v>#N/A N/A</v>
        <stp/>
        <stp>BDH|5153022232821479263</stp>
        <tr r="X65" s="2"/>
      </tp>
      <tp t="s">
        <v>#N/A N/A</v>
        <stp/>
        <stp>BDH|1231573359765855142</stp>
        <tr r="G44" s="2"/>
      </tp>
      <tp t="s">
        <v>#N/A N/A</v>
        <stp/>
        <stp>BDH|1081681396672877968</stp>
        <tr r="AI11" s="2"/>
      </tp>
      <tp t="s">
        <v>#N/A N/A</v>
        <stp/>
        <stp>BDH|5887270981582983870</stp>
        <tr r="AN57" s="2"/>
      </tp>
      <tp t="s">
        <v>#N/A N/A</v>
        <stp/>
        <stp>BDH|4333860799850581094</stp>
        <tr r="AF13" s="2"/>
      </tp>
      <tp t="s">
        <v>#N/A N/A</v>
        <stp/>
        <stp>BDH|4723913123482213873</stp>
        <tr r="AM43" s="2"/>
      </tp>
      <tp t="s">
        <v>#N/A N/A</v>
        <stp/>
        <stp>BDH|3451271815004362154</stp>
        <tr r="G23" s="2"/>
      </tp>
      <tp t="s">
        <v>#N/A N/A</v>
        <stp/>
        <stp>BDH|5451641505816740027</stp>
        <tr r="AH56" s="2"/>
      </tp>
      <tp t="s">
        <v>#N/A N/A</v>
        <stp/>
        <stp>BDH|1946387421352035712</stp>
        <tr r="Q16" s="2"/>
      </tp>
      <tp t="s">
        <v>#N/A N/A</v>
        <stp/>
        <stp>BDH|6059370503054447414</stp>
        <tr r="AB30" s="2"/>
      </tp>
      <tp t="s">
        <v>#N/A N/A</v>
        <stp/>
        <stp>BDH|6673702971514160772</stp>
        <tr r="Q10" s="2"/>
      </tp>
      <tp t="s">
        <v>#N/A N/A</v>
        <stp/>
        <stp>BDH|6008954762994254841</stp>
        <tr r="D46" s="2"/>
      </tp>
      <tp t="s">
        <v>#N/A N/A</v>
        <stp/>
        <stp>BDH|5242832910231252853</stp>
        <tr r="L67" s="2"/>
      </tp>
      <tp t="s">
        <v>#N/A N/A</v>
        <stp/>
        <stp>BDH|7971792583378255575</stp>
        <tr r="AP68" s="2"/>
      </tp>
      <tp t="s">
        <v>#N/A N/A</v>
        <stp/>
        <stp>BDH|5953066655482440790</stp>
        <tr r="R40" s="2"/>
      </tp>
      <tp t="s">
        <v>#N/A N/A</v>
        <stp/>
        <stp>BDH|4212730317652070512</stp>
        <tr r="AD36" s="2"/>
      </tp>
      <tp t="s">
        <v>#N/A N/A</v>
        <stp/>
        <stp>BDH|1631337597847713929</stp>
        <tr r="K29" s="2"/>
      </tp>
      <tp t="s">
        <v>#N/A N/A</v>
        <stp/>
        <stp>BDH|2238185226881823535</stp>
        <tr r="Q8" s="2"/>
      </tp>
      <tp t="s">
        <v>#N/A N/A</v>
        <stp/>
        <stp>BDH|6022065118150184286</stp>
        <tr r="Q54" s="2"/>
      </tp>
      <tp t="s">
        <v>#N/A N/A</v>
        <stp/>
        <stp>BDH|2205796168560600629</stp>
        <tr r="F37" s="2"/>
      </tp>
      <tp t="e">
        <v>#N/A</v>
        <stp/>
        <stp>BDH|1432349429737638280</stp>
        <tr r="U61" s="2"/>
      </tp>
      <tp t="s">
        <v>#N/A N/A</v>
        <stp/>
        <stp>BDH|4050773245970196275</stp>
        <tr r="Z67" s="2"/>
      </tp>
      <tp t="s">
        <v>#N/A N/A</v>
        <stp/>
        <stp>BDH|9984958089674402950</stp>
        <tr r="R44" s="2"/>
      </tp>
      <tp t="s">
        <v>#N/A N/A</v>
        <stp/>
        <stp>BDH|8168374711199070638</stp>
        <tr r="N13" s="2"/>
      </tp>
      <tp t="s">
        <v>#N/A N/A</v>
        <stp/>
        <stp>BDH|1158509407127017620</stp>
        <tr r="AC66" s="2"/>
      </tp>
      <tp t="s">
        <v>#N/A N/A</v>
        <stp/>
        <stp>BDH|5250161931480108210</stp>
        <tr r="C62" s="2"/>
      </tp>
      <tp t="s">
        <v>#N/A N/A</v>
        <stp/>
        <stp>BDH|3771606850757215204</stp>
        <tr r="AK16" s="2"/>
      </tp>
      <tp t="s">
        <v>#N/A N/A</v>
        <stp/>
        <stp>BDH|9601970466125703653</stp>
        <tr r="AJ31" s="2"/>
      </tp>
      <tp t="s">
        <v>#N/A N/A</v>
        <stp/>
        <stp>BDH|8552265173069107144</stp>
        <tr r="AB13" s="2"/>
      </tp>
      <tp t="s">
        <v>#N/A N/A</v>
        <stp/>
        <stp>BDH|1324746274372472629</stp>
        <tr r="T25" s="2"/>
      </tp>
      <tp t="s">
        <v>#N/A N/A</v>
        <stp/>
        <stp>BDH|22978665476395138</stp>
        <tr r="G18" s="2"/>
      </tp>
      <tp t="s">
        <v>#N/A N/A</v>
        <stp/>
        <stp>BDH|5435339026094813638</stp>
        <tr r="I10" s="2"/>
      </tp>
      <tp t="s">
        <v>#N/A N/A</v>
        <stp/>
        <stp>BDH|5703013825943894210</stp>
        <tr r="AL48" s="2"/>
      </tp>
      <tp t="s">
        <v>#N/A N/A</v>
        <stp/>
        <stp>BDH|8805971265085124410</stp>
        <tr r="E8" s="2"/>
      </tp>
      <tp t="s">
        <v>#N/A N/A</v>
        <stp/>
        <stp>BDH|7620536912363977651</stp>
        <tr r="AE10" s="2"/>
      </tp>
      <tp t="s">
        <v>#N/A N/A</v>
        <stp/>
        <stp>BDH|2095808527488447681</stp>
        <tr r="AC65" s="2"/>
      </tp>
      <tp t="s">
        <v>#N/A N/A</v>
        <stp/>
        <stp>BDH|6622349621863801204</stp>
        <tr r="AB33" s="2"/>
      </tp>
      <tp t="s">
        <v>#N/A N/A</v>
        <stp/>
        <stp>BDH|6157277232808773983</stp>
        <tr r="D48" s="2"/>
      </tp>
      <tp t="s">
        <v>#N/A N/A</v>
        <stp/>
        <stp>BDH|2858852098333950642</stp>
        <tr r="AE12" s="2"/>
      </tp>
      <tp t="s">
        <v>#N/A N/A</v>
        <stp/>
        <stp>BDH|4307467775280139194</stp>
        <tr r="AH48" s="2"/>
      </tp>
      <tp t="s">
        <v>#N/A N/A</v>
        <stp/>
        <stp>BDH|2764247751964263788</stp>
        <tr r="AI12" s="2"/>
      </tp>
      <tp t="s">
        <v>#N/A N/A</v>
        <stp/>
        <stp>BDH|6366291936210215176</stp>
        <tr r="AP11" s="2"/>
      </tp>
      <tp t="s">
        <v>#N/A N/A</v>
        <stp/>
        <stp>BDH|5143965698734756717</stp>
        <tr r="U16" s="2"/>
      </tp>
      <tp t="e">
        <v>#N/A</v>
        <stp/>
        <stp>BDH|2471383464748450952</stp>
        <tr r="W61" s="2"/>
      </tp>
      <tp t="s">
        <v>#N/A N/A</v>
        <stp/>
        <stp>BDH|4662704662701477296</stp>
        <tr r="O9" s="2"/>
      </tp>
      <tp t="s">
        <v>#N/A N/A</v>
        <stp/>
        <stp>BDH|7489007827941872229</stp>
        <tr r="AD35" s="2"/>
      </tp>
      <tp t="s">
        <v>#N/A N/A</v>
        <stp/>
        <stp>BDH|8389956970481676195</stp>
        <tr r="H52" s="2"/>
      </tp>
      <tp t="s">
        <v>#N/A N/A</v>
        <stp/>
        <stp>BDH|7420767536804365199</stp>
        <tr r="AK63" s="2"/>
      </tp>
      <tp t="s">
        <v>#N/A N/A</v>
        <stp/>
        <stp>BDH|6940931796183533372</stp>
        <tr r="F47" s="2"/>
      </tp>
      <tp t="s">
        <v>#N/A N/A</v>
        <stp/>
        <stp>BDH|7005121985350994802</stp>
        <tr r="T44" s="2"/>
      </tp>
      <tp t="s">
        <v>#N/A N/A</v>
        <stp/>
        <stp>BDH|2344040058307933690</stp>
        <tr r="U36" s="2"/>
      </tp>
      <tp t="s">
        <v>#N/A N/A</v>
        <stp/>
        <stp>BDH|7188675190847171989</stp>
        <tr r="AL35" s="2"/>
      </tp>
      <tp t="s">
        <v>#N/A N/A</v>
        <stp/>
        <stp>BDH|7002794164206932686</stp>
        <tr r="O45" s="2"/>
      </tp>
      <tp t="s">
        <v>#N/A N/A</v>
        <stp/>
        <stp>BDH|8849664233798944381</stp>
        <tr r="Y68" s="2"/>
      </tp>
      <tp t="s">
        <v>#N/A N/A</v>
        <stp/>
        <stp>BDH|6862077010199471870</stp>
        <tr r="R11" s="2"/>
      </tp>
      <tp t="s">
        <v>#N/A N/A</v>
        <stp/>
        <stp>BDH|8441673688349187966</stp>
        <tr r="AP57" s="2"/>
      </tp>
      <tp t="s">
        <v>#N/A N/A</v>
        <stp/>
        <stp>BDH|5795682343630142105</stp>
        <tr r="F45" s="2"/>
      </tp>
      <tp t="s">
        <v>#N/A N/A</v>
        <stp/>
        <stp>BDH|5196216049290257598</stp>
        <tr r="H46" s="2"/>
      </tp>
      <tp t="s">
        <v>#N/A N/A</v>
        <stp/>
        <stp>BDH|5910254919417411733</stp>
        <tr r="I50" s="2"/>
      </tp>
      <tp t="s">
        <v>#N/A N/A</v>
        <stp/>
        <stp>BDH|1666749650781984494</stp>
        <tr r="M35" s="2"/>
      </tp>
      <tp t="s">
        <v>#N/A N/A</v>
        <stp/>
        <stp>BDH|2785353865088386964</stp>
        <tr r="T35" s="2"/>
      </tp>
      <tp t="s">
        <v>#N/A N/A</v>
        <stp/>
        <stp>BDH|3205563411530709109</stp>
        <tr r="AG32" s="2"/>
      </tp>
      <tp t="s">
        <v>#N/A N/A</v>
        <stp/>
        <stp>BDH|3900783830396586779</stp>
        <tr r="AK35" s="2"/>
      </tp>
      <tp t="s">
        <v>#N/A N/A</v>
        <stp/>
        <stp>BDH|4628652402422275600</stp>
        <tr r="R18" s="2"/>
      </tp>
      <tp t="s">
        <v>#N/A N/A</v>
        <stp/>
        <stp>BDH|7128007066944258363</stp>
        <tr r="AP48" s="2"/>
      </tp>
      <tp t="e">
        <v>#N/A</v>
        <stp/>
        <stp>BDH|4278656113077193262</stp>
        <tr r="AE60" s="2"/>
      </tp>
      <tp t="s">
        <v>#N/A N/A</v>
        <stp/>
        <stp>BDH|4440336004875036439</stp>
        <tr r="L29" s="2"/>
      </tp>
      <tp t="s">
        <v>#N/A N/A</v>
        <stp/>
        <stp>BDH|1671283788298532536</stp>
        <tr r="I13" s="2"/>
      </tp>
      <tp t="s">
        <v>#N/A N/A</v>
        <stp/>
        <stp>BDH|2703282976301156080</stp>
        <tr r="F30" s="2"/>
      </tp>
      <tp t="s">
        <v>#N/A N/A</v>
        <stp/>
        <stp>BDH|3650784775817233292</stp>
        <tr r="AP41" s="2"/>
      </tp>
      <tp t="s">
        <v>#N/A N/A</v>
        <stp/>
        <stp>BDH|6473035319736726784</stp>
        <tr r="I52" s="2"/>
      </tp>
      <tp t="s">
        <v>#N/A N/A</v>
        <stp/>
        <stp>BDH|6690451487544285876</stp>
        <tr r="U67" s="2"/>
      </tp>
      <tp t="s">
        <v>#N/A N/A</v>
        <stp/>
        <stp>BDH|5143718468917025593</stp>
        <tr r="F29" s="2"/>
      </tp>
      <tp t="s">
        <v>#N/A N/A</v>
        <stp/>
        <stp>BDH|8368570294066787460</stp>
        <tr r="U40" s="2"/>
      </tp>
      <tp t="s">
        <v>#N/A N/A</v>
        <stp/>
        <stp>BDH|6610585478311026306</stp>
        <tr r="F52" s="2"/>
      </tp>
      <tp t="s">
        <v>#N/A N/A</v>
        <stp/>
        <stp>BDH|9828305158970006966</stp>
        <tr r="AA67" s="2"/>
      </tp>
      <tp t="s">
        <v>#N/A N/A</v>
        <stp/>
        <stp>BDH|7531080240782218786</stp>
        <tr r="AE11" s="2"/>
      </tp>
      <tp t="s">
        <v>#N/A N/A</v>
        <stp/>
        <stp>BDH|7161510048463937365</stp>
        <tr r="E14" s="2"/>
      </tp>
      <tp t="s">
        <v>#N/A N/A</v>
        <stp/>
        <stp>BDH|5459505667637320773</stp>
        <tr r="E22" s="2"/>
      </tp>
      <tp t="s">
        <v>#N/A N/A</v>
        <stp/>
        <stp>BDH|7411409642478547940</stp>
        <tr r="R34" s="2"/>
      </tp>
      <tp t="e">
        <v>#N/A</v>
        <stp/>
        <stp>BDH|8157851924730658425</stp>
        <tr r="E61" s="2"/>
      </tp>
      <tp t="s">
        <v>#N/A N/A</v>
        <stp/>
        <stp>BDH|7405764584197406967</stp>
        <tr r="J64" s="2"/>
      </tp>
      <tp t="s">
        <v>#N/A N/A</v>
        <stp/>
        <stp>BDH|8826660359164636940</stp>
        <tr r="AE50" s="2"/>
      </tp>
      <tp t="s">
        <v>#N/A N/A</v>
        <stp/>
        <stp>BDH|2048061077563244066</stp>
        <tr r="AN42" s="2"/>
      </tp>
      <tp t="s">
        <v>#N/A N/A</v>
        <stp/>
        <stp>BDH|4929099946215543369</stp>
        <tr r="T57" s="2"/>
      </tp>
      <tp t="s">
        <v>#N/A N/A</v>
        <stp/>
        <stp>BDH|9758923421107148305</stp>
        <tr r="F49" s="2"/>
      </tp>
      <tp t="s">
        <v>#N/A N/A</v>
        <stp/>
        <stp>BDH|7784319254213619414</stp>
        <tr r="J17" s="2"/>
      </tp>
      <tp t="s">
        <v>#N/A N/A</v>
        <stp/>
        <stp>BDH|8003434591833339045</stp>
        <tr r="AJ45" s="2"/>
      </tp>
      <tp t="s">
        <v>#N/A N/A</v>
        <stp/>
        <stp>BDH|8017392161528445265</stp>
        <tr r="X13" s="2"/>
      </tp>
      <tp t="s">
        <v>#N/A N/A</v>
        <stp/>
        <stp>BDH|6788197180708781039</stp>
        <tr r="S26" s="2"/>
      </tp>
      <tp t="s">
        <v>#N/A N/A</v>
        <stp/>
        <stp>BDH|4622207543592661798</stp>
        <tr r="AM10" s="2"/>
      </tp>
      <tp t="s">
        <v>#N/A N/A</v>
        <stp/>
        <stp>BDH|8845118489191214796</stp>
        <tr r="O11" s="2"/>
      </tp>
      <tp t="s">
        <v>#N/A N/A</v>
        <stp/>
        <stp>BDH|2403571402137399793</stp>
        <tr r="E24" s="2"/>
      </tp>
      <tp t="s">
        <v>#N/A N/A</v>
        <stp/>
        <stp>BDH|8014191764421576900</stp>
        <tr r="X48" s="2"/>
      </tp>
      <tp t="s">
        <v>#N/A N/A</v>
        <stp/>
        <stp>BDH|3821178122263316463</stp>
        <tr r="AJ34" s="2"/>
      </tp>
      <tp t="s">
        <v>#N/A N/A</v>
        <stp/>
        <stp>BDH|3685362200174073386</stp>
        <tr r="N64" s="2"/>
      </tp>
      <tp t="s">
        <v>#N/A N/A</v>
        <stp/>
        <stp>BDH|3789722139668240865</stp>
        <tr r="AM65" s="2"/>
      </tp>
      <tp t="s">
        <v>#N/A N/A</v>
        <stp/>
        <stp>BDH|3881291146264919672</stp>
        <tr r="H15" s="2"/>
      </tp>
      <tp t="s">
        <v>#N/A N/A</v>
        <stp/>
        <stp>BDH|1213960718498629638</stp>
        <tr r="Q21" s="2"/>
      </tp>
      <tp t="s">
        <v>#N/A N/A</v>
        <stp/>
        <stp>BDH|2831750277835187043</stp>
        <tr r="AN54" s="2"/>
      </tp>
      <tp t="s">
        <v>#N/A N/A</v>
        <stp/>
        <stp>BDH|1361373930941319789</stp>
        <tr r="L8" s="2"/>
      </tp>
      <tp t="s">
        <v>#N/A N/A</v>
        <stp/>
        <stp>BDH|4040058871086807206</stp>
        <tr r="AI18" s="2"/>
      </tp>
      <tp t="s">
        <v>#N/A N/A</v>
        <stp/>
        <stp>BDH|8856962482888021601</stp>
        <tr r="AJ22" s="2"/>
      </tp>
      <tp t="s">
        <v>#N/A N/A</v>
        <stp/>
        <stp>BDH|4370978048678330629</stp>
        <tr r="O67" s="2"/>
      </tp>
      <tp t="s">
        <v>#N/A N/A</v>
        <stp/>
        <stp>BDH|5971336820794788706</stp>
        <tr r="O22" s="2"/>
      </tp>
      <tp t="s">
        <v>#N/A N/A</v>
        <stp/>
        <stp>BDH|7498967345248275581</stp>
        <tr r="N10" s="2"/>
      </tp>
      <tp t="s">
        <v>#N/A N/A</v>
        <stp/>
        <stp>BDH|2054276594518932678</stp>
        <tr r="J49" s="2"/>
      </tp>
      <tp t="s">
        <v>#N/A N/A</v>
        <stp/>
        <stp>BDH|2381384924653776751</stp>
        <tr r="J23" s="2"/>
      </tp>
      <tp t="s">
        <v>#N/A N/A</v>
        <stp/>
        <stp>BDH|1703428216452142108</stp>
        <tr r="F31" s="2"/>
      </tp>
      <tp t="s">
        <v>#N/A N/A</v>
        <stp/>
        <stp>BDH|5068869287964758640</stp>
        <tr r="Z11" s="2"/>
      </tp>
      <tp t="s">
        <v>#N/A N/A</v>
        <stp/>
        <stp>BDH|9598155297127582106</stp>
        <tr r="AD31" s="2"/>
      </tp>
      <tp t="s">
        <v>#N/A N/A</v>
        <stp/>
        <stp>BDH|7606980636283267983</stp>
        <tr r="AI56" s="2"/>
      </tp>
      <tp t="e">
        <v>#N/A</v>
        <stp/>
        <stp>BDH|2075215012467481156</stp>
        <tr r="AN61" s="2"/>
      </tp>
      <tp t="s">
        <v>#N/A N/A</v>
        <stp/>
        <stp>BDH|3536073800460217429</stp>
        <tr r="O43" s="2"/>
      </tp>
      <tp t="s">
        <v>#N/A N/A</v>
        <stp/>
        <stp>BDH|4907136754002498581</stp>
        <tr r="AA62" s="2"/>
      </tp>
      <tp t="s">
        <v>#N/A N/A</v>
        <stp/>
        <stp>BDH|6972658719922457426</stp>
        <tr r="Q37" s="2"/>
      </tp>
      <tp t="s">
        <v>#N/A N/A</v>
        <stp/>
        <stp>BDH|1551756815841753118</stp>
        <tr r="AG11" s="2"/>
      </tp>
      <tp t="s">
        <v>#N/A N/A</v>
        <stp/>
        <stp>BDH|1564793561036898164</stp>
        <tr r="W9" s="2"/>
      </tp>
      <tp t="s">
        <v>#N/A N/A</v>
        <stp/>
        <stp>BDH|7272259962470201447</stp>
        <tr r="N8" s="2"/>
      </tp>
      <tp t="s">
        <v>#N/A N/A</v>
        <stp/>
        <stp>BDH|2390851739419813779</stp>
        <tr r="AE17" s="2"/>
      </tp>
      <tp t="s">
        <v>#N/A N/A</v>
        <stp/>
        <stp>BDH|4255364355251790461</stp>
        <tr r="Q23" s="2"/>
      </tp>
      <tp t="s">
        <v>#N/A N/A</v>
        <stp/>
        <stp>BDH|2581182807744338094</stp>
        <tr r="AN23" s="2"/>
      </tp>
      <tp t="s">
        <v>#N/A N/A</v>
        <stp/>
        <stp>BDH|4589741552071608054</stp>
        <tr r="P13" s="2"/>
      </tp>
      <tp t="e">
        <v>#N/A</v>
        <stp/>
        <stp>BDH|4047200991768868087</stp>
        <tr r="AP60" s="2"/>
      </tp>
      <tp t="s">
        <v>#N/A N/A</v>
        <stp/>
        <stp>BDH|2508248456366617408</stp>
        <tr r="AM54" s="2"/>
      </tp>
      <tp t="s">
        <v>#N/A N/A</v>
        <stp/>
        <stp>BDH|1734086084649317795</stp>
        <tr r="AP31" s="2"/>
      </tp>
      <tp t="s">
        <v>#N/A N/A</v>
        <stp/>
        <stp>BDH|3352022160253877188</stp>
        <tr r="Z10" s="2"/>
      </tp>
      <tp t="s">
        <v>#N/A N/A</v>
        <stp/>
        <stp>BDH|3333229073999769849</stp>
        <tr r="E30" s="2"/>
      </tp>
      <tp t="s">
        <v>#N/A N/A</v>
        <stp/>
        <stp>BDH|4234286013238884801</stp>
        <tr r="S17" s="2"/>
      </tp>
      <tp t="s">
        <v>#N/A N/A</v>
        <stp/>
        <stp>BDH|1578342164344079731</stp>
        <tr r="AG33" s="2"/>
      </tp>
      <tp t="s">
        <v>#N/A N/A</v>
        <stp/>
        <stp>BDH|7309427757102069300</stp>
        <tr r="AM28" s="2"/>
      </tp>
      <tp t="s">
        <v>#N/A N/A</v>
        <stp/>
        <stp>BDH|6447319414653682011</stp>
        <tr r="D30" s="2"/>
      </tp>
      <tp t="s">
        <v>#N/A N/A</v>
        <stp/>
        <stp>BDH|6997890680370396156</stp>
        <tr r="AE45" s="2"/>
      </tp>
      <tp t="s">
        <v>#N/A N/A</v>
        <stp/>
        <stp>BDH|4031576054852709129</stp>
        <tr r="AM14" s="2"/>
      </tp>
      <tp t="s">
        <v>#N/A N/A</v>
        <stp/>
        <stp>BDH|6274137023304123657</stp>
        <tr r="U44" s="2"/>
      </tp>
      <tp t="s">
        <v>#N/A N/A</v>
        <stp/>
        <stp>BDH|3876667428949915990</stp>
        <tr r="AL29" s="2"/>
      </tp>
      <tp t="s">
        <v>#N/A N/A</v>
        <stp/>
        <stp>BDH|8731506881032701067</stp>
        <tr r="N36" s="2"/>
      </tp>
      <tp t="s">
        <v>#N/A N/A</v>
        <stp/>
        <stp>BDH|8644909962281342102</stp>
        <tr r="F8" s="2"/>
      </tp>
      <tp t="s">
        <v>#N/A N/A</v>
        <stp/>
        <stp>BDH|7108841026982332872</stp>
        <tr r="AG27" s="2"/>
      </tp>
      <tp t="s">
        <v>#N/A N/A</v>
        <stp/>
        <stp>BDH|2464233821924909181</stp>
        <tr r="AI24" s="2"/>
      </tp>
      <tp t="s">
        <v>#N/A N/A</v>
        <stp/>
        <stp>BDH|4970452119581746765</stp>
        <tr r="R57" s="2"/>
      </tp>
      <tp t="s">
        <v>#N/A N/A</v>
        <stp/>
        <stp>BDH|5773234555187019253</stp>
        <tr r="C37" s="2"/>
      </tp>
      <tp t="s">
        <v>#N/A N/A</v>
        <stp/>
        <stp>BDH|2732844342631323863</stp>
        <tr r="AN8" s="2"/>
      </tp>
      <tp t="s">
        <v>#N/A N/A</v>
        <stp/>
        <stp>BDH|5207604966880521251</stp>
        <tr r="F18" s="2"/>
      </tp>
      <tp t="s">
        <v>#N/A N/A</v>
        <stp/>
        <stp>BDH|1360621862615306350</stp>
        <tr r="F16" s="2"/>
      </tp>
      <tp t="s">
        <v>#N/A N/A</v>
        <stp/>
        <stp>BDH|3991597345810745571</stp>
        <tr r="U63" s="2"/>
      </tp>
      <tp t="s">
        <v>#N/A N/A</v>
        <stp/>
        <stp>BDH|2179372770009204810</stp>
        <tr r="AL24" s="2"/>
      </tp>
      <tp t="s">
        <v>#N/A N/A</v>
        <stp/>
        <stp>BDH|5973738638234121268</stp>
        <tr r="H54" s="2"/>
      </tp>
      <tp t="s">
        <v>#N/A N/A</v>
        <stp/>
        <stp>BDH|9860362050809805131</stp>
        <tr r="AF9" s="2"/>
      </tp>
      <tp t="s">
        <v>#N/A N/A</v>
        <stp/>
        <stp>BDH|88044898806970566</stp>
        <tr r="E57" s="2"/>
      </tp>
      <tp t="s">
        <v>#N/A N/A</v>
        <stp/>
        <stp>BDH|95143485911062288</stp>
        <tr r="Y52" s="2"/>
      </tp>
      <tp t="s">
        <v>#N/A N/A</v>
        <stp/>
        <stp>BDH|5144333658244271721</stp>
        <tr r="L28" s="2"/>
      </tp>
      <tp t="s">
        <v>#N/A N/A</v>
        <stp/>
        <stp>BDH|9601891618592819251</stp>
        <tr r="Q32" s="2"/>
      </tp>
      <tp t="s">
        <v>#N/A N/A</v>
        <stp/>
        <stp>BDH|9939200391637017522</stp>
        <tr r="R9" s="2"/>
      </tp>
      <tp t="s">
        <v>#N/A N/A</v>
        <stp/>
        <stp>BDH|1146089315789428920</stp>
        <tr r="E13" s="2"/>
      </tp>
      <tp t="s">
        <v>#N/A N/A</v>
        <stp/>
        <stp>BDH|7888023054160376268</stp>
        <tr r="X16" s="2"/>
      </tp>
      <tp t="s">
        <v>#N/A N/A</v>
        <stp/>
        <stp>BDH|2500497087659200726</stp>
        <tr r="T42" s="2"/>
      </tp>
      <tp t="s">
        <v>#N/A N/A</v>
        <stp/>
        <stp>BDH|1528666009133736456</stp>
        <tr r="I48" s="2"/>
      </tp>
      <tp t="s">
        <v>#N/A N/A</v>
        <stp/>
        <stp>BDH|7834522781483326902</stp>
        <tr r="J13" s="2"/>
      </tp>
      <tp t="s">
        <v>#N/A N/A</v>
        <stp/>
        <stp>BDH|1622335109382420002</stp>
        <tr r="V18" s="2"/>
      </tp>
      <tp t="s">
        <v>#N/A N/A</v>
        <stp/>
        <stp>BDH|5874057494665324922</stp>
        <tr r="S10" s="2"/>
      </tp>
      <tp t="s">
        <v>#N/A N/A</v>
        <stp/>
        <stp>BDH|4580575829904011733</stp>
        <tr r="E10" s="2"/>
      </tp>
      <tp t="s">
        <v>#N/A N/A</v>
        <stp/>
        <stp>BDH|1975083343922313797</stp>
        <tr r="J12" s="2"/>
      </tp>
      <tp t="s">
        <v>#N/A N/A</v>
        <stp/>
        <stp>BDH|9542549799596941392</stp>
        <tr r="Y8" s="2"/>
      </tp>
      <tp t="s">
        <v>#N/A N/A</v>
        <stp/>
        <stp>BDH|5042185212636437374</stp>
        <tr r="R25" s="2"/>
      </tp>
      <tp t="s">
        <v>#N/A N/A</v>
        <stp/>
        <stp>BDH|9522099483860344154</stp>
        <tr r="AJ9" s="2"/>
      </tp>
      <tp t="s">
        <v>#N/A N/A</v>
        <stp/>
        <stp>BDH|6067030277377861657</stp>
        <tr r="S16" s="2"/>
      </tp>
      <tp t="s">
        <v>#N/A N/A</v>
        <stp/>
        <stp>BDH|3387686052218944892</stp>
        <tr r="X18" s="2"/>
      </tp>
      <tp t="s">
        <v>#N/A N/A</v>
        <stp/>
        <stp>BDH|9498147268267369926</stp>
        <tr r="P50" s="2"/>
      </tp>
      <tp t="s">
        <v>#N/A N/A</v>
        <stp/>
        <stp>BDH|3337073078235042125</stp>
        <tr r="AC42" s="2"/>
      </tp>
      <tp t="s">
        <v>#N/A N/A</v>
        <stp/>
        <stp>BDH|8827876663290722656</stp>
        <tr r="M42" s="2"/>
      </tp>
      <tp t="s">
        <v>#N/A N/A</v>
        <stp/>
        <stp>BDH|8582552177338185285</stp>
        <tr r="S12" s="2"/>
      </tp>
      <tp t="s">
        <v>#N/A N/A</v>
        <stp/>
        <stp>BDH|4153265590459942607</stp>
        <tr r="AK34" s="2"/>
      </tp>
      <tp t="s">
        <v>#N/A N/A</v>
        <stp/>
        <stp>BDH|1384454316192707697</stp>
        <tr r="AH46" s="2"/>
      </tp>
      <tp t="s">
        <v>#N/A N/A</v>
        <stp/>
        <stp>BDH|3372795746549348919</stp>
        <tr r="AH65" s="2"/>
      </tp>
      <tp t="s">
        <v>#N/A N/A</v>
        <stp/>
        <stp>BDH|6521221615963551692</stp>
        <tr r="Q30" s="2"/>
      </tp>
      <tp t="s">
        <v>#N/A N/A</v>
        <stp/>
        <stp>BDH|2619659053018680990</stp>
        <tr r="Y17" s="2"/>
      </tp>
      <tp t="s">
        <v>#N/A N/A</v>
        <stp/>
        <stp>BDH|4619584034710700221</stp>
        <tr r="D22" s="2"/>
      </tp>
      <tp t="s">
        <v>#N/A N/A</v>
        <stp/>
        <stp>BDH|7210737812131840041</stp>
        <tr r="AM40" s="2"/>
      </tp>
      <tp t="s">
        <v>#N/A N/A</v>
        <stp/>
        <stp>BDH|2743189912363717156</stp>
        <tr r="AH34" s="2"/>
      </tp>
      <tp t="s">
        <v>#N/A N/A</v>
        <stp/>
        <stp>BDH|6121451109882003026</stp>
        <tr r="H62" s="2"/>
      </tp>
      <tp t="s">
        <v>#N/A N/A</v>
        <stp/>
        <stp>BDH|1878779981248918682</stp>
        <tr r="G46" s="2"/>
      </tp>
      <tp t="s">
        <v>#N/A N/A</v>
        <stp/>
        <stp>BDH|8008573020456925926</stp>
        <tr r="I33" s="2"/>
      </tp>
      <tp t="e">
        <v>#N/A</v>
        <stp/>
        <stp>BDH|2194215234814960710</stp>
        <tr r="X60" s="2"/>
      </tp>
      <tp t="s">
        <v>#N/A N/A</v>
        <stp/>
        <stp>BDH|3190393668547877141</stp>
        <tr r="E41" s="2"/>
      </tp>
      <tp t="s">
        <v>#N/A N/A</v>
        <stp/>
        <stp>BDH|6499960287396816113</stp>
        <tr r="O7" s="2"/>
      </tp>
      <tp t="s">
        <v>#N/A N/A</v>
        <stp/>
        <stp>BDH|6088731389741765813</stp>
        <tr r="Y9" s="2"/>
      </tp>
      <tp t="s">
        <v>#N/A N/A</v>
        <stp/>
        <stp>BDH|1981611591329104740</stp>
        <tr r="AF7" s="2"/>
      </tp>
      <tp t="s">
        <v>#N/A N/A</v>
        <stp/>
        <stp>BDH|6066919976141395989</stp>
        <tr r="N32" s="2"/>
      </tp>
      <tp t="s">
        <v>#N/A N/A</v>
        <stp/>
        <stp>BDH|8138051963836906838</stp>
        <tr r="O68" s="2"/>
      </tp>
      <tp t="s">
        <v>#N/A N/A</v>
        <stp/>
        <stp>BDH|2404490379862993309</stp>
        <tr r="R30" s="2"/>
      </tp>
      <tp t="s">
        <v>#N/A N/A</v>
        <stp/>
        <stp>BDH|3858258376122636400</stp>
        <tr r="AD9" s="2"/>
      </tp>
      <tp t="s">
        <v>#N/A N/A</v>
        <stp/>
        <stp>BDH|2949786234661162766</stp>
        <tr r="AL47" s="2"/>
      </tp>
      <tp t="s">
        <v>#N/A N/A</v>
        <stp/>
        <stp>BDH|1044666962951793016</stp>
        <tr r="R14" s="2"/>
      </tp>
      <tp t="s">
        <v>#N/A N/A</v>
        <stp/>
        <stp>BDH|9581064895941023141</stp>
        <tr r="N43" s="2"/>
      </tp>
      <tp t="s">
        <v>#N/A N/A</v>
        <stp/>
        <stp>BDH|8364824022353213138</stp>
        <tr r="X9" s="2"/>
      </tp>
      <tp t="s">
        <v>#N/A N/A</v>
        <stp/>
        <stp>BDH|7458279737221409725</stp>
        <tr r="AF23" s="2"/>
      </tp>
      <tp t="s">
        <v>#N/A N/A</v>
        <stp/>
        <stp>BDH|8506551669543312888</stp>
        <tr r="N11" s="2"/>
      </tp>
      <tp t="s">
        <v>#N/A N/A</v>
        <stp/>
        <stp>BDH|2685659024744281273</stp>
        <tr r="AF30" s="2"/>
      </tp>
      <tp t="s">
        <v>#N/A N/A</v>
        <stp/>
        <stp>BDH|7767803183844186379</stp>
        <tr r="L63" s="2"/>
      </tp>
      <tp t="s">
        <v>#N/A N/A</v>
        <stp/>
        <stp>BDH|1472606943123561010</stp>
        <tr r="AJ56" s="2"/>
      </tp>
      <tp t="s">
        <v>#N/A N/A</v>
        <stp/>
        <stp>BDH|4161506321142294114</stp>
        <tr r="W63" s="2"/>
      </tp>
      <tp t="s">
        <v>#N/A N/A</v>
        <stp/>
        <stp>BDH|6585205734483515477</stp>
        <tr r="AK64" s="2"/>
      </tp>
      <tp t="s">
        <v>#N/A N/A</v>
        <stp/>
        <stp>BDH|4348693089929685356</stp>
        <tr r="AC22" s="2"/>
      </tp>
      <tp t="s">
        <v>#N/A N/A</v>
        <stp/>
        <stp>BDH|6757358857945459519</stp>
        <tr r="M56" s="2"/>
      </tp>
      <tp t="s">
        <v>#N/A N/A</v>
        <stp/>
        <stp>BDH|4698336236072439673</stp>
        <tr r="AE44" s="2"/>
      </tp>
      <tp t="s">
        <v>#N/A N/A</v>
        <stp/>
        <stp>BDH|6598670116684175557</stp>
        <tr r="AF68" s="2"/>
      </tp>
      <tp t="s">
        <v>#N/A N/A</v>
        <stp/>
        <stp>BDH|2240993548217215808</stp>
        <tr r="N63" s="2"/>
      </tp>
      <tp t="s">
        <v>#N/A N/A</v>
        <stp/>
        <stp>BDH|9537554395527447208</stp>
        <tr r="Y48" s="2"/>
      </tp>
      <tp t="s">
        <v>#N/A N/A</v>
        <stp/>
        <stp>BDH|8032535463238750315</stp>
        <tr r="AL33" s="2"/>
      </tp>
      <tp t="s">
        <v>#N/A N/A</v>
        <stp/>
        <stp>BDH|9607720682137518156</stp>
        <tr r="K23" s="2"/>
      </tp>
      <tp t="s">
        <v>#N/A N/A</v>
        <stp/>
        <stp>BDH|3547049557973870589</stp>
        <tr r="W10" s="2"/>
      </tp>
      <tp t="s">
        <v>#N/A N/A</v>
        <stp/>
        <stp>BDH|8770174994836146635</stp>
        <tr r="AG36" s="2"/>
      </tp>
      <tp t="s">
        <v>#N/A N/A</v>
        <stp/>
        <stp>BDH|4797330368689947836</stp>
        <tr r="D61" s="2"/>
      </tp>
      <tp t="s">
        <v>#N/A N/A</v>
        <stp/>
        <stp>BDH|1124612725246780346</stp>
        <tr r="E68" s="2"/>
      </tp>
      <tp t="s">
        <v>#N/A N/A</v>
        <stp/>
        <stp>BDH|5555495010956367682</stp>
        <tr r="AH7" s="2"/>
      </tp>
      <tp t="s">
        <v>#N/A N/A</v>
        <stp/>
        <stp>BDH|7527859292183656533</stp>
        <tr r="G33" s="2"/>
      </tp>
      <tp t="s">
        <v>#N/A N/A</v>
        <stp/>
        <stp>BDH|4718628655053750403</stp>
        <tr r="Y15" s="2"/>
      </tp>
      <tp t="e">
        <v>#N/A</v>
        <stp/>
        <stp>BDH|5988024208990400533</stp>
        <tr r="I60" s="2"/>
      </tp>
      <tp t="s">
        <v>#N/A N/A</v>
        <stp/>
        <stp>BDH|8494593299173455742</stp>
        <tr r="AK50" s="2"/>
      </tp>
      <tp t="s">
        <v>#N/A N/A</v>
        <stp/>
        <stp>BDH|5371443555353545720</stp>
        <tr r="AH31" s="2"/>
      </tp>
      <tp t="s">
        <v>#N/A N/A</v>
        <stp/>
        <stp>BDH|8521172662526258973</stp>
        <tr r="AD64" s="2"/>
      </tp>
      <tp t="s">
        <v>#N/A N/A</v>
        <stp/>
        <stp>BDH|8790930801997132616</stp>
        <tr r="AH24" s="2"/>
      </tp>
      <tp t="s">
        <v>#N/A N/A</v>
        <stp/>
        <stp>BDH|5124331526347069312</stp>
        <tr r="U45" s="2"/>
      </tp>
      <tp t="s">
        <v>#N/A N/A</v>
        <stp/>
        <stp>BDH|1940780194698756773</stp>
        <tr r="AD54" s="2"/>
      </tp>
      <tp t="s">
        <v>#N/A N/A</v>
        <stp/>
        <stp>BDH|6612073537763198628</stp>
        <tr r="Q52" s="2"/>
      </tp>
      <tp t="s">
        <v>#N/A N/A</v>
        <stp/>
        <stp>BDH|9426910116648042968</stp>
        <tr r="X29" s="2"/>
      </tp>
      <tp t="s">
        <v>#N/A N/A</v>
        <stp/>
        <stp>BDH|4684171100773179653</stp>
        <tr r="AA64" s="2"/>
      </tp>
      <tp t="s">
        <v>#N/A N/A</v>
        <stp/>
        <stp>BDH|2573133994429074379</stp>
        <tr r="AO30" s="2"/>
      </tp>
      <tp t="s">
        <v>#N/A N/A</v>
        <stp/>
        <stp>BDH|9641362035470713882</stp>
        <tr r="H27" s="2"/>
      </tp>
      <tp t="s">
        <v>#N/A N/A</v>
        <stp/>
        <stp>BDH|9441837922282678095</stp>
        <tr r="Q34" s="2"/>
      </tp>
      <tp t="s">
        <v>#N/A N/A</v>
        <stp/>
        <stp>BDH|6090235170260935209</stp>
        <tr r="AI35" s="2"/>
      </tp>
      <tp t="s">
        <v>#N/A N/A</v>
        <stp/>
        <stp>BDH|6061163338472642723</stp>
        <tr r="AA14" s="2"/>
      </tp>
      <tp t="s">
        <v>#N/A N/A</v>
        <stp/>
        <stp>BDH|3633633102055822146</stp>
        <tr r="W40" s="2"/>
      </tp>
      <tp t="s">
        <v>#N/A N/A</v>
        <stp/>
        <stp>BDH|1304366970484702098</stp>
        <tr r="F48" s="2"/>
      </tp>
      <tp t="s">
        <v>#N/A N/A</v>
        <stp/>
        <stp>BDH|7811511030141387114</stp>
        <tr r="Q33" s="2"/>
      </tp>
      <tp t="s">
        <v>#N/A N/A</v>
        <stp/>
        <stp>BDH|8744996876532311534</stp>
        <tr r="L41" s="2"/>
      </tp>
      <tp t="s">
        <v>#N/A N/A</v>
        <stp/>
        <stp>BDH|7673402239793436234</stp>
        <tr r="AP17" s="2"/>
      </tp>
      <tp t="s">
        <v>#N/A N/A</v>
        <stp/>
        <stp>BDH|4963644289133531897</stp>
        <tr r="M17" s="2"/>
      </tp>
      <tp t="s">
        <v>#N/A N/A</v>
        <stp/>
        <stp>BDH|1890220792598303331</stp>
        <tr r="AA27" s="2"/>
      </tp>
      <tp t="s">
        <v>#N/A N/A</v>
        <stp/>
        <stp>BDH|8224572239546609933</stp>
        <tr r="K8" s="2"/>
      </tp>
      <tp t="s">
        <v>#N/A N/A</v>
        <stp/>
        <stp>BDH|2382397432531001214</stp>
        <tr r="R8" s="2"/>
      </tp>
      <tp t="s">
        <v>#N/A N/A</v>
        <stp/>
        <stp>BDH|5282681147310380603</stp>
        <tr r="L16" s="2"/>
      </tp>
      <tp t="s">
        <v>#N/A N/A</v>
        <stp/>
        <stp>BDH|3251951397697873565</stp>
        <tr r="P14" s="2"/>
      </tp>
      <tp t="s">
        <v>#N/A N/A</v>
        <stp/>
        <stp>BDH|1778661069312433237</stp>
        <tr r="D44" s="2"/>
      </tp>
      <tp t="s">
        <v>#N/A N/A</v>
        <stp/>
        <stp>BDH|7791923368889354013</stp>
        <tr r="E66" s="2"/>
      </tp>
      <tp t="s">
        <v>#N/A N/A</v>
        <stp/>
        <stp>BDH|5643255808191718739</stp>
        <tr r="AB66" s="2"/>
      </tp>
      <tp t="s">
        <v>#N/A N/A</v>
        <stp/>
        <stp>BDH|5530337668565988483</stp>
        <tr r="G17" s="2"/>
      </tp>
      <tp t="s">
        <v>#N/A N/A</v>
        <stp/>
        <stp>BDH|4969538409137999766</stp>
        <tr r="AL17" s="2"/>
      </tp>
      <tp t="s">
        <v>#N/A N/A</v>
        <stp/>
        <stp>BDH|2241044046497551091</stp>
        <tr r="Q47" s="2"/>
      </tp>
      <tp t="s">
        <v>#N/A N/A</v>
        <stp/>
        <stp>BDH|5645210975460658180</stp>
        <tr r="G67" s="2"/>
      </tp>
      <tp t="s">
        <v>#N/A N/A</v>
        <stp/>
        <stp>BDH|3596325395818669084</stp>
        <tr r="AK46" s="2"/>
      </tp>
      <tp t="s">
        <v>#N/A N/A</v>
        <stp/>
        <stp>BDH|2045593171049195851</stp>
        <tr r="AO21" s="2"/>
      </tp>
      <tp t="s">
        <v>#N/A N/A</v>
        <stp/>
        <stp>BDH|9532270088546152460</stp>
        <tr r="AO12" s="2"/>
      </tp>
      <tp t="s">
        <v>#N/A N/A</v>
        <stp/>
        <stp>BDH|1827468965933597138</stp>
        <tr r="V9" s="2"/>
      </tp>
      <tp t="s">
        <v>#N/A N/A</v>
        <stp/>
        <stp>BDH|4522280041385221634</stp>
        <tr r="AI13" s="2"/>
      </tp>
      <tp t="s">
        <v>#N/A N/A</v>
        <stp/>
        <stp>BDH|5117277120926384288</stp>
        <tr r="O47" s="2"/>
      </tp>
      <tp t="s">
        <v>#N/A N/A</v>
        <stp/>
        <stp>BDH|4544017538767851160</stp>
        <tr r="AD43" s="2"/>
      </tp>
      <tp t="s">
        <v>#N/A N/A</v>
        <stp/>
        <stp>BDH|5401026164310241226</stp>
        <tr r="V49" s="2"/>
      </tp>
      <tp t="s">
        <v>#N/A N/A</v>
        <stp/>
        <stp>BDH|7730767810671122128</stp>
        <tr r="F34" s="2"/>
      </tp>
      <tp t="s">
        <v>#N/A N/A</v>
        <stp/>
        <stp>BDH|1888219835743695285</stp>
        <tr r="L44" s="2"/>
      </tp>
      <tp t="s">
        <v>#N/A N/A</v>
        <stp/>
        <stp>BDH|3182607945535301557</stp>
        <tr r="R68" s="2"/>
      </tp>
      <tp t="s">
        <v>#N/A N/A</v>
        <stp/>
        <stp>BDH|6041694879907427164</stp>
        <tr r="X52" s="2"/>
      </tp>
      <tp t="s">
        <v>#N/A N/A</v>
        <stp/>
        <stp>BDH|7310045825554871095</stp>
        <tr r="Y49" s="2"/>
      </tp>
      <tp t="s">
        <v>#N/A N/A</v>
        <stp/>
        <stp>BDH|2486559966672240260</stp>
        <tr r="R67" s="2"/>
      </tp>
      <tp t="s">
        <v>#N/A N/A</v>
        <stp/>
        <stp>BDH|7299151566479132838</stp>
        <tr r="AP67" s="2"/>
      </tp>
      <tp t="s">
        <v>#N/A N/A</v>
        <stp/>
        <stp>BDH|1415560666284797701</stp>
        <tr r="I57" s="2"/>
      </tp>
      <tp t="s">
        <v>#N/A N/A</v>
        <stp/>
        <stp>BDH|1461028574173786468</stp>
        <tr r="I42" s="2"/>
      </tp>
      <tp t="s">
        <v>#N/A N/A</v>
        <stp/>
        <stp>BDH|4610683502100469384</stp>
        <tr r="AH66" s="2"/>
      </tp>
      <tp t="s">
        <v>#N/A N/A</v>
        <stp/>
        <stp>BDH|4907274605327937026</stp>
        <tr r="AJ54" s="2"/>
      </tp>
      <tp t="s">
        <v>#N/A N/A</v>
        <stp/>
        <stp>BDH|8045812765604451301</stp>
        <tr r="AM8" s="2"/>
      </tp>
      <tp t="s">
        <v>#N/A N/A</v>
        <stp/>
        <stp>BDH|5325455759312979767</stp>
        <tr r="S46" s="2"/>
      </tp>
      <tp t="s">
        <v>#N/A N/A</v>
        <stp/>
        <stp>BDH|6821549349863661520</stp>
        <tr r="AL44" s="2"/>
      </tp>
      <tp t="s">
        <v>#N/A N/A</v>
        <stp/>
        <stp>BDH|9242584009309321414</stp>
        <tr r="O8" s="2"/>
      </tp>
      <tp t="s">
        <v>#N/A N/A</v>
        <stp/>
        <stp>BDH|2678764355191730038</stp>
        <tr r="R7" s="2"/>
      </tp>
      <tp t="s">
        <v>#N/A N/A</v>
        <stp/>
        <stp>BDH|3271368414367436757</stp>
        <tr r="H64" s="2"/>
      </tp>
      <tp t="s">
        <v>#N/A N/A</v>
        <stp/>
        <stp>BDH|3020168429657623685</stp>
        <tr r="AF31" s="2"/>
      </tp>
      <tp t="s">
        <v>#N/A N/A</v>
        <stp/>
        <stp>BDH|8384325181035358725</stp>
        <tr r="M66" s="2"/>
      </tp>
      <tp t="s">
        <v>#N/A N/A</v>
        <stp/>
        <stp>BDH|8165034455949391523</stp>
        <tr r="R22" s="2"/>
      </tp>
      <tp t="s">
        <v>#N/A N/A</v>
        <stp/>
        <stp>BDH|8893048638763665941</stp>
        <tr r="I68" s="2"/>
      </tp>
      <tp t="s">
        <v>#N/A N/A</v>
        <stp/>
        <stp>BDH|6069627900616169754</stp>
        <tr r="AK25" s="2"/>
      </tp>
      <tp t="s">
        <v>#N/A N/A</v>
        <stp/>
        <stp>BDH|4853580563352643435</stp>
        <tr r="AH54" s="2"/>
      </tp>
      <tp t="s">
        <v>#N/A N/A</v>
        <stp/>
        <stp>BDH|8409969906803454362</stp>
        <tr r="D49" s="2"/>
      </tp>
      <tp t="e">
        <v>#N/A</v>
        <stp/>
        <stp>BDH|2727853042968459724</stp>
        <tr r="AF61" s="2"/>
      </tp>
      <tp t="s">
        <v>#N/A N/A</v>
        <stp/>
        <stp>BDH|1998145026233503083</stp>
        <tr r="E33" s="2"/>
      </tp>
      <tp t="s">
        <v>#N/A N/A</v>
        <stp/>
        <stp>BDH|9726037787846752631</stp>
        <tr r="Y24" s="2"/>
      </tp>
      <tp t="s">
        <v>#N/A N/A</v>
        <stp/>
        <stp>BDH|4249149952794203513</stp>
        <tr r="AM16" s="2"/>
      </tp>
      <tp t="s">
        <v>#N/A N/A</v>
        <stp/>
        <stp>BDH|7584900762670266910</stp>
        <tr r="W23" s="2"/>
      </tp>
      <tp t="s">
        <v>#N/A N/A</v>
        <stp/>
        <stp>BDH|5380442446913092751</stp>
        <tr r="Q11" s="2"/>
      </tp>
      <tp t="s">
        <v>#N/A N/A</v>
        <stp/>
        <stp>BDH|4402487009626584743</stp>
        <tr r="AP29" s="2"/>
      </tp>
      <tp t="s">
        <v>#N/A N/A</v>
        <stp/>
        <stp>BDH|6587933317969596612</stp>
        <tr r="AG66" s="2"/>
      </tp>
      <tp t="e">
        <v>#N/A</v>
        <stp/>
        <stp>BDH|3986001472216732391</stp>
        <tr r="AP61" s="2"/>
      </tp>
      <tp t="s">
        <v>#N/A N/A</v>
        <stp/>
        <stp>BDH|7483577970720652405</stp>
        <tr r="Y67" s="2"/>
      </tp>
      <tp t="s">
        <v>#N/A N/A</v>
        <stp/>
        <stp>BDH|1348599160880834379</stp>
        <tr r="K57" s="2"/>
      </tp>
      <tp t="s">
        <v>#N/A N/A</v>
        <stp/>
        <stp>BDH|89144384453746647</stp>
        <tr r="AD50" s="2"/>
      </tp>
      <tp t="s">
        <v>#N/A N/A</v>
        <stp/>
        <stp>BDH|71479887111953100</stp>
        <tr r="AO15" s="2"/>
      </tp>
      <tp t="s">
        <v>#N/A N/A</v>
        <stp/>
        <stp>BDH|2710367851761302792</stp>
        <tr r="AL25" s="2"/>
      </tp>
      <tp t="s">
        <v>#N/A N/A</v>
        <stp/>
        <stp>BDH|9770582272391465832</stp>
        <tr r="AL43" s="2"/>
      </tp>
      <tp t="s">
        <v>#N/A N/A</v>
        <stp/>
        <stp>BDH|3171163119554767532</stp>
        <tr r="AL27" s="2"/>
      </tp>
      <tp t="s">
        <v>#N/A N/A</v>
        <stp/>
        <stp>BDH|8080454534444222990</stp>
        <tr r="M63" s="2"/>
      </tp>
      <tp t="s">
        <v>#N/A N/A</v>
        <stp/>
        <stp>BDH|8949551387042418541</stp>
        <tr r="F67" s="2"/>
      </tp>
      <tp t="s">
        <v>#N/A N/A</v>
        <stp/>
        <stp>BDH|7471756084209779390</stp>
        <tr r="AF46" s="2"/>
      </tp>
      <tp t="s">
        <v>#N/A N/A</v>
        <stp/>
        <stp>BDH|1686771448545702550</stp>
        <tr r="H68" s="2"/>
      </tp>
      <tp t="s">
        <v>#N/A N/A</v>
        <stp/>
        <stp>BDH|3312562517271891429</stp>
        <tr r="S52" s="2"/>
      </tp>
      <tp t="s">
        <v>#N/A N/A</v>
        <stp/>
        <stp>BDH|1902545946633209117</stp>
        <tr r="Y54" s="2"/>
      </tp>
      <tp t="s">
        <v>#N/A N/A</v>
        <stp/>
        <stp>BDH|3666484016881120511</stp>
        <tr r="J27" s="2"/>
      </tp>
      <tp t="s">
        <v>#N/A N/A</v>
        <stp/>
        <stp>BDH|5198502888733166904</stp>
        <tr r="I46" s="2"/>
      </tp>
      <tp t="s">
        <v>#N/A N/A</v>
        <stp/>
        <stp>BDH|7537718399709644221</stp>
        <tr r="M48" s="2"/>
      </tp>
      <tp t="s">
        <v>#N/A N/A</v>
        <stp/>
        <stp>BDH|3494037609622642315</stp>
        <tr r="AL46" s="2"/>
      </tp>
      <tp t="s">
        <v>#N/A N/A</v>
        <stp/>
        <stp>BDH|1892494542314970737</stp>
        <tr r="K36" s="2"/>
      </tp>
      <tp t="s">
        <v>#N/A N/A</v>
        <stp/>
        <stp>BDH|5255270105280638580</stp>
        <tr r="AI27" s="2"/>
      </tp>
      <tp t="s">
        <v>#N/A N/A</v>
        <stp/>
        <stp>BDH|2790050511161428090</stp>
        <tr r="J57" s="2"/>
      </tp>
      <tp t="s">
        <v>#N/A N/A</v>
        <stp/>
        <stp>BDH|5644137222655849106</stp>
        <tr r="P10" s="2"/>
      </tp>
      <tp t="s">
        <v>#N/A N/A</v>
        <stp/>
        <stp>BDH|8151994862184297174</stp>
        <tr r="G26" s="2"/>
      </tp>
      <tp t="s">
        <v>#N/A N/A</v>
        <stp/>
        <stp>BDH|1220385315509374804</stp>
        <tr r="V54" s="2"/>
      </tp>
      <tp t="s">
        <v>#N/A N/A</v>
        <stp/>
        <stp>BDH|9653583596241005640</stp>
        <tr r="P67" s="2"/>
      </tp>
      <tp t="s">
        <v>#N/A N/A</v>
        <stp/>
        <stp>BDH|9878506490524095349</stp>
        <tr r="R15" s="2"/>
      </tp>
      <tp t="s">
        <v>#N/A N/A</v>
        <stp/>
        <stp>BDH|7550565455317308283</stp>
        <tr r="AA26" s="2"/>
      </tp>
      <tp t="s">
        <v>#N/A N/A</v>
        <stp/>
        <stp>BDH|8043518029029698436</stp>
        <tr r="AK54" s="2"/>
      </tp>
      <tp t="s">
        <v>#N/A N/A</v>
        <stp/>
        <stp>BDH|7873546093750548970</stp>
        <tr r="T67" s="2"/>
      </tp>
      <tp t="s">
        <v>#N/A N/A</v>
        <stp/>
        <stp>BDH|6807609529976854643</stp>
        <tr r="AG31" s="2"/>
      </tp>
      <tp t="s">
        <v>#N/A N/A</v>
        <stp/>
        <stp>BDH|1794461330960531498</stp>
        <tr r="AC49" s="2"/>
      </tp>
      <tp t="s">
        <v>#N/A N/A</v>
        <stp/>
        <stp>BDH|6175244626680898461</stp>
        <tr r="J40" s="2"/>
      </tp>
      <tp t="s">
        <v>#N/A N/A</v>
        <stp/>
        <stp>BDH|1745688042012698384</stp>
        <tr r="AB29" s="2"/>
      </tp>
      <tp t="s">
        <v>#N/A N/A</v>
        <stp/>
        <stp>BDH|4224414880508801286</stp>
        <tr r="AA44" s="2"/>
      </tp>
      <tp t="s">
        <v>#N/A N/A</v>
        <stp/>
        <stp>BDH|5779481076550264483</stp>
        <tr r="AA22" s="2"/>
      </tp>
      <tp t="s">
        <v>#N/A N/A</v>
        <stp/>
        <stp>BDH|2918148795530925824</stp>
        <tr r="Y22" s="2"/>
      </tp>
      <tp t="s">
        <v>#N/A N/A</v>
        <stp/>
        <stp>BDH|7110640577325720151</stp>
        <tr r="AP35" s="2"/>
      </tp>
      <tp t="s">
        <v>#N/A N/A</v>
        <stp/>
        <stp>BDH|4820341518602675620</stp>
        <tr r="P30" s="2"/>
      </tp>
      <tp t="s">
        <v>#N/A N/A</v>
        <stp/>
        <stp>BDH|8527852727471041175</stp>
        <tr r="E7" s="2"/>
      </tp>
      <tp t="e">
        <v>#N/A</v>
        <stp/>
        <stp>BDH|8497343336829643301</stp>
        <tr r="X61" s="2"/>
      </tp>
      <tp t="s">
        <v>#N/A N/A</v>
        <stp/>
        <stp>BDH|5201662475926340028</stp>
        <tr r="X8" s="2"/>
      </tp>
      <tp t="s">
        <v>#N/A N/A</v>
        <stp/>
        <stp>BDH|3267197327631942355</stp>
        <tr r="P43" s="2"/>
      </tp>
      <tp t="s">
        <v>#N/A N/A</v>
        <stp/>
        <stp>BDH|3372858168196779988</stp>
        <tr r="H66" s="2"/>
      </tp>
      <tp t="s">
        <v>#N/A N/A</v>
        <stp/>
        <stp>BDH|7502296780699520683</stp>
        <tr r="D45" s="2"/>
      </tp>
      <tp t="s">
        <v>#N/A N/A</v>
        <stp/>
        <stp>BDH|3339246114682220003</stp>
        <tr r="AD10" s="2"/>
      </tp>
      <tp t="s">
        <v>#N/A N/A</v>
        <stp/>
        <stp>BDH|5375236317057201343</stp>
        <tr r="AK47" s="2"/>
      </tp>
      <tp t="s">
        <v>#N/A N/A</v>
        <stp/>
        <stp>BDH|8571087897763270095</stp>
        <tr r="O24" s="2"/>
      </tp>
      <tp t="s">
        <v>#N/A N/A</v>
        <stp/>
        <stp>BDH|5386341170726382552</stp>
        <tr r="T50" s="2"/>
      </tp>
      <tp t="s">
        <v>#N/A N/A</v>
        <stp/>
        <stp>BDH|3529174411194784558</stp>
        <tr r="AA37" s="2"/>
      </tp>
      <tp t="s">
        <v>#N/A N/A</v>
        <stp/>
        <stp>BDH|2723796727475801007</stp>
        <tr r="U7" s="2"/>
      </tp>
      <tp t="s">
        <v>#N/A N/A</v>
        <stp/>
        <stp>BDH|3288984576226907948</stp>
        <tr r="W29" s="2"/>
      </tp>
      <tp t="s">
        <v>#N/A N/A</v>
        <stp/>
        <stp>BDH|5214250628742971578</stp>
        <tr r="AH47" s="2"/>
      </tp>
      <tp t="s">
        <v>#N/A N/A</v>
        <stp/>
        <stp>BDH|2531344013351581360</stp>
        <tr r="L25" s="2"/>
      </tp>
      <tp t="s">
        <v>#N/A N/A</v>
        <stp/>
        <stp>BDH|1713463786906385922</stp>
        <tr r="AH23" s="2"/>
      </tp>
      <tp t="s">
        <v>#N/A N/A</v>
        <stp/>
        <stp>BDH|5242508614935066605</stp>
        <tr r="I25" s="2"/>
      </tp>
      <tp t="e">
        <v>#N/A</v>
        <stp/>
        <stp>BDH|6941626493339944273</stp>
        <tr r="S61" s="2"/>
      </tp>
      <tp t="s">
        <v>#N/A N/A</v>
        <stp/>
        <stp>BDH|2213702610417551119</stp>
        <tr r="AK52" s="2"/>
      </tp>
      <tp t="s">
        <v>#N/A N/A</v>
        <stp/>
        <stp>BDH|2885095018123661284</stp>
        <tr r="O10" s="2"/>
      </tp>
      <tp t="s">
        <v>#N/A N/A</v>
        <stp/>
        <stp>BDH|8859652878489651271</stp>
        <tr r="AM21" s="2"/>
      </tp>
      <tp t="s">
        <v>#N/A N/A</v>
        <stp/>
        <stp>BDH|5279643308713228288</stp>
        <tr r="AD49" s="2"/>
      </tp>
      <tp t="s">
        <v>#N/A N/A</v>
        <stp/>
        <stp>BDH|9799238867476785902</stp>
        <tr r="AM24" s="2"/>
      </tp>
      <tp t="s">
        <v>#N/A N/A</v>
        <stp/>
        <stp>BDH|1911399970995154244</stp>
        <tr r="AN12" s="2"/>
      </tp>
      <tp t="s">
        <v>#N/A N/A</v>
        <stp/>
        <stp>BDH|3343779692956667954</stp>
        <tr r="AB35" s="2"/>
      </tp>
      <tp t="s">
        <v>#N/A N/A</v>
        <stp/>
        <stp>BDH|7646349782416374862</stp>
        <tr r="AK27" s="2"/>
      </tp>
      <tp t="s">
        <v>#N/A N/A</v>
        <stp/>
        <stp>BDH|88248676538883290</stp>
        <tr r="N52" s="2"/>
      </tp>
      <tp t="s">
        <v>#N/A N/A</v>
        <stp/>
        <stp>BDH|82763869299729730</stp>
        <tr r="G29" s="2"/>
      </tp>
      <tp t="s">
        <v>#N/A N/A</v>
        <stp/>
        <stp>BDH|5275953209048237763</stp>
        <tr r="H43" s="2"/>
      </tp>
      <tp t="s">
        <v>#N/A N/A</v>
        <stp/>
        <stp>BDH|1744655775543914048</stp>
        <tr r="AE28" s="2"/>
      </tp>
      <tp t="s">
        <v>#N/A N/A</v>
        <stp/>
        <stp>BDH|2868582258582695347</stp>
        <tr r="S63" s="2"/>
      </tp>
      <tp t="s">
        <v>#N/A N/A</v>
        <stp/>
        <stp>BDH|5387628617214480598</stp>
        <tr r="V36" s="2"/>
      </tp>
      <tp t="s">
        <v>#N/A N/A</v>
        <stp/>
        <stp>BDH|9019538289292869598</stp>
        <tr r="L62" s="2"/>
      </tp>
      <tp t="s">
        <v>#N/A N/A</v>
        <stp/>
        <stp>BDH|4578597932488729922</stp>
        <tr r="M26" s="2"/>
      </tp>
      <tp t="s">
        <v>#N/A N/A</v>
        <stp/>
        <stp>BDH|9994969951430056659</stp>
        <tr r="Z40" s="2"/>
      </tp>
      <tp t="s">
        <v>#N/A N/A</v>
        <stp/>
        <stp>BDH|4235713758462760778</stp>
        <tr r="R17" s="2"/>
      </tp>
      <tp t="s">
        <v>#N/A N/A</v>
        <stp/>
        <stp>BDH|4955951360841035975</stp>
        <tr r="F64" s="2"/>
      </tp>
      <tp t="s">
        <v>#N/A N/A</v>
        <stp/>
        <stp>BDH|4698119388268781636</stp>
        <tr r="I36" s="2"/>
      </tp>
      <tp t="s">
        <v>#N/A N/A</v>
        <stp/>
        <stp>BDH|8740068543586837923</stp>
        <tr r="AB43" s="2"/>
      </tp>
      <tp t="s">
        <v>#N/A N/A</v>
        <stp/>
        <stp>BDH|5574520849143490424</stp>
        <tr r="C47" s="2"/>
      </tp>
      <tp t="s">
        <v>#N/A N/A</v>
        <stp/>
        <stp>BDH|6214027501221110488</stp>
        <tr r="I27" s="2"/>
      </tp>
      <tp t="s">
        <v>#N/A N/A</v>
        <stp/>
        <stp>BDH|7232398846206065553</stp>
        <tr r="AI43" s="2"/>
      </tp>
      <tp t="s">
        <v>#N/A N/A</v>
        <stp/>
        <stp>BDH|7903792260107989217</stp>
        <tr r="AL23" s="2"/>
      </tp>
      <tp t="s">
        <v>#N/A N/A</v>
        <stp/>
        <stp>BDH|5333090922875456142</stp>
        <tr r="AO41" s="2"/>
      </tp>
      <tp t="s">
        <v>#N/A N/A</v>
        <stp/>
        <stp>BDH|2443286943374690309</stp>
        <tr r="S28" s="2"/>
      </tp>
      <tp t="s">
        <v>#N/A N/A</v>
        <stp/>
        <stp>BDH|4348327420467874101</stp>
        <tr r="D17" s="2"/>
      </tp>
      <tp t="s">
        <v>#N/A N/A</v>
        <stp/>
        <stp>BDH|6683138015071143487</stp>
        <tr r="J35" s="2"/>
      </tp>
      <tp t="s">
        <v>#N/A N/A</v>
        <stp/>
        <stp>BDH|2571798723675267148</stp>
        <tr r="J44" s="2"/>
      </tp>
      <tp t="s">
        <v>#N/A N/A</v>
        <stp/>
        <stp>BDH|8331293490087282713</stp>
        <tr r="AD62" s="2"/>
      </tp>
      <tp t="s">
        <v>#N/A N/A</v>
        <stp/>
        <stp>BDH|9522040671034082995</stp>
        <tr r="F32" s="2"/>
      </tp>
      <tp t="s">
        <v>#N/A N/A</v>
        <stp/>
        <stp>BDH|4699045768638466973</stp>
        <tr r="G62" s="2"/>
      </tp>
      <tp t="s">
        <v>#N/A N/A</v>
        <stp/>
        <stp>BDH|2457121940182166691</stp>
        <tr r="T10" s="2"/>
      </tp>
      <tp t="s">
        <v>#N/A N/A</v>
        <stp/>
        <stp>BDH|7806547069995358286</stp>
        <tr r="L40" s="2"/>
      </tp>
      <tp t="s">
        <v>#N/A N/A</v>
        <stp/>
        <stp>BDH|5876156031272643649</stp>
        <tr r="P52" s="2"/>
      </tp>
      <tp t="s">
        <v>#N/A N/A</v>
        <stp/>
        <stp>BDH|5047136925896097390</stp>
        <tr r="N26" s="2"/>
      </tp>
      <tp t="s">
        <v>#N/A N/A</v>
        <stp/>
        <stp>BDH|6653553863484653294</stp>
        <tr r="AN29" s="2"/>
      </tp>
      <tp t="s">
        <v>#N/A N/A</v>
        <stp/>
        <stp>BDH|1597912605549802268</stp>
        <tr r="AO64" s="2"/>
      </tp>
      <tp t="s">
        <v>#N/A N/A</v>
        <stp/>
        <stp>BDH|5990007411403367443</stp>
        <tr r="AG40" s="2"/>
      </tp>
      <tp t="s">
        <v>#N/A N/A</v>
        <stp/>
        <stp>BDH|4136514742203620587</stp>
        <tr r="S44" s="2"/>
      </tp>
      <tp t="s">
        <v>#N/A N/A</v>
        <stp/>
        <stp>BDH|7692811558561497872</stp>
        <tr r="AE57" s="2"/>
      </tp>
      <tp t="s">
        <v>#N/A N/A</v>
        <stp/>
        <stp>BDH|5814476886403618939</stp>
        <tr r="S22" s="2"/>
      </tp>
      <tp t="s">
        <v>#N/A N/A</v>
        <stp/>
        <stp>BDH|8648813371577881326</stp>
        <tr r="D47" s="2"/>
      </tp>
      <tp t="s">
        <v>#N/A N/A</v>
        <stp/>
        <stp>BDH|7454704044567896042</stp>
        <tr r="AG34" s="2"/>
      </tp>
      <tp t="s">
        <v>#N/A N/A</v>
        <stp/>
        <stp>BDH|3050017509819185940</stp>
        <tr r="H24" s="2"/>
      </tp>
      <tp t="s">
        <v>#N/A N/A</v>
        <stp/>
        <stp>BDH|2018345808163292137</stp>
        <tr r="AH22" s="2"/>
      </tp>
      <tp t="s">
        <v>#N/A N/A</v>
        <stp/>
        <stp>BDH|7875019475252486159</stp>
        <tr r="L10" s="2"/>
      </tp>
      <tp t="s">
        <v>#N/A N/A</v>
        <stp/>
        <stp>BDH|1769455269784326458</stp>
        <tr r="P35" s="2"/>
      </tp>
      <tp t="s">
        <v>#N/A N/A</v>
        <stp/>
        <stp>BDH|5287829780513524588</stp>
        <tr r="AB45" s="2"/>
      </tp>
      <tp t="s">
        <v>#N/A N/A</v>
        <stp/>
        <stp>BDH|6627603937213675356</stp>
        <tr r="AA45" s="2"/>
      </tp>
      <tp t="s">
        <v>#N/A N/A</v>
        <stp/>
        <stp>BDH|6604954650331091814</stp>
        <tr r="AA7" s="2"/>
      </tp>
      <tp t="s">
        <v>#N/A N/A</v>
        <stp/>
        <stp>BDH|6796939405879305502</stp>
        <tr r="I35" s="2"/>
      </tp>
      <tp t="s">
        <v>#N/A N/A</v>
        <stp/>
        <stp>BDH|6838520259615560049</stp>
        <tr r="AD46" s="2"/>
      </tp>
      <tp t="s">
        <v>#N/A N/A</v>
        <stp/>
        <stp>BDH|6937246995528874629</stp>
        <tr r="U62" s="2"/>
      </tp>
      <tp t="s">
        <v>#N/A N/A</v>
        <stp/>
        <stp>BDH|2222761674247504661</stp>
        <tr r="G65" s="2"/>
      </tp>
      <tp t="s">
        <v>#N/A N/A</v>
        <stp/>
        <stp>BDH|3523702464552460366</stp>
        <tr r="AP15" s="2"/>
      </tp>
      <tp t="s">
        <v>#N/A N/A</v>
        <stp/>
        <stp>BDH|2296233445080787706</stp>
        <tr r="J8" s="2"/>
      </tp>
      <tp t="s">
        <v>#N/A N/A</v>
        <stp/>
        <stp>BDH|2089489696628904440</stp>
        <tr r="K41" s="2"/>
      </tp>
      <tp t="s">
        <v>#N/A N/A</v>
        <stp/>
        <stp>BDH|7931971291341539594</stp>
        <tr r="S7" s="2"/>
      </tp>
      <tp t="s">
        <v>#N/A N/A</v>
        <stp/>
        <stp>BDH|7127776861655491002</stp>
        <tr r="AD18" s="2"/>
      </tp>
      <tp t="s">
        <v>#N/A N/A</v>
        <stp/>
        <stp>BDH|5784711363767756029</stp>
        <tr r="X27" s="2"/>
      </tp>
      <tp t="s">
        <v>#N/A N/A</v>
        <stp/>
        <stp>BDH|8111681595473821744</stp>
        <tr r="AF8" s="2"/>
      </tp>
      <tp t="s">
        <v>#N/A N/A</v>
        <stp/>
        <stp>BDH|1048160006103508053</stp>
        <tr r="O14" s="2"/>
      </tp>
      <tp t="s">
        <v>#N/A N/A</v>
        <stp/>
        <stp>BDH|8555073481255006627</stp>
        <tr r="AK11" s="2"/>
      </tp>
      <tp t="s">
        <v>#N/A N/A</v>
        <stp/>
        <stp>BDH|9516660957519515006</stp>
        <tr r="E16" s="2"/>
      </tp>
      <tp t="s">
        <v>#N/A N/A</v>
        <stp/>
        <stp>BDH|4425952777298224155</stp>
        <tr r="M25" s="2"/>
      </tp>
      <tp t="s">
        <v>#N/A N/A</v>
        <stp/>
        <stp>BDH|6302515070266650120</stp>
        <tr r="H47" s="2"/>
      </tp>
      <tp t="s">
        <v>#N/A N/A</v>
        <stp/>
        <stp>BDH|4908815419787332943</stp>
        <tr r="AA8" s="2"/>
      </tp>
      <tp t="s">
        <v>#N/A N/A</v>
        <stp/>
        <stp>BDH|9038714520647724801</stp>
        <tr r="I14" s="2"/>
      </tp>
      <tp t="s">
        <v>#N/A N/A</v>
        <stp/>
        <stp>BDH|4706507629123818303</stp>
        <tr r="F54" s="2"/>
      </tp>
      <tp t="s">
        <v>#N/A N/A</v>
        <stp/>
        <stp>BDH|6448477406549649859</stp>
        <tr r="Z54" s="2"/>
      </tp>
      <tp t="s">
        <v>#N/A N/A</v>
        <stp/>
        <stp>BDH|5319147920375242021</stp>
        <tr r="AK44" s="2"/>
      </tp>
      <tp t="s">
        <v>#N/A N/A</v>
        <stp/>
        <stp>BDH|6665121396298155543</stp>
        <tr r="AI54" s="2"/>
      </tp>
      <tp t="s">
        <v>#N/A N/A</v>
        <stp/>
        <stp>BDH|3658657707074331203</stp>
        <tr r="T26" s="2"/>
      </tp>
      <tp t="s">
        <v>#N/A N/A</v>
        <stp/>
        <stp>BDH|1663991444677923856</stp>
        <tr r="AB68" s="2"/>
      </tp>
      <tp t="e">
        <v>#N/A</v>
        <stp/>
        <stp>BDH|1054113496763907995</stp>
        <tr r="AB60" s="2"/>
      </tp>
      <tp t="s">
        <v>#N/A N/A</v>
        <stp/>
        <stp>BDH|1636032530879357811</stp>
        <tr r="Q57" s="2"/>
      </tp>
      <tp t="s">
        <v>#N/A N/A</v>
        <stp/>
        <stp>BDH|2553326933064088534</stp>
        <tr r="P36" s="2"/>
      </tp>
      <tp t="s">
        <v>#N/A N/A</v>
        <stp/>
        <stp>BDH|2556306486953448900</stp>
        <tr r="AM18" s="2"/>
      </tp>
      <tp t="s">
        <v>#N/A N/A</v>
        <stp/>
        <stp>BDH|5550980239438423447</stp>
        <tr r="AE46" s="2"/>
      </tp>
      <tp t="s">
        <v>#N/A N/A</v>
        <stp/>
        <stp>BDH|5129183053362930079</stp>
        <tr r="M27" s="2"/>
      </tp>
      <tp t="s">
        <v>#N/A N/A</v>
        <stp/>
        <stp>BDH|5659182689338707749</stp>
        <tr r="T43" s="2"/>
      </tp>
      <tp t="s">
        <v>#N/A N/A</v>
        <stp/>
        <stp>BDH|7562447682158356049</stp>
        <tr r="AK36" s="2"/>
      </tp>
      <tp t="s">
        <v>#N/A N/A</v>
        <stp/>
        <stp>BDH|7740068036452036534</stp>
        <tr r="AG64" s="2"/>
      </tp>
      <tp t="s">
        <v>#N/A N/A</v>
        <stp/>
        <stp>BDH|4166468773746048202</stp>
        <tr r="AG16" s="2"/>
      </tp>
      <tp t="s">
        <v>#N/A N/A</v>
        <stp/>
        <stp>BDH|1454052364531515553</stp>
        <tr r="AI26" s="2"/>
      </tp>
      <tp t="s">
        <v>#N/A N/A</v>
        <stp/>
        <stp>BDH|4432068643031587210</stp>
        <tr r="C57" s="2"/>
      </tp>
      <tp t="s">
        <v>#N/A N/A</v>
        <stp/>
        <stp>BDH|3567736633262889689</stp>
        <tr r="AG35" s="2"/>
      </tp>
      <tp t="s">
        <v>#N/A N/A</v>
        <stp/>
        <stp>BDH|9646776227428548761</stp>
        <tr r="AA50" s="2"/>
      </tp>
      <tp t="s">
        <v>#N/A N/A</v>
        <stp/>
        <stp>BDH|7395818634768158724</stp>
        <tr r="AE14" s="2"/>
      </tp>
      <tp t="e">
        <v>#N/A</v>
        <stp/>
        <stp>BDH|5210708110444140464</stp>
        <tr r="R60" s="2"/>
      </tp>
      <tp t="s">
        <v>#N/A N/A</v>
        <stp/>
        <stp>BDH|6074239327574353120</stp>
        <tr r="E26" s="2"/>
      </tp>
      <tp t="s">
        <v>#N/A N/A</v>
        <stp/>
        <stp>BDH|4495575471463178661</stp>
        <tr r="H22" s="2"/>
      </tp>
      <tp t="s">
        <v>#N/A N/A</v>
        <stp/>
        <stp>BDH|564050489448796582</stp>
        <tr r="P42" s="2"/>
      </tp>
      <tp t="s">
        <v>#N/A N/A</v>
        <stp/>
        <stp>BDH|393207931330501467</stp>
        <tr r="W30" s="2"/>
      </tp>
      <tp t="s">
        <v>#N/A N/A</v>
        <stp/>
        <stp>BDH|213724154655591230</stp>
        <tr r="AN67" s="2"/>
      </tp>
      <tp t="s">
        <v>#N/A N/A</v>
        <stp/>
        <stp>BDH|706185118671046457</stp>
        <tr r="AB31" s="2"/>
      </tp>
      <tp t="s">
        <v>#N/A N/A</v>
        <stp/>
        <stp>BDH|152003254590542026</stp>
        <tr r="AM27" s="2"/>
      </tp>
      <tp t="s">
        <v>#N/A N/A</v>
        <stp/>
        <stp>BDH|767805942111436834</stp>
        <tr r="U28" s="2"/>
      </tp>
      <tp t="s">
        <v>#N/A N/A</v>
        <stp/>
        <stp>BDH|100914838337384885</stp>
        <tr r="C13" s="2"/>
      </tp>
      <tp t="s">
        <v>#N/A N/A</v>
        <stp/>
        <stp>BDH|336029389778282444</stp>
        <tr r="Z9" s="2"/>
      </tp>
      <tp t="s">
        <v>#N/A N/A</v>
        <stp/>
        <stp>BDH|522684153245420256</stp>
        <tr r="Z8" s="2"/>
      </tp>
      <tp t="s">
        <v>#N/A N/A</v>
        <stp/>
        <stp>BDH|334773128587876639</stp>
        <tr r="C54" s="2"/>
      </tp>
      <tp t="s">
        <v>#N/A N/A</v>
        <stp/>
        <stp>BDH|328261658224484793</stp>
        <tr r="Q56" s="2"/>
      </tp>
      <tp t="s">
        <v>#N/A N/A</v>
        <stp/>
        <stp>BDH|529874691060334500</stp>
        <tr r="C27" s="2"/>
      </tp>
      <tp t="s">
        <v>#N/A N/A</v>
        <stp/>
        <stp>BDH|476130646229166821</stp>
        <tr r="H26" s="2"/>
      </tp>
      <tp t="s">
        <v>#N/A N/A</v>
        <stp/>
        <stp>BDH|211515163526728148</stp>
        <tr r="AH21" s="2"/>
      </tp>
      <tp t="s">
        <v>#N/A N/A</v>
        <stp/>
        <stp>BDH|191750113333893236</stp>
        <tr r="AE41" s="2"/>
      </tp>
      <tp t="s">
        <v>#N/A N/A</v>
        <stp/>
        <stp>BDH|202016440034537791</stp>
        <tr r="U15" s="2"/>
      </tp>
      <tp t="s">
        <v>#N/A N/A</v>
        <stp/>
        <stp>BDH|216334044678883842</stp>
        <tr r="G24" s="2"/>
      </tp>
      <tp t="s">
        <v>#N/A N/A</v>
        <stp/>
        <stp>BDH|495763069434359233</stp>
        <tr r="W52" s="2"/>
      </tp>
      <tp t="s">
        <v>#N/A N/A</v>
        <stp/>
        <stp>BDH|146477124333830215</stp>
        <tr r="U52" s="2"/>
      </tp>
      <tp t="s">
        <v>#N/A N/A</v>
        <stp/>
        <stp>BDH|508458605476937587</stp>
        <tr r="W24" s="2"/>
      </tp>
      <tp t="e">
        <v>#N/A</v>
        <stp/>
        <stp>BDH|677831531365346924</stp>
        <tr r="U60" s="2"/>
      </tp>
      <tp t="s">
        <v>#N/A N/A</v>
        <stp/>
        <stp>BDH|424170613620507749</stp>
        <tr r="G28" s="2"/>
      </tp>
      <tp t="s">
        <v>#N/A N/A</v>
        <stp/>
        <stp>BDH|619582832842671278</stp>
        <tr r="T17" s="2"/>
      </tp>
      <tp t="s">
        <v>#N/A N/A</v>
        <stp/>
        <stp>BDH|219528233332882253</stp>
        <tr r="S27" s="2"/>
      </tp>
      <tp t="s">
        <v>#N/A N/A</v>
        <stp/>
        <stp>BDH|339650672736863138</stp>
        <tr r="AO27" s="2"/>
      </tp>
      <tp t="s">
        <v>#N/A N/A</v>
        <stp/>
        <stp>BDH|985473050406111193</stp>
        <tr r="Q48" s="2"/>
      </tp>
      <tp t="s">
        <v>#N/A N/A</v>
        <stp/>
        <stp>BDH|959068048824561629</stp>
        <tr r="W27" s="2"/>
      </tp>
      <tp t="s">
        <v>#N/A N/A</v>
        <stp/>
        <stp>BDH|987181471930717060</stp>
        <tr r="S66" s="2"/>
      </tp>
      <tp t="s">
        <v>#N/A N/A</v>
        <stp/>
        <stp>BDH|688233741397919016</stp>
        <tr r="AD21" s="2"/>
      </tp>
      <tp t="s">
        <v>#N/A N/A</v>
        <stp/>
        <stp>BDH|941229728116644795</stp>
        <tr r="D27" s="2"/>
      </tp>
      <tp t="s">
        <v>#N/A N/A</v>
        <stp/>
        <stp>BDH|164201808167355425</stp>
        <tr r="F68" s="2"/>
      </tp>
      <tp t="s">
        <v>#N/A N/A</v>
        <stp/>
        <stp>BDH|698403192125636981</stp>
        <tr r="N57" s="2"/>
      </tp>
      <tp t="s">
        <v>#N/A N/A</v>
        <stp/>
        <stp>BDH|604847426602927974</stp>
        <tr r="AB57" s="2"/>
      </tp>
      <tp t="s">
        <v>#N/A N/A</v>
        <stp/>
        <stp>BDH|566429841109440897</stp>
        <tr r="AG7" s="2"/>
      </tp>
      <tp t="s">
        <v>#N/A N/A</v>
        <stp/>
        <stp>BDH|486120272381701654</stp>
        <tr r="AA18" s="2"/>
      </tp>
      <tp t="s">
        <v>#N/A N/A</v>
        <stp/>
        <stp>BDH|277322224436734650</stp>
        <tr r="C23" s="2"/>
      </tp>
      <tp t="s">
        <v>#N/A N/A</v>
        <stp/>
        <stp>BDH|425341876000302557</stp>
        <tr r="K68" s="2"/>
      </tp>
      <tp t="s">
        <v>#N/A N/A</v>
        <stp/>
        <stp>BDH|607081951833507657</stp>
        <tr r="S54" s="2"/>
      </tp>
      <tp t="s">
        <v>#N/A N/A</v>
        <stp/>
        <stp>BDH|747168227262440188</stp>
        <tr r="C10" s="2"/>
      </tp>
      <tp t="s">
        <v>#N/A N/A</v>
        <stp/>
        <stp>BDH|501431958307058655</stp>
        <tr r="D57" s="2"/>
      </tp>
      <tp t="s">
        <v>#N/A N/A</v>
        <stp/>
        <stp>BDH|619343290663809915</stp>
        <tr r="AH26" s="2"/>
      </tp>
      <tp t="s">
        <v>#N/A N/A</v>
        <stp/>
        <stp>BDH|507243136840976187</stp>
        <tr r="AJ14" s="2"/>
      </tp>
      <tp t="s">
        <v>#N/A N/A</v>
        <stp/>
        <stp>BDH|757419112020408521</stp>
        <tr r="R46" s="2"/>
      </tp>
      <tp t="s">
        <v>#N/A N/A</v>
        <stp/>
        <stp>BDH|273477475085581661</stp>
        <tr r="AP42" s="2"/>
      </tp>
      <tp t="s">
        <v>#N/A N/A</v>
        <stp/>
        <stp>BDH|461033388479557276</stp>
        <tr r="AC18" s="2"/>
      </tp>
      <tp t="s">
        <v>#N/A N/A</v>
        <stp/>
        <stp>BDH|558492636732422632</stp>
        <tr r="AF44" s="2"/>
      </tp>
      <tp t="s">
        <v>#N/A N/A</v>
        <stp/>
        <stp>BDH|724704623541992741</stp>
        <tr r="AA40" s="2"/>
      </tp>
      <tp t="s">
        <v>#N/A N/A</v>
        <stp/>
        <stp>BDH|884174016444730784</stp>
        <tr r="W65" s="2"/>
      </tp>
      <tp t="s">
        <v>#N/A N/A</v>
        <stp/>
        <stp>BDH|771740684189593524</stp>
        <tr r="P11" s="2"/>
      </tp>
      <tp t="s">
        <v>#N/A N/A</v>
        <stp/>
        <stp>BDH|694776973821467387</stp>
        <tr r="U27" s="2"/>
      </tp>
      <tp t="s">
        <v>#N/A N/A</v>
        <stp/>
        <stp>BDH|577747008537184206</stp>
        <tr r="H63" s="2"/>
      </tp>
      <tp t="s">
        <v>#N/A N/A</v>
        <stp/>
        <stp>BDH|733965095707942553</stp>
        <tr r="X28" s="2"/>
      </tp>
      <tp t="s">
        <v>#N/A N/A</v>
        <stp/>
        <stp>BDH|849180200603192089</stp>
        <tr r="AN47" s="2"/>
      </tp>
      <tp t="s">
        <v>#N/A N/A</v>
        <stp/>
        <stp>BDH|965636526183599508</stp>
        <tr r="AD40" s="2"/>
      </tp>
      <tp t="s">
        <v>#N/A N/A</v>
        <stp/>
        <stp>BDH|565778659576395634</stp>
        <tr r="AN27" s="2"/>
      </tp>
      <tp t="s">
        <v>#N/A N/A</v>
        <stp/>
        <stp>BDH|912648064307718585</stp>
        <tr r="W50" s="2"/>
      </tp>
      <tp t="s">
        <v>#N/A N/A</v>
        <stp/>
        <stp>BDH|540432257455320647</stp>
        <tr r="M24" s="2"/>
      </tp>
      <tp t="s">
        <v>#N/A N/A</v>
        <stp/>
        <stp>BDH|233434433643635625</stp>
        <tr r="AC52" s="2"/>
      </tp>
      <tp t="e">
        <v>#N/A</v>
        <stp/>
        <stp>BDH|344774835860975684</stp>
        <tr r="AA61" s="2"/>
      </tp>
      <tp t="s">
        <v>#N/A N/A</v>
        <stp/>
        <stp>BDH|367612606034384067</stp>
        <tr r="T47" s="2"/>
      </tp>
      <tp t="s">
        <v>#N/A N/A</v>
        <stp/>
        <stp>BDH|133696371977321487</stp>
        <tr r="AN65" s="2"/>
      </tp>
      <tp t="s">
        <v>#N/A N/A</v>
        <stp/>
        <stp>BDH|444045417002033155</stp>
        <tr r="K27" s="2"/>
      </tp>
      <tp t="s">
        <v>#N/A N/A</v>
        <stp/>
        <stp>BDH|868804397383458083</stp>
        <tr r="AG41" s="2"/>
      </tp>
      <tp t="s">
        <v>#N/A N/A</v>
        <stp/>
        <stp>BDH|201946853655832407</stp>
        <tr r="AH44" s="2"/>
      </tp>
      <tp t="s">
        <v>#N/A N/A</v>
        <stp/>
        <stp>BDH|372245329629792410</stp>
        <tr r="AB32" s="2"/>
      </tp>
      <tp t="s">
        <v>#N/A N/A</v>
        <stp/>
        <stp>BDH|656274321879964426</stp>
        <tr r="I22" s="2"/>
      </tp>
      <tp t="s">
        <v>#N/A N/A</v>
        <stp/>
        <stp>BDH|695465159004592890</stp>
        <tr r="AF40" s="2"/>
      </tp>
      <tp t="s">
        <v>#N/A N/A</v>
        <stp/>
        <stp>BDH|234888389055318872</stp>
        <tr r="V50" s="2"/>
      </tp>
      <tp t="s">
        <v>#N/A N/A</v>
        <stp/>
        <stp>BDH|850151093186372205</stp>
        <tr r="S32" s="2"/>
      </tp>
      <tp t="s">
        <v>#N/A N/A</v>
        <stp/>
        <stp>BDH|761086546978682066</stp>
        <tr r="AA65" s="2"/>
      </tp>
      <tp t="s">
        <v>#N/A N/A</v>
        <stp/>
        <stp>BDH|568843027925014329</stp>
        <tr r="AJ30" s="2"/>
      </tp>
      <tp t="s">
        <v>#N/A N/A</v>
        <stp/>
        <stp>BDH|197637282601549307</stp>
        <tr r="X14" s="2"/>
      </tp>
      <tp t="s">
        <v>#N/A N/A</v>
        <stp/>
        <stp>BDH|953271835864569990</stp>
        <tr r="AC32" s="2"/>
      </tp>
      <tp t="s">
        <v>#N/A N/A</v>
        <stp/>
        <stp>BDH|304683782010590153</stp>
        <tr r="L30" s="2"/>
      </tp>
      <tp t="s">
        <v>#N/A N/A</v>
        <stp/>
        <stp>BDH|505756695838216934</stp>
        <tr r="M12" s="2"/>
      </tp>
      <tp t="s">
        <v>#N/A N/A</v>
        <stp/>
        <stp>BDH|480382093065804024</stp>
        <tr r="V23" s="2"/>
      </tp>
      <tp t="s">
        <v>#N/A N/A</v>
        <stp/>
        <stp>BDH|686701581587760755</stp>
        <tr r="AK29" s="2"/>
      </tp>
      <tp t="s">
        <v>#N/A N/A</v>
        <stp/>
        <stp>BDH|770698889045007420</stp>
        <tr r="C21" s="2"/>
      </tp>
      <tp t="s">
        <v>#N/A N/A</v>
        <stp/>
        <stp>BDH|674405963938062555</stp>
        <tr r="I15" s="2"/>
      </tp>
      <tp t="e">
        <v>#N/A</v>
        <stp/>
        <stp>BDH|222400285646089575</stp>
        <tr r="AK61" s="2"/>
      </tp>
      <tp t="s">
        <v>#N/A N/A</v>
        <stp/>
        <stp>BDH|864212101405978811</stp>
        <tr r="N40" s="2"/>
      </tp>
      <tp t="s">
        <v>#N/A N/A</v>
        <stp/>
        <stp>BDH|875823136987084246</stp>
        <tr r="AP52" s="2"/>
      </tp>
      <tp t="s">
        <v>#N/A N/A</v>
        <stp/>
        <stp>BDH|703274347490704887</stp>
        <tr r="Q14" s="2"/>
      </tp>
      <tp t="s">
        <v>#N/A N/A</v>
        <stp/>
        <stp>BDH|399583722700462962</stp>
        <tr r="X32" s="2"/>
      </tp>
      <tp t="s">
        <v>#N/A N/A</v>
        <stp/>
        <stp>BDH|351049527509053506</stp>
        <tr r="V62" s="2"/>
      </tp>
      <tp t="s">
        <v>#N/A N/A</v>
        <stp/>
        <stp>BDH|535365575068281266</stp>
        <tr r="Y36" s="2"/>
      </tp>
      <tp t="s">
        <v>#N/A N/A</v>
        <stp/>
        <stp>BDH|105133502518144721</stp>
        <tr r="E28" s="2"/>
      </tp>
      <tp t="s">
        <v>#N/A N/A</v>
        <stp/>
        <stp>BDH|627723002966255880</stp>
        <tr r="E67" s="2"/>
      </tp>
      <tp t="s">
        <v>#N/A N/A</v>
        <stp/>
        <stp>BDH|146147787966961693</stp>
        <tr r="G49" s="2"/>
      </tp>
      <tp t="s">
        <v>#N/A N/A</v>
        <stp/>
        <stp>BDH|696955153274647158</stp>
        <tr r="AN11" s="2"/>
      </tp>
      <tp t="s">
        <v>#N/A N/A</v>
        <stp/>
        <stp>BDH|511005405288777141</stp>
        <tr r="O64" s="2"/>
      </tp>
      <tp t="s">
        <v>#N/A N/A</v>
        <stp/>
        <stp>BDH|958175515681575927</stp>
        <tr r="Q41" s="2"/>
      </tp>
      <tp t="s">
        <v>#N/A N/A</v>
        <stp/>
        <stp>BDH|182385919123418992</stp>
        <tr r="AO44" s="2"/>
      </tp>
      <tp t="s">
        <v>#N/A N/A</v>
        <stp/>
        <stp>BDH|162951228614799755</stp>
        <tr r="E40" s="2"/>
      </tp>
      <tp t="s">
        <v>#N/A N/A</v>
        <stp/>
        <stp>BDH|815612848362213829</stp>
        <tr r="AM63" s="2"/>
      </tp>
      <tp t="s">
        <v>#N/A N/A</v>
        <stp/>
        <stp>BDH|544955766340384744</stp>
        <tr r="X54" s="2"/>
      </tp>
      <tp t="s">
        <v>#N/A N/A</v>
        <stp/>
        <stp>BDH|928688450413734840</stp>
        <tr r="K34" s="2"/>
      </tp>
      <tp t="s">
        <v>#N/A N/A</v>
        <stp/>
        <stp>BDH|873013296875620752</stp>
        <tr r="O12" s="2"/>
      </tp>
      <tp t="e">
        <v>#N/A</v>
        <stp/>
        <stp>BDH|846582842779682390</stp>
        <tr r="AE61" s="2"/>
      </tp>
      <tp t="s">
        <v>#N/A N/A</v>
        <stp/>
        <stp>BDH|493089913293622941</stp>
        <tr r="E44" s="2"/>
      </tp>
      <tp t="s">
        <v>#N/A N/A</v>
        <stp/>
        <stp>BDH|837247067626518965</stp>
        <tr r="AN36" s="2"/>
      </tp>
      <tp t="s">
        <v>#N/A N/A</v>
        <stp/>
        <stp>BDH|805141926860144814</stp>
        <tr r="AG48" s="2"/>
      </tp>
      <tp t="s">
        <v>#N/A N/A</v>
        <stp/>
        <stp>BDH|439691395941206506</stp>
        <tr r="O34" s="2"/>
      </tp>
      <tp t="s">
        <v>#N/A N/A</v>
        <stp/>
        <stp>BDH|460095213159460306</stp>
        <tr r="AM64" s="2"/>
      </tp>
      <tp t="s">
        <v>#N/A N/A</v>
        <stp/>
        <stp>BDH|867369095053729287</stp>
        <tr r="AH13" s="2"/>
      </tp>
      <tp t="s">
        <v>#N/A N/A</v>
        <stp/>
        <stp>BDH|696702290423921698</stp>
        <tr r="AH16" s="2"/>
      </tp>
      <tp t="s">
        <v>#N/A N/A</v>
        <stp/>
        <stp>BDH|207770296692143752</stp>
        <tr r="P62" s="2"/>
      </tp>
      <tp t="s">
        <v>#N/A N/A</v>
        <stp/>
        <stp>BDH|893068130960787968</stp>
        <tr r="AJ47" s="2"/>
      </tp>
      <tp t="s">
        <v>#N/A N/A</v>
        <stp/>
        <stp>BDH|485319988730289107</stp>
        <tr r="AG57" s="2"/>
      </tp>
      <tp t="s">
        <v>#N/A N/A</v>
        <stp/>
        <stp>BDH|756025589710388263</stp>
        <tr r="AJ24" s="2"/>
      </tp>
      <tp t="s">
        <v>#N/A N/A</v>
        <stp/>
        <stp>BDH|890612939937648827</stp>
        <tr r="Y42" s="2"/>
      </tp>
      <tp t="s">
        <v>#N/A N/A</v>
        <stp/>
        <stp>BDH|118784588155352064</stp>
        <tr r="AO43" s="2"/>
      </tp>
      <tp t="s">
        <v>#N/A N/A</v>
        <stp/>
        <stp>BDH|123391193114748492</stp>
        <tr r="O52" s="2"/>
      </tp>
      <tp t="s">
        <v>#N/A N/A</v>
        <stp/>
        <stp>BDH|364290700071678995</stp>
        <tr r="F62" s="2"/>
      </tp>
      <tp t="s">
        <v>#N/A N/A</v>
        <stp/>
        <stp>BDH|433394663236916914</stp>
        <tr r="N12" s="2"/>
      </tp>
      <tp t="s">
        <v>#N/A N/A</v>
        <stp/>
        <stp>BDH|444863161094560015</stp>
        <tr r="E32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9"/>
  <sheetViews>
    <sheetView tabSelected="1" workbookViewId="0">
      <selection sqref="A1:XFD1048576"/>
    </sheetView>
  </sheetViews>
  <sheetFormatPr defaultRowHeight="14.4" x14ac:dyDescent="0.3"/>
  <cols>
    <col min="1" max="1" width="35.21875" customWidth="1"/>
    <col min="2" max="2" width="0" hidden="1" customWidth="1"/>
    <col min="3" max="42" width="11.77734375" customWidth="1"/>
  </cols>
  <sheetData>
    <row r="1" spans="1:4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21" x14ac:dyDescent="0.3">
      <c r="A2" s="8" t="s">
        <v>185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x14ac:dyDescent="0.3">
      <c r="A4" s="3" t="s">
        <v>2</v>
      </c>
      <c r="B4" s="3"/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 t="s">
        <v>33</v>
      </c>
      <c r="AH4" s="4" t="s">
        <v>34</v>
      </c>
      <c r="AI4" s="4" t="s">
        <v>35</v>
      </c>
      <c r="AJ4" s="4" t="s">
        <v>36</v>
      </c>
      <c r="AK4" s="4" t="s">
        <v>37</v>
      </c>
      <c r="AL4" s="4" t="s">
        <v>38</v>
      </c>
      <c r="AM4" s="4" t="s">
        <v>39</v>
      </c>
      <c r="AN4" s="4" t="s">
        <v>40</v>
      </c>
      <c r="AO4" s="4" t="s">
        <v>41</v>
      </c>
      <c r="AP4" s="4" t="s">
        <v>42</v>
      </c>
    </row>
    <row r="5" spans="1:42" x14ac:dyDescent="0.3">
      <c r="A5" s="9" t="s">
        <v>43</v>
      </c>
      <c r="B5" s="9"/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5" t="s">
        <v>57</v>
      </c>
      <c r="Q5" s="5" t="s">
        <v>58</v>
      </c>
      <c r="R5" s="5" t="s">
        <v>59</v>
      </c>
      <c r="S5" s="5" t="s">
        <v>60</v>
      </c>
      <c r="T5" s="5" t="s">
        <v>61</v>
      </c>
      <c r="U5" s="5" t="s">
        <v>62</v>
      </c>
      <c r="V5" s="5" t="s">
        <v>63</v>
      </c>
      <c r="W5" s="5" t="s">
        <v>64</v>
      </c>
      <c r="X5" s="5" t="s">
        <v>65</v>
      </c>
      <c r="Y5" s="5" t="s">
        <v>66</v>
      </c>
      <c r="Z5" s="5" t="s">
        <v>67</v>
      </c>
      <c r="AA5" s="5" t="s">
        <v>68</v>
      </c>
      <c r="AB5" s="5" t="s">
        <v>69</v>
      </c>
      <c r="AC5" s="5" t="s">
        <v>70</v>
      </c>
      <c r="AD5" s="5" t="s">
        <v>71</v>
      </c>
      <c r="AE5" s="5" t="s">
        <v>72</v>
      </c>
      <c r="AF5" s="5" t="s">
        <v>73</v>
      </c>
      <c r="AG5" s="5" t="s">
        <v>74</v>
      </c>
      <c r="AH5" s="5" t="s">
        <v>75</v>
      </c>
      <c r="AI5" s="5" t="s">
        <v>76</v>
      </c>
      <c r="AJ5" s="5" t="s">
        <v>77</v>
      </c>
      <c r="AK5" s="5" t="s">
        <v>78</v>
      </c>
      <c r="AL5" s="5" t="s">
        <v>79</v>
      </c>
      <c r="AM5" s="5" t="s">
        <v>80</v>
      </c>
      <c r="AN5" s="5" t="s">
        <v>81</v>
      </c>
      <c r="AO5" s="5" t="s">
        <v>82</v>
      </c>
      <c r="AP5" s="5" t="s">
        <v>83</v>
      </c>
    </row>
    <row r="6" spans="1:42" x14ac:dyDescent="0.3">
      <c r="A6" s="6" t="s">
        <v>84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2" x14ac:dyDescent="0.3">
      <c r="A7" s="10" t="s">
        <v>153</v>
      </c>
      <c r="B7" s="10" t="s">
        <v>85</v>
      </c>
      <c r="C7" s="12">
        <f>_xll.BDH("WMT US Equity","CF_NET_INC","FQ3 2016","FQ3 2016","Currency=USD","Period=FQ","BEST_FPERIOD_OVERRIDE=FQ","FILING_STATUS=MR","SCALING_FORMAT=MLN","Sort=A","Dates=H","DateFormat=P","Fill=—","Direction=H","UseDPDF=Y")</f>
        <v>3304</v>
      </c>
      <c r="D7" s="12">
        <f>_xll.BDH("WMT US Equity","CF_NET_INC","FQ4 2016","FQ4 2016","Currency=USD","Period=FQ","BEST_FPERIOD_OVERRIDE=FQ","FILING_STATUS=MR","SCALING_FORMAT=MLN","Sort=A","Dates=H","DateFormat=P","Fill=—","Direction=H","UseDPDF=Y")</f>
        <v>4574</v>
      </c>
      <c r="E7" s="12">
        <f>_xll.BDH("WMT US Equity","CF_NET_INC","FQ1 2017","FQ1 2017","Currency=USD","Period=FQ","BEST_FPERIOD_OVERRIDE=FQ","FILING_STATUS=MR","SCALING_FORMAT=MLN","Sort=A","Dates=H","DateFormat=P","Fill=—","Direction=H","UseDPDF=Y")</f>
        <v>3079</v>
      </c>
      <c r="F7" s="12">
        <f>_xll.BDH("WMT US Equity","CF_NET_INC","FQ2 2017","FQ2 2017","Currency=USD","Period=FQ","BEST_FPERIOD_OVERRIDE=FQ","FILING_STATUS=MR","SCALING_FORMAT=MLN","Sort=A","Dates=H","DateFormat=P","Fill=—","Direction=H","UseDPDF=Y")</f>
        <v>3773</v>
      </c>
      <c r="G7" s="12">
        <f>_xll.BDH("WMT US Equity","CF_NET_INC","FQ3 2017","FQ3 2017","Currency=USD","Period=FQ","BEST_FPERIOD_OVERRIDE=FQ","FILING_STATUS=MR","SCALING_FORMAT=MLN","Sort=A","Dates=H","DateFormat=P","Fill=—","Direction=H","UseDPDF=Y")</f>
        <v>3034</v>
      </c>
      <c r="H7" s="12">
        <f>_xll.BDH("WMT US Equity","CF_NET_INC","FQ4 2017","FQ4 2017","Currency=USD","Period=FQ","BEST_FPERIOD_OVERRIDE=FQ","FILING_STATUS=MR","SCALING_FORMAT=MLN","Sort=A","Dates=H","DateFormat=P","Fill=—","Direction=H","UseDPDF=Y")</f>
        <v>3757</v>
      </c>
      <c r="I7" s="12">
        <f>_xll.BDH("WMT US Equity","CF_NET_INC","FQ1 2018","FQ1 2018","Currency=USD","Period=FQ","BEST_FPERIOD_OVERRIDE=FQ","FILING_STATUS=MR","SCALING_FORMAT=MLN","Sort=A","Dates=H","DateFormat=P","Fill=—","Direction=H","UseDPDF=Y")</f>
        <v>3039</v>
      </c>
      <c r="J7" s="12">
        <f>_xll.BDH("WMT US Equity","CF_NET_INC","FQ2 2018","FQ2 2018","Currency=USD","Period=FQ","BEST_FPERIOD_OVERRIDE=FQ","FILING_STATUS=MR","SCALING_FORMAT=MLN","Sort=A","Dates=H","DateFormat=P","Fill=—","Direction=H","UseDPDF=Y")</f>
        <v>2899</v>
      </c>
      <c r="K7" s="12">
        <f>_xll.BDH("WMT US Equity","CF_NET_INC","FQ3 2018","FQ3 2018","Currency=USD","Period=FQ","BEST_FPERIOD_OVERRIDE=FQ","FILING_STATUS=MR","SCALING_FORMAT=MLN","Sort=A","Dates=H","DateFormat=P","Fill=—","Direction=H","UseDPDF=Y")</f>
        <v>1749</v>
      </c>
      <c r="L7" s="12">
        <f>_xll.BDH("WMT US Equity","CF_NET_INC","FQ4 2018","FQ4 2018","Currency=USD","Period=FQ","BEST_FPERIOD_OVERRIDE=FQ","FILING_STATUS=MR","SCALING_FORMAT=MLN","Sort=A","Dates=H","DateFormat=P","Fill=—","Direction=H","UseDPDF=Y")</f>
        <v>2175</v>
      </c>
      <c r="M7" s="12">
        <f>_xll.BDH("WMT US Equity","CF_NET_INC","FQ1 2019","FQ1 2019","Currency=USD","Period=FQ","BEST_FPERIOD_OVERRIDE=FQ","FILING_STATUS=MR","SCALING_FORMAT=MLN","Sort=A","Dates=H","DateFormat=P","Fill=—","Direction=H","UseDPDF=Y")</f>
        <v>2134</v>
      </c>
      <c r="N7" s="12">
        <f>_xll.BDH("WMT US Equity","CF_NET_INC","FQ2 2019","FQ2 2019","Currency=USD","Period=FQ","BEST_FPERIOD_OVERRIDE=FQ","FILING_STATUS=MR","SCALING_FORMAT=MLN","Sort=A","Dates=H","DateFormat=P","Fill=—","Direction=H","UseDPDF=Y")</f>
        <v>-861</v>
      </c>
      <c r="O7" s="12">
        <f>_xll.BDH("WMT US Equity","CF_NET_INC","FQ3 2019","FQ3 2019","Currency=USD","Period=FQ","BEST_FPERIOD_OVERRIDE=FQ","FILING_STATUS=MR","SCALING_FORMAT=MLN","Sort=A","Dates=H","DateFormat=P","Fill=—","Direction=H","UseDPDF=Y")</f>
        <v>1710</v>
      </c>
      <c r="P7" s="12">
        <f>_xll.BDH("WMT US Equity","CF_NET_INC","FQ4 2019","FQ4 2019","Currency=USD","Period=FQ","BEST_FPERIOD_OVERRIDE=FQ","FILING_STATUS=MR","SCALING_FORMAT=MLN","Sort=A","Dates=H","DateFormat=P","Fill=—","Direction=H","UseDPDF=Y")</f>
        <v>3687</v>
      </c>
      <c r="Q7" s="12">
        <f>_xll.BDH("WMT US Equity","CF_NET_INC","FQ1 2020","FQ1 2020","Currency=USD","Period=FQ","BEST_FPERIOD_OVERRIDE=FQ","FILING_STATUS=MR","SCALING_FORMAT=MLN","Sort=A","Dates=H","DateFormat=P","Fill=—","Direction=H","UseDPDF=Y")</f>
        <v>3842</v>
      </c>
      <c r="R7" s="12">
        <f>_xll.BDH("WMT US Equity","CF_NET_INC","FQ2 2020","FQ2 2020","Currency=USD","Period=FQ","BEST_FPERIOD_OVERRIDE=FQ","FILING_STATUS=MR","SCALING_FORMAT=MLN","Sort=A","Dates=H","DateFormat=P","Fill=—","Direction=H","UseDPDF=Y")</f>
        <v>3610</v>
      </c>
      <c r="S7" s="12">
        <f>_xll.BDH("WMT US Equity","CF_NET_INC","FQ3 2020","FQ3 2020","Currency=USD","Period=FQ","BEST_FPERIOD_OVERRIDE=FQ","FILING_STATUS=MR","SCALING_FORMAT=MLN","Sort=A","Dates=H","DateFormat=P","Fill=—","Direction=H","UseDPDF=Y")</f>
        <v>3288</v>
      </c>
      <c r="T7" s="12">
        <f>_xll.BDH("WMT US Equity","CF_NET_INC","FQ4 2020","FQ4 2020","Currency=USD","Period=FQ","BEST_FPERIOD_OVERRIDE=FQ","FILING_STATUS=MR","SCALING_FORMAT=MLN","Sort=A","Dates=H","DateFormat=P","Fill=—","Direction=H","UseDPDF=Y")</f>
        <v>4141</v>
      </c>
      <c r="U7" s="12">
        <f>_xll.BDH("WMT US Equity","CF_NET_INC","FQ1 2021","FQ1 2021","Currency=USD","Period=FQ","BEST_FPERIOD_OVERRIDE=FQ","FILING_STATUS=MR","SCALING_FORMAT=MLN","Sort=A","Dates=H","DateFormat=P","Fill=—","Direction=H","UseDPDF=Y")</f>
        <v>3990</v>
      </c>
      <c r="V7" s="12">
        <f>_xll.BDH("WMT US Equity","CF_NET_INC","FQ2 2021","FQ2 2021","Currency=USD","Period=FQ","BEST_FPERIOD_OVERRIDE=FQ","FILING_STATUS=MR","SCALING_FORMAT=MLN","Sort=A","Dates=H","DateFormat=P","Fill=—","Direction=H","UseDPDF=Y")</f>
        <v>6476</v>
      </c>
      <c r="W7" s="12">
        <f>_xll.BDH("WMT US Equity","CF_NET_INC","FQ3 2021","FQ3 2021","Currency=USD","Period=FQ","BEST_FPERIOD_OVERRIDE=FQ","FILING_STATUS=MR","SCALING_FORMAT=MLN","Sort=A","Dates=H","DateFormat=P","Fill=—","Direction=H","UseDPDF=Y")</f>
        <v>5135</v>
      </c>
      <c r="X7" s="12">
        <f>_xll.BDH("WMT US Equity","CF_NET_INC","FQ4 2021","FQ4 2021","Currency=USD","Period=FQ","BEST_FPERIOD_OVERRIDE=FQ","FILING_STATUS=MR","SCALING_FORMAT=MLN","Sort=A","Dates=H","DateFormat=P","Fill=—","Direction=H","UseDPDF=Y")</f>
        <v>-2091</v>
      </c>
      <c r="Y7" s="12">
        <f>_xll.BDH("WMT US Equity","CF_NET_INC","FQ1 2022","FQ1 2022","Currency=USD","Period=FQ","BEST_FPERIOD_OVERRIDE=FQ","FILING_STATUS=MR","SCALING_FORMAT=MLN","Sort=A","Dates=H","DateFormat=P","Fill=—","Direction=H","UseDPDF=Y")</f>
        <v>2730</v>
      </c>
      <c r="Z7" s="12">
        <f>_xll.BDH("WMT US Equity","CF_NET_INC","FQ2 2022","FQ2 2022","Currency=USD","Period=FQ","BEST_FPERIOD_OVERRIDE=FQ","FILING_STATUS=MR","SCALING_FORMAT=MLN","Sort=A","Dates=H","DateFormat=P","Fill=—","Direction=H","UseDPDF=Y")</f>
        <v>4276</v>
      </c>
      <c r="AA7" s="12">
        <f>_xll.BDH("WMT US Equity","CF_NET_INC","FQ3 2022","FQ3 2022","Currency=USD","Period=FQ","BEST_FPERIOD_OVERRIDE=FQ","FILING_STATUS=MR","SCALING_FORMAT=MLN","Sort=A","Dates=H","DateFormat=P","Fill=—","Direction=H","UseDPDF=Y")</f>
        <v>3105</v>
      </c>
      <c r="AB7" s="12">
        <f>_xll.BDH("WMT US Equity","CF_NET_INC","FQ4 2022","FQ4 2022","Currency=USD","Period=FQ","BEST_FPERIOD_OVERRIDE=FQ","FILING_STATUS=MR","SCALING_FORMAT=MLN","Sort=A","Dates=H","DateFormat=P","Fill=—","Direction=H","UseDPDF=Y")</f>
        <v>3562</v>
      </c>
      <c r="AC7" s="12">
        <f>_xll.BDH("WMT US Equity","CF_NET_INC","FQ1 2023","FQ1 2023","Currency=USD","Period=FQ","BEST_FPERIOD_OVERRIDE=FQ","FILING_STATUS=MR","SCALING_FORMAT=MLN","Sort=A","Dates=H","DateFormat=P","Fill=—","Direction=H","UseDPDF=Y")</f>
        <v>2054</v>
      </c>
      <c r="AD7" s="12">
        <f>_xll.BDH("WMT US Equity","CF_NET_INC","FQ2 2023","FQ2 2023","Currency=USD","Period=FQ","BEST_FPERIOD_OVERRIDE=FQ","FILING_STATUS=MR","SCALING_FORMAT=MLN","Sort=A","Dates=H","DateFormat=P","Fill=—","Direction=H","UseDPDF=Y")</f>
        <v>5149</v>
      </c>
      <c r="AE7" s="12">
        <f>_xll.BDH("WMT US Equity","CF_NET_INC","FQ3 2023","FQ3 2023","Currency=USD","Period=FQ","BEST_FPERIOD_OVERRIDE=FQ","FILING_STATUS=MR","SCALING_FORMAT=MLN","Sort=A","Dates=H","DateFormat=P","Fill=—","Direction=H","UseDPDF=Y")</f>
        <v>-1798</v>
      </c>
      <c r="AF7" s="12">
        <f>_xll.BDH("WMT US Equity","CF_NET_INC","FQ4 2023","FQ4 2023","Currency=USD","Period=FQ","BEST_FPERIOD_OVERRIDE=FQ","FILING_STATUS=MR","SCALING_FORMAT=MLN","Sort=A","Dates=H","DateFormat=P","Fill=—","Direction=H","UseDPDF=Y")</f>
        <v>6275</v>
      </c>
      <c r="AG7" s="12">
        <f>_xll.BDH("WMT US Equity","CF_NET_INC","FQ1 2024","FQ1 2024","Currency=USD","Period=FQ","BEST_FPERIOD_OVERRIDE=FQ","FILING_STATUS=MR","SCALING_FORMAT=MLN","Sort=A","Dates=H","DateFormat=P","Fill=—","Direction=H","UseDPDF=Y")</f>
        <v>1673</v>
      </c>
      <c r="AH7" s="12">
        <f>_xll.BDH("WMT US Equity","CF_NET_INC","FQ2 2024","FQ2 2024","Currency=USD","Period=FQ","BEST_FPERIOD_OVERRIDE=FQ","FILING_STATUS=MR","SCALING_FORMAT=MLN","Sort=A","Dates=H","DateFormat=P","Fill=—","Direction=H","UseDPDF=Y")</f>
        <v>7891</v>
      </c>
      <c r="AI7" s="12">
        <f>_xll.BDH("WMT US Equity","CF_NET_INC","FQ3 2024","FQ3 2024","Currency=USD","Period=FQ","BEST_FPERIOD_OVERRIDE=FQ","FILING_STATUS=MR","SCALING_FORMAT=MLN","Sort=A","Dates=H","DateFormat=P","Fill=—","Direction=H","UseDPDF=Y")</f>
        <v>453</v>
      </c>
      <c r="AJ7" s="12">
        <f>_xll.BDH("WMT US Equity","CF_NET_INC","FQ4 2024","FQ4 2024","Currency=USD","Period=FQ","BEST_FPERIOD_OVERRIDE=FQ","FILING_STATUS=MR","SCALING_FORMAT=MLN","Sort=A","Dates=H","DateFormat=P","Fill=—","Direction=H","UseDPDF=Y")</f>
        <v>5494</v>
      </c>
      <c r="AK7" s="12">
        <f>_xll.BDH("WMT US Equity","CF_NET_INC","FQ1 2025","FQ1 2025","Currency=USD","Period=FQ","BEST_FPERIOD_OVERRIDE=FQ","FILING_STATUS=MR","SCALING_FORMAT=MLN","Sort=A","Dates=H","DateFormat=P","Fill=—","Direction=H","UseDPDF=Y")</f>
        <v>5104</v>
      </c>
      <c r="AL7" s="12">
        <f>_xll.BDH("WMT US Equity","CF_NET_INC","FQ2 2025","FQ2 2025","Currency=USD","Period=FQ","BEST_FPERIOD_OVERRIDE=FQ","FILING_STATUS=MR","SCALING_FORMAT=MLN","Sort=A","Dates=H","DateFormat=P","Fill=—","Direction=H","UseDPDF=Y")</f>
        <v>4501</v>
      </c>
      <c r="AM7" s="12">
        <f>_xll.BDH("WMT US Equity","CF_NET_INC","FQ3 2025","FQ3 2025","Currency=USD","Period=FQ","BEST_FPERIOD_OVERRIDE=FQ","FILING_STATUS=MR","SCALING_FORMAT=MLN","Sort=A","Dates=H","DateFormat=P","Fill=—","Direction=H","UseDPDF=Y")</f>
        <v>4577</v>
      </c>
      <c r="AN7" s="12">
        <f>_xll.BDH("WMT US Equity","CF_NET_INC","FQ4 2025","FQ4 2025","Currency=USD","Period=FQ","BEST_FPERIOD_OVERRIDE=FQ","FILING_STATUS=MR","SCALING_FORMAT=MLN","Sort=A","Dates=H","DateFormat=P","Fill=—","Direction=H","UseDPDF=Y")</f>
        <v>5254</v>
      </c>
      <c r="AO7" s="12">
        <f>_xll.BDH("WMT US Equity","CF_NET_INC","FQ1 2026","FQ1 2026","Currency=USD","Period=FQ","BEST_FPERIOD_OVERRIDE=FQ","FILING_STATUS=MR","SCALING_FORMAT=MLN","Sort=A","Dates=H","DateFormat=P","Fill=—","Direction=H","UseDPDF=Y")</f>
        <v>4487</v>
      </c>
      <c r="AP7" s="12">
        <f>_xll.BDH("WMT US Equity","CF_NET_INC","FQ2 2026","FQ2 2026","Currency=USD","Period=FQ","BEST_FPERIOD_OVERRIDE=FQ","FILING_STATUS=MR","SCALING_FORMAT=MLN","Sort=A","Dates=H","DateFormat=P","Fill=—","Direction=H","UseDPDF=Y")</f>
        <v>7026</v>
      </c>
    </row>
    <row r="8" spans="1:42" x14ac:dyDescent="0.3">
      <c r="A8" s="10" t="s">
        <v>154</v>
      </c>
      <c r="B8" s="10" t="s">
        <v>86</v>
      </c>
      <c r="C8" s="12">
        <f>_xll.BDH("WMT US Equity","CF_DEPR_AMORT","FQ3 2016","FQ3 2016","Currency=USD","Period=FQ","BEST_FPERIOD_OVERRIDE=FQ","FILING_STATUS=MR","SCALING_FORMAT=MLN","Sort=A","Dates=H","DateFormat=P","Fill=—","Direction=H","UseDPDF=Y")</f>
        <v>2365</v>
      </c>
      <c r="D8" s="12">
        <f>_xll.BDH("WMT US Equity","CF_DEPR_AMORT","FQ4 2016","FQ4 2016","Currency=USD","Period=FQ","BEST_FPERIOD_OVERRIDE=FQ","FILING_STATUS=MR","SCALING_FORMAT=MLN","Sort=A","Dates=H","DateFormat=P","Fill=—","Direction=H","UseDPDF=Y")</f>
        <v>2431</v>
      </c>
      <c r="E8" s="12">
        <f>_xll.BDH("WMT US Equity","CF_DEPR_AMORT","FQ1 2017","FQ1 2017","Currency=USD","Period=FQ","BEST_FPERIOD_OVERRIDE=FQ","FILING_STATUS=MR","SCALING_FORMAT=MLN","Sort=A","Dates=H","DateFormat=P","Fill=—","Direction=H","UseDPDF=Y")</f>
        <v>2388</v>
      </c>
      <c r="F8" s="12">
        <f>_xll.BDH("WMT US Equity","CF_DEPR_AMORT","FQ2 2017","FQ2 2017","Currency=USD","Period=FQ","BEST_FPERIOD_OVERRIDE=FQ","FILING_STATUS=MR","SCALING_FORMAT=MLN","Sort=A","Dates=H","DateFormat=P","Fill=—","Direction=H","UseDPDF=Y")</f>
        <v>2517</v>
      </c>
      <c r="G8" s="12">
        <f>_xll.BDH("WMT US Equity","CF_DEPR_AMORT","FQ3 2017","FQ3 2017","Currency=USD","Period=FQ","BEST_FPERIOD_OVERRIDE=FQ","FILING_STATUS=MR","SCALING_FORMAT=MLN","Sort=A","Dates=H","DateFormat=P","Fill=—","Direction=H","UseDPDF=Y")</f>
        <v>2469</v>
      </c>
      <c r="H8" s="12">
        <f>_xll.BDH("WMT US Equity","CF_DEPR_AMORT","FQ4 2017","FQ4 2017","Currency=USD","Period=FQ","BEST_FPERIOD_OVERRIDE=FQ","FILING_STATUS=MR","SCALING_FORMAT=MLN","Sort=A","Dates=H","DateFormat=P","Fill=—","Direction=H","UseDPDF=Y")</f>
        <v>2706</v>
      </c>
      <c r="I8" s="12">
        <f>_xll.BDH("WMT US Equity","CF_DEPR_AMORT","FQ1 2018","FQ1 2018","Currency=USD","Period=FQ","BEST_FPERIOD_OVERRIDE=FQ","FILING_STATUS=MR","SCALING_FORMAT=MLN","Sort=A","Dates=H","DateFormat=P","Fill=—","Direction=H","UseDPDF=Y")</f>
        <v>2551</v>
      </c>
      <c r="J8" s="12">
        <f>_xll.BDH("WMT US Equity","CF_DEPR_AMORT","FQ2 2018","FQ2 2018","Currency=USD","Period=FQ","BEST_FPERIOD_OVERRIDE=FQ","FILING_STATUS=MR","SCALING_FORMAT=MLN","Sort=A","Dates=H","DateFormat=P","Fill=—","Direction=H","UseDPDF=Y")</f>
        <v>2618</v>
      </c>
      <c r="K8" s="12">
        <f>_xll.BDH("WMT US Equity","CF_DEPR_AMORT","FQ3 2018","FQ3 2018","Currency=USD","Period=FQ","BEST_FPERIOD_OVERRIDE=FQ","FILING_STATUS=MR","SCALING_FORMAT=MLN","Sort=A","Dates=H","DateFormat=P","Fill=—","Direction=H","UseDPDF=Y")</f>
        <v>2658</v>
      </c>
      <c r="L8" s="12">
        <f>_xll.BDH("WMT US Equity","CF_DEPR_AMORT","FQ4 2018","FQ4 2018","Currency=USD","Period=FQ","BEST_FPERIOD_OVERRIDE=FQ","FILING_STATUS=MR","SCALING_FORMAT=MLN","Sort=A","Dates=H","DateFormat=P","Fill=—","Direction=H","UseDPDF=Y")</f>
        <v>2702</v>
      </c>
      <c r="M8" s="12">
        <f>_xll.BDH("WMT US Equity","CF_DEPR_AMORT","FQ1 2019","FQ1 2019","Currency=USD","Period=FQ","BEST_FPERIOD_OVERRIDE=FQ","FILING_STATUS=MR","SCALING_FORMAT=MLN","Sort=A","Dates=H","DateFormat=P","Fill=—","Direction=H","UseDPDF=Y")</f>
        <v>2678</v>
      </c>
      <c r="N8" s="12">
        <f>_xll.BDH("WMT US Equity","CF_DEPR_AMORT","FQ2 2019","FQ2 2019","Currency=USD","Period=FQ","BEST_FPERIOD_OVERRIDE=FQ","FILING_STATUS=MR","SCALING_FORMAT=MLN","Sort=A","Dates=H","DateFormat=P","Fill=—","Direction=H","UseDPDF=Y")</f>
        <v>2654</v>
      </c>
      <c r="O8" s="12">
        <f>_xll.BDH("WMT US Equity","CF_DEPR_AMORT","FQ3 2019","FQ3 2019","Currency=USD","Period=FQ","BEST_FPERIOD_OVERRIDE=FQ","FILING_STATUS=MR","SCALING_FORMAT=MLN","Sort=A","Dates=H","DateFormat=P","Fill=—","Direction=H","UseDPDF=Y")</f>
        <v>2615</v>
      </c>
      <c r="P8" s="12">
        <f>_xll.BDH("WMT US Equity","CF_DEPR_AMORT","FQ4 2019","FQ4 2019","Currency=USD","Period=FQ","BEST_FPERIOD_OVERRIDE=FQ","FILING_STATUS=MR","SCALING_FORMAT=MLN","Sort=A","Dates=H","DateFormat=P","Fill=—","Direction=H","UseDPDF=Y")</f>
        <v>2731</v>
      </c>
      <c r="Q8" s="12">
        <f>_xll.BDH("WMT US Equity","CF_DEPR_AMORT","FQ1 2020","FQ1 2020","Currency=USD","Period=FQ","BEST_FPERIOD_OVERRIDE=FQ","FILING_STATUS=MR","SCALING_FORMAT=MLN","Sort=A","Dates=H","DateFormat=P","Fill=—","Direction=H","UseDPDF=Y")</f>
        <v>2714</v>
      </c>
      <c r="R8" s="12">
        <f>_xll.BDH("WMT US Equity","CF_DEPR_AMORT","FQ2 2020","FQ2 2020","Currency=USD","Period=FQ","BEST_FPERIOD_OVERRIDE=FQ","FILING_STATUS=MR","SCALING_FORMAT=MLN","Sort=A","Dates=H","DateFormat=P","Fill=—","Direction=H","UseDPDF=Y")</f>
        <v>2722</v>
      </c>
      <c r="S8" s="12">
        <f>_xll.BDH("WMT US Equity","CF_DEPR_AMORT","FQ3 2020","FQ3 2020","Currency=USD","Period=FQ","BEST_FPERIOD_OVERRIDE=FQ","FILING_STATUS=MR","SCALING_FORMAT=MLN","Sort=A","Dates=H","DateFormat=P","Fill=—","Direction=H","UseDPDF=Y")</f>
        <v>2723</v>
      </c>
      <c r="T8" s="12">
        <f>_xll.BDH("WMT US Equity","CF_DEPR_AMORT","FQ4 2020","FQ4 2020","Currency=USD","Period=FQ","BEST_FPERIOD_OVERRIDE=FQ","FILING_STATUS=MR","SCALING_FORMAT=MLN","Sort=A","Dates=H","DateFormat=P","Fill=—","Direction=H","UseDPDF=Y")</f>
        <v>2828</v>
      </c>
      <c r="U8" s="12">
        <f>_xll.BDH("WMT US Equity","CF_DEPR_AMORT","FQ1 2021","FQ1 2021","Currency=USD","Period=FQ","BEST_FPERIOD_OVERRIDE=FQ","FILING_STATUS=MR","SCALING_FORMAT=MLN","Sort=A","Dates=H","DateFormat=P","Fill=—","Direction=H","UseDPDF=Y")</f>
        <v>2791</v>
      </c>
      <c r="V8" s="12">
        <f>_xll.BDH("WMT US Equity","CF_DEPR_AMORT","FQ2 2021","FQ2 2021","Currency=USD","Period=FQ","BEST_FPERIOD_OVERRIDE=FQ","FILING_STATUS=MR","SCALING_FORMAT=MLN","Sort=A","Dates=H","DateFormat=P","Fill=—","Direction=H","UseDPDF=Y")</f>
        <v>2771</v>
      </c>
      <c r="W8" s="12">
        <f>_xll.BDH("WMT US Equity","CF_DEPR_AMORT","FQ3 2021","FQ3 2021","Currency=USD","Period=FQ","BEST_FPERIOD_OVERRIDE=FQ","FILING_STATUS=MR","SCALING_FORMAT=MLN","Sort=A","Dates=H","DateFormat=P","Fill=—","Direction=H","UseDPDF=Y")</f>
        <v>2771</v>
      </c>
      <c r="X8" s="12">
        <f>_xll.BDH("WMT US Equity","CF_DEPR_AMORT","FQ4 2021","FQ4 2021","Currency=USD","Period=FQ","BEST_FPERIOD_OVERRIDE=FQ","FILING_STATUS=MR","SCALING_FORMAT=MLN","Sort=A","Dates=H","DateFormat=P","Fill=—","Direction=H","UseDPDF=Y")</f>
        <v>2819</v>
      </c>
      <c r="Y8" s="12">
        <f>_xll.BDH("WMT US Equity","CF_DEPR_AMORT","FQ1 2022","FQ1 2022","Currency=USD","Period=FQ","BEST_FPERIOD_OVERRIDE=FQ","FILING_STATUS=MR","SCALING_FORMAT=MLN","Sort=A","Dates=H","DateFormat=P","Fill=—","Direction=H","UseDPDF=Y")</f>
        <v>2661</v>
      </c>
      <c r="Z8" s="12">
        <f>_xll.BDH("WMT US Equity","CF_DEPR_AMORT","FQ2 2022","FQ2 2022","Currency=USD","Period=FQ","BEST_FPERIOD_OVERRIDE=FQ","FILING_STATUS=MR","SCALING_FORMAT=MLN","Sort=A","Dates=H","DateFormat=P","Fill=—","Direction=H","UseDPDF=Y")</f>
        <v>2641</v>
      </c>
      <c r="AA8" s="12">
        <f>_xll.BDH("WMT US Equity","CF_DEPR_AMORT","FQ3 2022","FQ3 2022","Currency=USD","Period=FQ","BEST_FPERIOD_OVERRIDE=FQ","FILING_STATUS=MR","SCALING_FORMAT=MLN","Sort=A","Dates=H","DateFormat=P","Fill=—","Direction=H","UseDPDF=Y")</f>
        <v>2650</v>
      </c>
      <c r="AB8" s="12">
        <f>_xll.BDH("WMT US Equity","CF_DEPR_AMORT","FQ4 2022","FQ4 2022","Currency=USD","Period=FQ","BEST_FPERIOD_OVERRIDE=FQ","FILING_STATUS=MR","SCALING_FORMAT=MLN","Sort=A","Dates=H","DateFormat=P","Fill=—","Direction=H","UseDPDF=Y")</f>
        <v>2706</v>
      </c>
      <c r="AC8" s="12">
        <f>_xll.BDH("WMT US Equity","CF_DEPR_AMORT","FQ1 2023","FQ1 2023","Currency=USD","Period=FQ","BEST_FPERIOD_OVERRIDE=FQ","FILING_STATUS=MR","SCALING_FORMAT=MLN","Sort=A","Dates=H","DateFormat=P","Fill=—","Direction=H","UseDPDF=Y")</f>
        <v>2680</v>
      </c>
      <c r="AD8" s="12">
        <f>_xll.BDH("WMT US Equity","CF_DEPR_AMORT","FQ2 2023","FQ2 2023","Currency=USD","Period=FQ","BEST_FPERIOD_OVERRIDE=FQ","FILING_STATUS=MR","SCALING_FORMAT=MLN","Sort=A","Dates=H","DateFormat=P","Fill=—","Direction=H","UseDPDF=Y")</f>
        <v>2699</v>
      </c>
      <c r="AE8" s="12">
        <f>_xll.BDH("WMT US Equity","CF_DEPR_AMORT","FQ3 2023","FQ3 2023","Currency=USD","Period=FQ","BEST_FPERIOD_OVERRIDE=FQ","FILING_STATUS=MR","SCALING_FORMAT=MLN","Sort=A","Dates=H","DateFormat=P","Fill=—","Direction=H","UseDPDF=Y")</f>
        <v>2755</v>
      </c>
      <c r="AF8" s="12">
        <f>_xll.BDH("WMT US Equity","CF_DEPR_AMORT","FQ4 2023","FQ4 2023","Currency=USD","Period=FQ","BEST_FPERIOD_OVERRIDE=FQ","FILING_STATUS=MR","SCALING_FORMAT=MLN","Sort=A","Dates=H","DateFormat=P","Fill=—","Direction=H","UseDPDF=Y")</f>
        <v>2811</v>
      </c>
      <c r="AG8" s="12">
        <f>_xll.BDH("WMT US Equity","CF_DEPR_AMORT","FQ1 2024","FQ1 2024","Currency=USD","Period=FQ","BEST_FPERIOD_OVERRIDE=FQ","FILING_STATUS=MR","SCALING_FORMAT=MLN","Sort=A","Dates=H","DateFormat=P","Fill=—","Direction=H","UseDPDF=Y")</f>
        <v>2845</v>
      </c>
      <c r="AH8" s="12">
        <f>_xll.BDH("WMT US Equity","CF_DEPR_AMORT","FQ2 2024","FQ2 2024","Currency=USD","Period=FQ","BEST_FPERIOD_OVERRIDE=FQ","FILING_STATUS=MR","SCALING_FORMAT=MLN","Sort=A","Dates=H","DateFormat=P","Fill=—","Direction=H","UseDPDF=Y")</f>
        <v>2905</v>
      </c>
      <c r="AI8" s="12">
        <f>_xll.BDH("WMT US Equity","CF_DEPR_AMORT","FQ3 2024","FQ3 2024","Currency=USD","Period=FQ","BEST_FPERIOD_OVERRIDE=FQ","FILING_STATUS=MR","SCALING_FORMAT=MLN","Sort=A","Dates=H","DateFormat=P","Fill=—","Direction=H","UseDPDF=Y")</f>
        <v>2986</v>
      </c>
      <c r="AJ8" s="12">
        <f>_xll.BDH("WMT US Equity","CF_DEPR_AMORT","FQ4 2024","FQ4 2024","Currency=USD","Period=FQ","BEST_FPERIOD_OVERRIDE=FQ","FILING_STATUS=MR","SCALING_FORMAT=MLN","Sort=A","Dates=H","DateFormat=P","Fill=—","Direction=H","UseDPDF=Y")</f>
        <v>3117</v>
      </c>
      <c r="AK8" s="12">
        <f>_xll.BDH("WMT US Equity","CF_DEPR_AMORT","FQ1 2025","FQ1 2025","Currency=USD","Period=FQ","BEST_FPERIOD_OVERRIDE=FQ","FILING_STATUS=MR","SCALING_FORMAT=MLN","Sort=A","Dates=H","DateFormat=P","Fill=—","Direction=H","UseDPDF=Y")</f>
        <v>3128</v>
      </c>
      <c r="AL8" s="12">
        <f>_xll.BDH("WMT US Equity","CF_DEPR_AMORT","FQ2 2025","FQ2 2025","Currency=USD","Period=FQ","BEST_FPERIOD_OVERRIDE=FQ","FILING_STATUS=MR","SCALING_FORMAT=MLN","Sort=A","Dates=H","DateFormat=P","Fill=—","Direction=H","UseDPDF=Y")</f>
        <v>3211</v>
      </c>
      <c r="AM8" s="12">
        <f>_xll.BDH("WMT US Equity","CF_DEPR_AMORT","FQ3 2025","FQ3 2025","Currency=USD","Period=FQ","BEST_FPERIOD_OVERRIDE=FQ","FILING_STATUS=MR","SCALING_FORMAT=MLN","Sort=A","Dates=H","DateFormat=P","Fill=—","Direction=H","UseDPDF=Y")</f>
        <v>3260</v>
      </c>
      <c r="AN8" s="12">
        <f>_xll.BDH("WMT US Equity","CF_DEPR_AMORT","FQ4 2025","FQ4 2025","Currency=USD","Period=FQ","BEST_FPERIOD_OVERRIDE=FQ","FILING_STATUS=MR","SCALING_FORMAT=MLN","Sort=A","Dates=H","DateFormat=P","Fill=—","Direction=H","UseDPDF=Y")</f>
        <v>3374</v>
      </c>
      <c r="AO8" s="12">
        <f>_xll.BDH("WMT US Equity","CF_DEPR_AMORT","FQ1 2026","FQ1 2026","Currency=USD","Period=FQ","BEST_FPERIOD_OVERRIDE=FQ","FILING_STATUS=MR","SCALING_FORMAT=MLN","Sort=A","Dates=H","DateFormat=P","Fill=—","Direction=H","UseDPDF=Y")</f>
        <v>3369</v>
      </c>
      <c r="AP8" s="12">
        <f>_xll.BDH("WMT US Equity","CF_DEPR_AMORT","FQ2 2026","FQ2 2026","Currency=USD","Period=FQ","BEST_FPERIOD_OVERRIDE=FQ","FILING_STATUS=MR","SCALING_FORMAT=MLN","Sort=A","Dates=H","DateFormat=P","Fill=—","Direction=H","UseDPDF=Y")</f>
        <v>3487</v>
      </c>
    </row>
    <row r="9" spans="1:42" x14ac:dyDescent="0.3">
      <c r="A9" s="10" t="s">
        <v>186</v>
      </c>
      <c r="B9" s="10" t="s">
        <v>87</v>
      </c>
      <c r="C9" s="12">
        <f>_xll.BDH("WMT US Equity","NON_CASH_ITEMS_DETAILED","FQ3 2016","FQ3 2016","Currency=USD","Period=FQ","BEST_FPERIOD_OVERRIDE=FQ","FILING_STATUS=MR","SCALING_FORMAT=MLN","Sort=A","Dates=H","DateFormat=P","Fill=—","Direction=H","UseDPDF=Y")</f>
        <v>-369</v>
      </c>
      <c r="D9" s="12">
        <f>_xll.BDH("WMT US Equity","NON_CASH_ITEMS_DETAILED","FQ4 2016","FQ4 2016","Currency=USD","Period=FQ","BEST_FPERIOD_OVERRIDE=FQ","FILING_STATUS=MR","SCALING_FORMAT=MLN","Sort=A","Dates=H","DateFormat=P","Fill=—","Direction=H","UseDPDF=Y")</f>
        <v>1255</v>
      </c>
      <c r="E9" s="12">
        <f>_xll.BDH("WMT US Equity","NON_CASH_ITEMS_DETAILED","FQ1 2017","FQ1 2017","Currency=USD","Period=FQ","BEST_FPERIOD_OVERRIDE=FQ","FILING_STATUS=MR","SCALING_FORMAT=MLN","Sort=A","Dates=H","DateFormat=P","Fill=—","Direction=H","UseDPDF=Y")</f>
        <v>-18</v>
      </c>
      <c r="F9" s="12">
        <f>_xll.BDH("WMT US Equity","NON_CASH_ITEMS_DETAILED","FQ2 2017","FQ2 2017","Currency=USD","Period=FQ","BEST_FPERIOD_OVERRIDE=FQ","FILING_STATUS=MR","SCALING_FORMAT=MLN","Sort=A","Dates=H","DateFormat=P","Fill=—","Direction=H","UseDPDF=Y")</f>
        <v>-57</v>
      </c>
      <c r="G9" s="12">
        <f>_xll.BDH("WMT US Equity","NON_CASH_ITEMS_DETAILED","FQ3 2017","FQ3 2017","Currency=USD","Period=FQ","BEST_FPERIOD_OVERRIDE=FQ","FILING_STATUS=MR","SCALING_FORMAT=MLN","Sort=A","Dates=H","DateFormat=P","Fill=—","Direction=H","UseDPDF=Y")</f>
        <v>1276</v>
      </c>
      <c r="H9" s="12">
        <f>_xll.BDH("WMT US Equity","NON_CASH_ITEMS_DETAILED","FQ4 2017","FQ4 2017","Currency=USD","Period=FQ","BEST_FPERIOD_OVERRIDE=FQ","FILING_STATUS=MR","SCALING_FORMAT=MLN","Sort=A","Dates=H","DateFormat=P","Fill=—","Direction=H","UseDPDF=Y")</f>
        <v>416</v>
      </c>
      <c r="I9" s="12">
        <f>_xll.BDH("WMT US Equity","NON_CASH_ITEMS_DETAILED","FQ1 2018","FQ1 2018","Currency=USD","Period=FQ","BEST_FPERIOD_OVERRIDE=FQ","FILING_STATUS=MR","SCALING_FORMAT=MLN","Sort=A","Dates=H","DateFormat=P","Fill=—","Direction=H","UseDPDF=Y")</f>
        <v>-55</v>
      </c>
      <c r="J9" s="12">
        <f>_xll.BDH("WMT US Equity","NON_CASH_ITEMS_DETAILED","FQ2 2018","FQ2 2018","Currency=USD","Period=FQ","BEST_FPERIOD_OVERRIDE=FQ","FILING_STATUS=MR","SCALING_FORMAT=MLN","Sort=A","Dates=H","DateFormat=P","Fill=—","Direction=H","UseDPDF=Y")</f>
        <v>1239</v>
      </c>
      <c r="K9" s="12">
        <f>_xll.BDH("WMT US Equity","NON_CASH_ITEMS_DETAILED","FQ3 2018","FQ3 2018","Currency=USD","Period=FQ","BEST_FPERIOD_OVERRIDE=FQ","FILING_STATUS=MR","SCALING_FORMAT=MLN","Sort=A","Dates=H","DateFormat=P","Fill=—","Direction=H","UseDPDF=Y")</f>
        <v>1796</v>
      </c>
      <c r="L9" s="12">
        <f>_xll.BDH("WMT US Equity","NON_CASH_ITEMS_DETAILED","FQ4 2018","FQ4 2018","Currency=USD","Period=FQ","BEST_FPERIOD_OVERRIDE=FQ","FILING_STATUS=MR","SCALING_FORMAT=MLN","Sort=A","Dates=H","DateFormat=P","Fill=—","Direction=H","UseDPDF=Y")</f>
        <v>1723</v>
      </c>
      <c r="M9" s="12">
        <f>_xll.BDH("WMT US Equity","NON_CASH_ITEMS_DETAILED","FQ1 2019","FQ1 2019","Currency=USD","Period=FQ","BEST_FPERIOD_OVERRIDE=FQ","FILING_STATUS=MR","SCALING_FORMAT=MLN","Sort=A","Dates=H","DateFormat=P","Fill=—","Direction=H","UseDPDF=Y")</f>
        <v>2202</v>
      </c>
      <c r="N9" s="12">
        <f>_xll.BDH("WMT US Equity","NON_CASH_ITEMS_DETAILED","FQ2 2019","FQ2 2019","Currency=USD","Period=FQ","BEST_FPERIOD_OVERRIDE=FQ","FILING_STATUS=MR","SCALING_FORMAT=MLN","Sort=A","Dates=H","DateFormat=P","Fill=—","Direction=H","UseDPDF=Y")</f>
        <v>5120</v>
      </c>
      <c r="O9" s="12">
        <f>_xll.BDH("WMT US Equity","NON_CASH_ITEMS_DETAILED","FQ3 2019","FQ3 2019","Currency=USD","Period=FQ","BEST_FPERIOD_OVERRIDE=FQ","FILING_STATUS=MR","SCALING_FORMAT=MLN","Sort=A","Dates=H","DateFormat=P","Fill=—","Direction=H","UseDPDF=Y")</f>
        <v>2023</v>
      </c>
      <c r="P9" s="12">
        <f>_xll.BDH("WMT US Equity","NON_CASH_ITEMS_DETAILED","FQ4 2019","FQ4 2019","Currency=USD","Period=FQ","BEST_FPERIOD_OVERRIDE=FQ","FILING_STATUS=MR","SCALING_FORMAT=MLN","Sort=A","Dates=H","DateFormat=P","Fill=—","Direction=H","UseDPDF=Y")</f>
        <v>765</v>
      </c>
      <c r="Q9" s="12">
        <f>_xll.BDH("WMT US Equity","NON_CASH_ITEMS_DETAILED","FQ1 2020","FQ1 2020","Currency=USD","Period=FQ","BEST_FPERIOD_OVERRIDE=FQ","FILING_STATUS=MR","SCALING_FORMAT=MLN","Sort=A","Dates=H","DateFormat=P","Fill=—","Direction=H","UseDPDF=Y")</f>
        <v>-520</v>
      </c>
      <c r="R9" s="12">
        <f>_xll.BDH("WMT US Equity","NON_CASH_ITEMS_DETAILED","FQ2 2020","FQ2 2020","Currency=USD","Period=FQ","BEST_FPERIOD_OVERRIDE=FQ","FILING_STATUS=MR","SCALING_FORMAT=MLN","Sort=A","Dates=H","DateFormat=P","Fill=—","Direction=H","UseDPDF=Y")</f>
        <v>512</v>
      </c>
      <c r="S9" s="12">
        <f>_xll.BDH("WMT US Equity","NON_CASH_ITEMS_DETAILED","FQ3 2020","FQ3 2020","Currency=USD","Period=FQ","BEST_FPERIOD_OVERRIDE=FQ","FILING_STATUS=MR","SCALING_FORMAT=MLN","Sort=A","Dates=H","DateFormat=P","Fill=—","Direction=H","UseDPDF=Y")</f>
        <v>775</v>
      </c>
      <c r="T9" s="12">
        <f>_xll.BDH("WMT US Equity","NON_CASH_ITEMS_DETAILED","FQ4 2020","FQ4 2020","Currency=USD","Period=FQ","BEST_FPERIOD_OVERRIDE=FQ","FILING_STATUS=MR","SCALING_FORMAT=MLN","Sort=A","Dates=H","DateFormat=P","Fill=—","Direction=H","UseDPDF=Y")</f>
        <v>-1053</v>
      </c>
      <c r="U9" s="12">
        <f>_xll.BDH("WMT US Equity","NON_CASH_ITEMS_DETAILED","FQ1 2021","FQ1 2021","Currency=USD","Period=FQ","BEST_FPERIOD_OVERRIDE=FQ","FILING_STATUS=MR","SCALING_FORMAT=MLN","Sort=A","Dates=H","DateFormat=P","Fill=—","Direction=H","UseDPDF=Y")</f>
        <v>-666</v>
      </c>
      <c r="V9" s="12">
        <f>_xll.BDH("WMT US Equity","NON_CASH_ITEMS_DETAILED","FQ2 2021","FQ2 2021","Currency=USD","Period=FQ","BEST_FPERIOD_OVERRIDE=FQ","FILING_STATUS=MR","SCALING_FORMAT=MLN","Sort=A","Dates=H","DateFormat=P","Fill=—","Direction=H","UseDPDF=Y")</f>
        <v>-2479</v>
      </c>
      <c r="W9" s="12">
        <f>_xll.BDH("WMT US Equity","NON_CASH_ITEMS_DETAILED","FQ3 2021","FQ3 2021","Currency=USD","Period=FQ","BEST_FPERIOD_OVERRIDE=FQ","FILING_STATUS=MR","SCALING_FORMAT=MLN","Sort=A","Dates=H","DateFormat=P","Fill=—","Direction=H","UseDPDF=Y")</f>
        <v>-421</v>
      </c>
      <c r="X9" s="12">
        <f>_xll.BDH("WMT US Equity","NON_CASH_ITEMS_DETAILED","FQ4 2021","FQ4 2021","Currency=USD","Period=FQ","BEST_FPERIOD_OVERRIDE=FQ","FILING_STATUS=MR","SCALING_FORMAT=MLN","Sort=A","Dates=H","DateFormat=P","Fill=—","Direction=H","UseDPDF=Y")</f>
        <v>7006</v>
      </c>
      <c r="Y9" s="12">
        <f>_xll.BDH("WMT US Equity","NON_CASH_ITEMS_DETAILED","FQ1 2022","FQ1 2022","Currency=USD","Period=FQ","BEST_FPERIOD_OVERRIDE=FQ","FILING_STATUS=MR","SCALING_FORMAT=MLN","Sort=A","Dates=H","DateFormat=P","Fill=—","Direction=H","UseDPDF=Y")</f>
        <v>2706</v>
      </c>
      <c r="Z9" s="12">
        <f>_xll.BDH("WMT US Equity","NON_CASH_ITEMS_DETAILED","FQ2 2022","FQ2 2022","Currency=USD","Period=FQ","BEST_FPERIOD_OVERRIDE=FQ","FILING_STATUS=MR","SCALING_FORMAT=MLN","Sort=A","Dates=H","DateFormat=P","Fill=—","Direction=H","UseDPDF=Y")</f>
        <v>1136</v>
      </c>
      <c r="AA9" s="12">
        <f>_xll.BDH("WMT US Equity","NON_CASH_ITEMS_DETAILED","FQ3 2022","FQ3 2022","Currency=USD","Period=FQ","BEST_FPERIOD_OVERRIDE=FQ","FILING_STATUS=MR","SCALING_FORMAT=MLN","Sort=A","Dates=H","DateFormat=P","Fill=—","Direction=H","UseDPDF=Y")</f>
        <v>683</v>
      </c>
      <c r="AB9" s="12">
        <f>_xll.BDH("WMT US Equity","NON_CASH_ITEMS_DETAILED","FQ4 2022","FQ4 2022","Currency=USD","Period=FQ","BEST_FPERIOD_OVERRIDE=FQ","FILING_STATUS=MR","SCALING_FORMAT=MLN","Sort=A","Dates=H","DateFormat=P","Fill=—","Direction=H","UseDPDF=Y")</f>
        <v>1922</v>
      </c>
      <c r="AC9" s="12">
        <f>_xll.BDH("WMT US Equity","NON_CASH_ITEMS_DETAILED","FQ1 2023","FQ1 2023","Currency=USD","Period=FQ","BEST_FPERIOD_OVERRIDE=FQ","FILING_STATUS=MR","SCALING_FORMAT=MLN","Sort=A","Dates=H","DateFormat=P","Fill=—","Direction=H","UseDPDF=Y")</f>
        <v>1910</v>
      </c>
      <c r="AD9" s="12">
        <f>_xll.BDH("WMT US Equity","NON_CASH_ITEMS_DETAILED","FQ2 2023","FQ2 2023","Currency=USD","Period=FQ","BEST_FPERIOD_OVERRIDE=FQ","FILING_STATUS=MR","SCALING_FORMAT=MLN","Sort=A","Dates=H","DateFormat=P","Fill=—","Direction=H","UseDPDF=Y")</f>
        <v>480</v>
      </c>
      <c r="AE9" s="12">
        <f>_xll.BDH("WMT US Equity","NON_CASH_ITEMS_DETAILED","FQ3 2023","FQ3 2023","Currency=USD","Period=FQ","BEST_FPERIOD_OVERRIDE=FQ","FILING_STATUS=MR","SCALING_FORMAT=MLN","Sort=A","Dates=H","DateFormat=P","Fill=—","Direction=H","UseDPDF=Y")</f>
        <v>4248</v>
      </c>
      <c r="AF9" s="12">
        <f>_xll.BDH("WMT US Equity","NON_CASH_ITEMS_DETAILED","FQ4 2023","FQ4 2023","Currency=USD","Period=FQ","BEST_FPERIOD_OVERRIDE=FQ","FILING_STATUS=MR","SCALING_FORMAT=MLN","Sort=A","Dates=H","DateFormat=P","Fill=—","Direction=H","UseDPDF=Y")</f>
        <v>-2975</v>
      </c>
      <c r="AG9" s="12">
        <f>_xll.BDH("WMT US Equity","NON_CASH_ITEMS_DETAILED","FQ1 2024","FQ1 2024","Currency=USD","Period=FQ","BEST_FPERIOD_OVERRIDE=FQ","FILING_STATUS=MR","SCALING_FORMAT=MLN","Sort=A","Dates=H","DateFormat=P","Fill=—","Direction=H","UseDPDF=Y")</f>
        <v>2809</v>
      </c>
      <c r="AH9" s="12">
        <f>_xll.BDH("WMT US Equity","NON_CASH_ITEMS_DETAILED","FQ2 2024","FQ2 2024","Currency=USD","Period=FQ","BEST_FPERIOD_OVERRIDE=FQ","FILING_STATUS=MR","SCALING_FORMAT=MLN","Sort=A","Dates=H","DateFormat=P","Fill=—","Direction=H","UseDPDF=Y")</f>
        <v>-1912</v>
      </c>
      <c r="AI9" s="12">
        <f>_xll.BDH("WMT US Equity","NON_CASH_ITEMS_DETAILED","FQ3 2024","FQ3 2024","Currency=USD","Period=FQ","BEST_FPERIOD_OVERRIDE=FQ","FILING_STATUS=MR","SCALING_FORMAT=MLN","Sort=A","Dates=H","DateFormat=P","Fill=—","Direction=H","UseDPDF=Y")</f>
        <v>4449</v>
      </c>
      <c r="AJ9" s="12">
        <f>_xll.BDH("WMT US Equity","NON_CASH_ITEMS_DETAILED","FQ4 2024","FQ4 2024","Currency=USD","Period=FQ","BEST_FPERIOD_OVERRIDE=FQ","FILING_STATUS=MR","SCALING_FORMAT=MLN","Sort=A","Dates=H","DateFormat=P","Fill=—","Direction=H","UseDPDF=Y")</f>
        <v>1073</v>
      </c>
      <c r="AK9" s="12">
        <f>_xll.BDH("WMT US Equity","NON_CASH_ITEMS_DETAILED","FQ1 2025","FQ1 2025","Currency=USD","Period=FQ","BEST_FPERIOD_OVERRIDE=FQ","FILING_STATUS=MR","SCALING_FORMAT=MLN","Sort=A","Dates=H","DateFormat=P","Fill=—","Direction=H","UseDPDF=Y")</f>
        <v>173</v>
      </c>
      <c r="AL9" s="12">
        <f>_xll.BDH("WMT US Equity","NON_CASH_ITEMS_DETAILED","FQ2 2025","FQ2 2025","Currency=USD","Period=FQ","BEST_FPERIOD_OVERRIDE=FQ","FILING_STATUS=MR","SCALING_FORMAT=MLN","Sort=A","Dates=H","DateFormat=P","Fill=—","Direction=H","UseDPDF=Y")</f>
        <v>1381</v>
      </c>
      <c r="AM9" s="12">
        <f>_xll.BDH("WMT US Equity","NON_CASH_ITEMS_DETAILED","FQ3 2025","FQ3 2025","Currency=USD","Period=FQ","BEST_FPERIOD_OVERRIDE=FQ","FILING_STATUS=MR","SCALING_FORMAT=MLN","Sort=A","Dates=H","DateFormat=P","Fill=—","Direction=H","UseDPDF=Y")</f>
        <v>1090</v>
      </c>
      <c r="AN9" s="12">
        <f>_xll.BDH("WMT US Equity","NON_CASH_ITEMS_DETAILED","FQ4 2025","FQ4 2025","Currency=USD","Period=FQ","BEST_FPERIOD_OVERRIDE=FQ","FILING_STATUS=MR","SCALING_FORMAT=MLN","Sort=A","Dates=H","DateFormat=P","Fill=—","Direction=H","UseDPDF=Y")</f>
        <v>1209</v>
      </c>
      <c r="AO9" s="12">
        <f>_xll.BDH("WMT US Equity","NON_CASH_ITEMS_DETAILED","FQ1 2026","FQ1 2026","Currency=USD","Period=FQ","BEST_FPERIOD_OVERRIDE=FQ","FILING_STATUS=MR","SCALING_FORMAT=MLN","Sort=A","Dates=H","DateFormat=P","Fill=—","Direction=H","UseDPDF=Y")</f>
        <v>1128</v>
      </c>
      <c r="AP9" s="12">
        <f>_xll.BDH("WMT US Equity","NON_CASH_ITEMS_DETAILED","FQ2 2026","FQ2 2026","Currency=USD","Period=FQ","BEST_FPERIOD_OVERRIDE=FQ","FILING_STATUS=MR","SCALING_FORMAT=MLN","Sort=A","Dates=H","DateFormat=P","Fill=—","Direction=H","UseDPDF=Y")</f>
        <v>4</v>
      </c>
    </row>
    <row r="10" spans="1:42" x14ac:dyDescent="0.3">
      <c r="A10" s="10" t="s">
        <v>155</v>
      </c>
      <c r="B10" s="10" t="s">
        <v>88</v>
      </c>
      <c r="C10" s="12">
        <f>_xll.BDH("WMT US Equity","CF_DEF_INC_TAX","FQ3 2016","FQ3 2016","Currency=USD","Period=FQ","BEST_FPERIOD_OVERRIDE=FQ","FILING_STATUS=MR","SCALING_FORMAT=MLN","Sort=A","Dates=H","DateFormat=P","Fill=—","Direction=H","UseDPDF=Y")</f>
        <v>-591</v>
      </c>
      <c r="D10" s="12">
        <f>_xll.BDH("WMT US Equity","CF_DEF_INC_TAX","FQ4 2016","FQ4 2016","Currency=USD","Period=FQ","BEST_FPERIOD_OVERRIDE=FQ","FILING_STATUS=MR","SCALING_FORMAT=MLN","Sort=A","Dates=H","DateFormat=P","Fill=—","Direction=H","UseDPDF=Y")</f>
        <v>315</v>
      </c>
      <c r="E10" s="12">
        <f>_xll.BDH("WMT US Equity","CF_DEF_INC_TAX","FQ1 2017","FQ1 2017","Currency=USD","Period=FQ","BEST_FPERIOD_OVERRIDE=FQ","FILING_STATUS=MR","SCALING_FORMAT=MLN","Sort=A","Dates=H","DateFormat=P","Fill=—","Direction=H","UseDPDF=Y")</f>
        <v>-122</v>
      </c>
      <c r="F10" s="12">
        <f>_xll.BDH("WMT US Equity","CF_DEF_INC_TAX","FQ2 2017","FQ2 2017","Currency=USD","Period=FQ","BEST_FPERIOD_OVERRIDE=FQ","FILING_STATUS=MR","SCALING_FORMAT=MLN","Sort=A","Dates=H","DateFormat=P","Fill=—","Direction=H","UseDPDF=Y")</f>
        <v>155</v>
      </c>
      <c r="G10" s="12">
        <f>_xll.BDH("WMT US Equity","CF_DEF_INC_TAX","FQ3 2017","FQ3 2017","Currency=USD","Period=FQ","BEST_FPERIOD_OVERRIDE=FQ","FILING_STATUS=MR","SCALING_FORMAT=MLN","Sort=A","Dates=H","DateFormat=P","Fill=—","Direction=H","UseDPDF=Y")</f>
        <v>1134</v>
      </c>
      <c r="H10" s="12">
        <f>_xll.BDH("WMT US Equity","CF_DEF_INC_TAX","FQ4 2017","FQ4 2017","Currency=USD","Period=FQ","BEST_FPERIOD_OVERRIDE=FQ","FILING_STATUS=MR","SCALING_FORMAT=MLN","Sort=A","Dates=H","DateFormat=P","Fill=—","Direction=H","UseDPDF=Y")</f>
        <v>-406</v>
      </c>
      <c r="I10" s="12">
        <f>_xll.BDH("WMT US Equity","CF_DEF_INC_TAX","FQ1 2018","FQ1 2018","Currency=USD","Period=FQ","BEST_FPERIOD_OVERRIDE=FQ","FILING_STATUS=MR","SCALING_FORMAT=MLN","Sort=A","Dates=H","DateFormat=P","Fill=—","Direction=H","UseDPDF=Y")</f>
        <v>2</v>
      </c>
      <c r="J10" s="12">
        <f>_xll.BDH("WMT US Equity","CF_DEF_INC_TAX","FQ2 2018","FQ2 2018","Currency=USD","Period=FQ","BEST_FPERIOD_OVERRIDE=FQ","FILING_STATUS=MR","SCALING_FORMAT=MLN","Sort=A","Dates=H","DateFormat=P","Fill=—","Direction=H","UseDPDF=Y")</f>
        <v>92</v>
      </c>
      <c r="K10" s="12">
        <f>_xll.BDH("WMT US Equity","CF_DEF_INC_TAX","FQ3 2018","FQ3 2018","Currency=USD","Period=FQ","BEST_FPERIOD_OVERRIDE=FQ","FILING_STATUS=MR","SCALING_FORMAT=MLN","Sort=A","Dates=H","DateFormat=P","Fill=—","Direction=H","UseDPDF=Y")</f>
        <v>137</v>
      </c>
      <c r="L10" s="12">
        <f>_xll.BDH("WMT US Equity","CF_DEF_INC_TAX","FQ4 2018","FQ4 2018","Currency=USD","Period=FQ","BEST_FPERIOD_OVERRIDE=FQ","FILING_STATUS=MR","SCALING_FORMAT=MLN","Sort=A","Dates=H","DateFormat=P","Fill=—","Direction=H","UseDPDF=Y")</f>
        <v>-535</v>
      </c>
      <c r="M10" s="12">
        <f>_xll.BDH("WMT US Equity","CF_DEF_INC_TAX","FQ1 2019","FQ1 2019","Currency=USD","Period=FQ","BEST_FPERIOD_OVERRIDE=FQ","FILING_STATUS=MR","SCALING_FORMAT=MLN","Sort=A","Dates=H","DateFormat=P","Fill=—","Direction=H","UseDPDF=Y")</f>
        <v>-50</v>
      </c>
      <c r="N10" s="12">
        <f>_xll.BDH("WMT US Equity","CF_DEF_INC_TAX","FQ2 2019","FQ2 2019","Currency=USD","Period=FQ","BEST_FPERIOD_OVERRIDE=FQ","FILING_STATUS=MR","SCALING_FORMAT=MLN","Sort=A","Dates=H","DateFormat=P","Fill=—","Direction=H","UseDPDF=Y")</f>
        <v>-67</v>
      </c>
      <c r="O10" s="12">
        <f>_xll.BDH("WMT US Equity","CF_DEF_INC_TAX","FQ3 2019","FQ3 2019","Currency=USD","Period=FQ","BEST_FPERIOD_OVERRIDE=FQ","FILING_STATUS=MR","SCALING_FORMAT=MLN","Sort=A","Dates=H","DateFormat=P","Fill=—","Direction=H","UseDPDF=Y")</f>
        <v>-229</v>
      </c>
      <c r="P10" s="12">
        <f>_xll.BDH("WMT US Equity","CF_DEF_INC_TAX","FQ4 2019","FQ4 2019","Currency=USD","Period=FQ","BEST_FPERIOD_OVERRIDE=FQ","FILING_STATUS=MR","SCALING_FORMAT=MLN","Sort=A","Dates=H","DateFormat=P","Fill=—","Direction=H","UseDPDF=Y")</f>
        <v>-153</v>
      </c>
      <c r="Q10" s="12">
        <f>_xll.BDH("WMT US Equity","CF_DEF_INC_TAX","FQ1 2020","FQ1 2020","Currency=USD","Period=FQ","BEST_FPERIOD_OVERRIDE=FQ","FILING_STATUS=MR","SCALING_FORMAT=MLN","Sort=A","Dates=H","DateFormat=P","Fill=—","Direction=H","UseDPDF=Y")</f>
        <v>124</v>
      </c>
      <c r="R10" s="12">
        <f>_xll.BDH("WMT US Equity","CF_DEF_INC_TAX","FQ2 2020","FQ2 2020","Currency=USD","Period=FQ","BEST_FPERIOD_OVERRIDE=FQ","FILING_STATUS=MR","SCALING_FORMAT=MLN","Sort=A","Dates=H","DateFormat=P","Fill=—","Direction=H","UseDPDF=Y")</f>
        <v>117</v>
      </c>
      <c r="S10" s="12">
        <f>_xll.BDH("WMT US Equity","CF_DEF_INC_TAX","FQ3 2020","FQ3 2020","Currency=USD","Period=FQ","BEST_FPERIOD_OVERRIDE=FQ","FILING_STATUS=MR","SCALING_FORMAT=MLN","Sort=A","Dates=H","DateFormat=P","Fill=—","Direction=H","UseDPDF=Y")</f>
        <v>333</v>
      </c>
      <c r="T10" s="12">
        <f>_xll.BDH("WMT US Equity","CF_DEF_INC_TAX","FQ4 2020","FQ4 2020","Currency=USD","Period=FQ","BEST_FPERIOD_OVERRIDE=FQ","FILING_STATUS=MR","SCALING_FORMAT=MLN","Sort=A","Dates=H","DateFormat=P","Fill=—","Direction=H","UseDPDF=Y")</f>
        <v>-254</v>
      </c>
      <c r="U10" s="12">
        <f>_xll.BDH("WMT US Equity","CF_DEF_INC_TAX","FQ1 2021","FQ1 2021","Currency=USD","Period=FQ","BEST_FPERIOD_OVERRIDE=FQ","FILING_STATUS=MR","SCALING_FORMAT=MLN","Sort=A","Dates=H","DateFormat=P","Fill=—","Direction=H","UseDPDF=Y")</f>
        <v>84</v>
      </c>
      <c r="V10" s="12">
        <f>_xll.BDH("WMT US Equity","CF_DEF_INC_TAX","FQ2 2021","FQ2 2021","Currency=USD","Period=FQ","BEST_FPERIOD_OVERRIDE=FQ","FILING_STATUS=MR","SCALING_FORMAT=MLN","Sort=A","Dates=H","DateFormat=P","Fill=—","Direction=H","UseDPDF=Y")</f>
        <v>388</v>
      </c>
      <c r="W10" s="12">
        <f>_xll.BDH("WMT US Equity","CF_DEF_INC_TAX","FQ3 2021","FQ3 2021","Currency=USD","Period=FQ","BEST_FPERIOD_OVERRIDE=FQ","FILING_STATUS=MR","SCALING_FORMAT=MLN","Sort=A","Dates=H","DateFormat=P","Fill=—","Direction=H","UseDPDF=Y")</f>
        <v>774</v>
      </c>
      <c r="X10" s="12">
        <f>_xll.BDH("WMT US Equity","CF_DEF_INC_TAX","FQ4 2021","FQ4 2021","Currency=USD","Period=FQ","BEST_FPERIOD_OVERRIDE=FQ","FILING_STATUS=MR","SCALING_FORMAT=MLN","Sort=A","Dates=H","DateFormat=P","Fill=—","Direction=H","UseDPDF=Y")</f>
        <v>665</v>
      </c>
      <c r="Y10" s="12">
        <f>_xll.BDH("WMT US Equity","CF_DEF_INC_TAX","FQ1 2022","FQ1 2022","Currency=USD","Period=FQ","BEST_FPERIOD_OVERRIDE=FQ","FILING_STATUS=MR","SCALING_FORMAT=MLN","Sort=A","Dates=H","DateFormat=P","Fill=—","Direction=H","UseDPDF=Y")</f>
        <v>-155</v>
      </c>
      <c r="Z10" s="12">
        <f>_xll.BDH("WMT US Equity","CF_DEF_INC_TAX","FQ2 2022","FQ2 2022","Currency=USD","Period=FQ","BEST_FPERIOD_OVERRIDE=FQ","FILING_STATUS=MR","SCALING_FORMAT=MLN","Sort=A","Dates=H","DateFormat=P","Fill=—","Direction=H","UseDPDF=Y")</f>
        <v>-230</v>
      </c>
      <c r="AA10" s="12">
        <f>_xll.BDH("WMT US Equity","CF_DEF_INC_TAX","FQ3 2022","FQ3 2022","Currency=USD","Period=FQ","BEST_FPERIOD_OVERRIDE=FQ","FILING_STATUS=MR","SCALING_FORMAT=MLN","Sort=A","Dates=H","DateFormat=P","Fill=—","Direction=H","UseDPDF=Y")</f>
        <v>-1017</v>
      </c>
      <c r="AB10" s="12">
        <f>_xll.BDH("WMT US Equity","CF_DEF_INC_TAX","FQ4 2022","FQ4 2022","Currency=USD","Period=FQ","BEST_FPERIOD_OVERRIDE=FQ","FILING_STATUS=MR","SCALING_FORMAT=MLN","Sort=A","Dates=H","DateFormat=P","Fill=—","Direction=H","UseDPDF=Y")</f>
        <v>647</v>
      </c>
      <c r="AC10" s="12">
        <f>_xll.BDH("WMT US Equity","CF_DEF_INC_TAX","FQ1 2023","FQ1 2023","Currency=USD","Period=FQ","BEST_FPERIOD_OVERRIDE=FQ","FILING_STATUS=MR","SCALING_FORMAT=MLN","Sort=A","Dates=H","DateFormat=P","Fill=—","Direction=H","UseDPDF=Y")</f>
        <v>-69</v>
      </c>
      <c r="AD10" s="12">
        <f>_xll.BDH("WMT US Equity","CF_DEF_INC_TAX","FQ2 2023","FQ2 2023","Currency=USD","Period=FQ","BEST_FPERIOD_OVERRIDE=FQ","FILING_STATUS=MR","SCALING_FORMAT=MLN","Sort=A","Dates=H","DateFormat=P","Fill=—","Direction=H","UseDPDF=Y")</f>
        <v>180</v>
      </c>
      <c r="AE10" s="12">
        <f>_xll.BDH("WMT US Equity","CF_DEF_INC_TAX","FQ3 2023","FQ3 2023","Currency=USD","Period=FQ","BEST_FPERIOD_OVERRIDE=FQ","FILING_STATUS=MR","SCALING_FORMAT=MLN","Sort=A","Dates=H","DateFormat=P","Fill=—","Direction=H","UseDPDF=Y")</f>
        <v>-83</v>
      </c>
      <c r="AF10" s="12">
        <f>_xll.BDH("WMT US Equity","CF_DEF_INC_TAX","FQ4 2023","FQ4 2023","Currency=USD","Period=FQ","BEST_FPERIOD_OVERRIDE=FQ","FILING_STATUS=MR","SCALING_FORMAT=MLN","Sort=A","Dates=H","DateFormat=P","Fill=—","Direction=H","UseDPDF=Y")</f>
        <v>421</v>
      </c>
      <c r="AG10" s="12">
        <f>_xll.BDH("WMT US Equity","CF_DEF_INC_TAX","FQ1 2024","FQ1 2024","Currency=USD","Period=FQ","BEST_FPERIOD_OVERRIDE=FQ","FILING_STATUS=MR","SCALING_FORMAT=MLN","Sort=A","Dates=H","DateFormat=P","Fill=—","Direction=H","UseDPDF=Y")</f>
        <v>-725</v>
      </c>
      <c r="AH10" s="12">
        <f>_xll.BDH("WMT US Equity","CF_DEF_INC_TAX","FQ2 2024","FQ2 2024","Currency=USD","Period=FQ","BEST_FPERIOD_OVERRIDE=FQ","FILING_STATUS=MR","SCALING_FORMAT=MLN","Sort=A","Dates=H","DateFormat=P","Fill=—","Direction=H","UseDPDF=Y")</f>
        <v>1161</v>
      </c>
      <c r="AI10" s="12">
        <f>_xll.BDH("WMT US Equity","CF_DEF_INC_TAX","FQ3 2024","FQ3 2024","Currency=USD","Period=FQ","BEST_FPERIOD_OVERRIDE=FQ","FILING_STATUS=MR","SCALING_FORMAT=MLN","Sort=A","Dates=H","DateFormat=P","Fill=—","Direction=H","UseDPDF=Y")</f>
        <v>-1105</v>
      </c>
      <c r="AJ10" s="12">
        <f>_xll.BDH("WMT US Equity","CF_DEF_INC_TAX","FQ4 2024","FQ4 2024","Currency=USD","Period=FQ","BEST_FPERIOD_OVERRIDE=FQ","FILING_STATUS=MR","SCALING_FORMAT=MLN","Sort=A","Dates=H","DateFormat=P","Fill=—","Direction=H","UseDPDF=Y")</f>
        <v>494</v>
      </c>
      <c r="AK10" s="12">
        <f>_xll.BDH("WMT US Equity","CF_DEF_INC_TAX","FQ1 2025","FQ1 2025","Currency=USD","Period=FQ","BEST_FPERIOD_OVERRIDE=FQ","FILING_STATUS=MR","SCALING_FORMAT=MLN","Sort=A","Dates=H","DateFormat=P","Fill=—","Direction=H","UseDPDF=Y")</f>
        <v>102</v>
      </c>
      <c r="AL10" s="12">
        <f>_xll.BDH("WMT US Equity","CF_DEF_INC_TAX","FQ2 2025","FQ2 2025","Currency=USD","Period=FQ","BEST_FPERIOD_OVERRIDE=FQ","FILING_STATUS=MR","SCALING_FORMAT=MLN","Sort=A","Dates=H","DateFormat=P","Fill=—","Direction=H","UseDPDF=Y")</f>
        <v>-346</v>
      </c>
      <c r="AM10" s="12">
        <f>_xll.BDH("WMT US Equity","CF_DEF_INC_TAX","FQ3 2025","FQ3 2025","Currency=USD","Period=FQ","BEST_FPERIOD_OVERRIDE=FQ","FILING_STATUS=MR","SCALING_FORMAT=MLN","Sort=A","Dates=H","DateFormat=P","Fill=—","Direction=H","UseDPDF=Y")</f>
        <v>-1</v>
      </c>
      <c r="AN10" s="12">
        <f>_xll.BDH("WMT US Equity","CF_DEF_INC_TAX","FQ4 2025","FQ4 2025","Currency=USD","Period=FQ","BEST_FPERIOD_OVERRIDE=FQ","FILING_STATUS=MR","SCALING_FORMAT=MLN","Sort=A","Dates=H","DateFormat=P","Fill=—","Direction=H","UseDPDF=Y")</f>
        <v>-390</v>
      </c>
      <c r="AO10" s="12">
        <f>_xll.BDH("WMT US Equity","CF_DEF_INC_TAX","FQ1 2026","FQ1 2026","Currency=USD","Period=FQ","BEST_FPERIOD_OVERRIDE=FQ","FILING_STATUS=MR","SCALING_FORMAT=MLN","Sort=A","Dates=H","DateFormat=P","Fill=—","Direction=H","UseDPDF=Y")</f>
        <v>-76</v>
      </c>
      <c r="AP10" s="12">
        <f>_xll.BDH("WMT US Equity","CF_DEF_INC_TAX","FQ2 2026","FQ2 2026","Currency=USD","Period=FQ","BEST_FPERIOD_OVERRIDE=FQ","FILING_STATUS=MR","SCALING_FORMAT=MLN","Sort=A","Dates=H","DateFormat=P","Fill=—","Direction=H","UseDPDF=Y")</f>
        <v>1627</v>
      </c>
    </row>
    <row r="11" spans="1:42" x14ac:dyDescent="0.3">
      <c r="A11" s="10" t="s">
        <v>187</v>
      </c>
      <c r="B11" s="10" t="s">
        <v>89</v>
      </c>
      <c r="C11" s="12">
        <f>_xll.BDH("WMT US Equity","OTHER_NON_CASH_ADJ_LESS_DETAILED","FQ3 2016","FQ3 2016","Currency=USD","Period=FQ","BEST_FPERIOD_OVERRIDE=FQ","FILING_STATUS=MR","SCALING_FORMAT=MLN","Sort=A","Dates=H","DateFormat=P","Fill=—","Direction=H","UseDPDF=Y")</f>
        <v>222</v>
      </c>
      <c r="D11" s="12">
        <f>_xll.BDH("WMT US Equity","OTHER_NON_CASH_ADJ_LESS_DETAILED","FQ4 2016","FQ4 2016","Currency=USD","Period=FQ","BEST_FPERIOD_OVERRIDE=FQ","FILING_STATUS=MR","SCALING_FORMAT=MLN","Sort=A","Dates=H","DateFormat=P","Fill=—","Direction=H","UseDPDF=Y")</f>
        <v>940</v>
      </c>
      <c r="E11" s="12">
        <f>_xll.BDH("WMT US Equity","OTHER_NON_CASH_ADJ_LESS_DETAILED","FQ1 2017","FQ1 2017","Currency=USD","Period=FQ","BEST_FPERIOD_OVERRIDE=FQ","FILING_STATUS=MR","SCALING_FORMAT=MLN","Sort=A","Dates=H","DateFormat=P","Fill=—","Direction=H","UseDPDF=Y")</f>
        <v>104</v>
      </c>
      <c r="F11" s="12">
        <f>_xll.BDH("WMT US Equity","OTHER_NON_CASH_ADJ_LESS_DETAILED","FQ2 2017","FQ2 2017","Currency=USD","Period=FQ","BEST_FPERIOD_OVERRIDE=FQ","FILING_STATUS=MR","SCALING_FORMAT=MLN","Sort=A","Dates=H","DateFormat=P","Fill=—","Direction=H","UseDPDF=Y")</f>
        <v>-212</v>
      </c>
      <c r="G11" s="12">
        <f>_xll.BDH("WMT US Equity","OTHER_NON_CASH_ADJ_LESS_DETAILED","FQ3 2017","FQ3 2017","Currency=USD","Period=FQ","BEST_FPERIOD_OVERRIDE=FQ","FILING_STATUS=MR","SCALING_FORMAT=MLN","Sort=A","Dates=H","DateFormat=P","Fill=—","Direction=H","UseDPDF=Y")</f>
        <v>142</v>
      </c>
      <c r="H11" s="12">
        <f>_xll.BDH("WMT US Equity","OTHER_NON_CASH_ADJ_LESS_DETAILED","FQ4 2017","FQ4 2017","Currency=USD","Period=FQ","BEST_FPERIOD_OVERRIDE=FQ","FILING_STATUS=MR","SCALING_FORMAT=MLN","Sort=A","Dates=H","DateFormat=P","Fill=—","Direction=H","UseDPDF=Y")</f>
        <v>822</v>
      </c>
      <c r="I11" s="12">
        <f>_xll.BDH("WMT US Equity","OTHER_NON_CASH_ADJ_LESS_DETAILED","FQ1 2018","FQ1 2018","Currency=USD","Period=FQ","BEST_FPERIOD_OVERRIDE=FQ","FILING_STATUS=MR","SCALING_FORMAT=MLN","Sort=A","Dates=H","DateFormat=P","Fill=—","Direction=H","UseDPDF=Y")</f>
        <v>-57</v>
      </c>
      <c r="J11" s="12">
        <f>_xll.BDH("WMT US Equity","OTHER_NON_CASH_ADJ_LESS_DETAILED","FQ2 2018","FQ2 2018","Currency=USD","Period=FQ","BEST_FPERIOD_OVERRIDE=FQ","FILING_STATUS=MR","SCALING_FORMAT=MLN","Sort=A","Dates=H","DateFormat=P","Fill=—","Direction=H","UseDPDF=Y")</f>
        <v>1147</v>
      </c>
      <c r="K11" s="12">
        <f>_xll.BDH("WMT US Equity","OTHER_NON_CASH_ADJ_LESS_DETAILED","FQ3 2018","FQ3 2018","Currency=USD","Period=FQ","BEST_FPERIOD_OVERRIDE=FQ","FILING_STATUS=MR","SCALING_FORMAT=MLN","Sort=A","Dates=H","DateFormat=P","Fill=—","Direction=H","UseDPDF=Y")</f>
        <v>1659</v>
      </c>
      <c r="L11" s="12">
        <f>_xll.BDH("WMT US Equity","OTHER_NON_CASH_ADJ_LESS_DETAILED","FQ4 2018","FQ4 2018","Currency=USD","Period=FQ","BEST_FPERIOD_OVERRIDE=FQ","FILING_STATUS=MR","SCALING_FORMAT=MLN","Sort=A","Dates=H","DateFormat=P","Fill=—","Direction=H","UseDPDF=Y")</f>
        <v>2258</v>
      </c>
      <c r="M11" s="12">
        <f>_xll.BDH("WMT US Equity","OTHER_NON_CASH_ADJ_LESS_DETAILED","FQ1 2019","FQ1 2019","Currency=USD","Period=FQ","BEST_FPERIOD_OVERRIDE=FQ","FILING_STATUS=MR","SCALING_FORMAT=MLN","Sort=A","Dates=H","DateFormat=P","Fill=—","Direction=H","UseDPDF=Y")</f>
        <v>2252</v>
      </c>
      <c r="N11" s="12">
        <f>_xll.BDH("WMT US Equity","OTHER_NON_CASH_ADJ_LESS_DETAILED","FQ2 2019","FQ2 2019","Currency=USD","Period=FQ","BEST_FPERIOD_OVERRIDE=FQ","FILING_STATUS=MR","SCALING_FORMAT=MLN","Sort=A","Dates=H","DateFormat=P","Fill=—","Direction=H","UseDPDF=Y")</f>
        <v>5187</v>
      </c>
      <c r="O11" s="12">
        <f>_xll.BDH("WMT US Equity","OTHER_NON_CASH_ADJ_LESS_DETAILED","FQ3 2019","FQ3 2019","Currency=USD","Period=FQ","BEST_FPERIOD_OVERRIDE=FQ","FILING_STATUS=MR","SCALING_FORMAT=MLN","Sort=A","Dates=H","DateFormat=P","Fill=—","Direction=H","UseDPDF=Y")</f>
        <v>2252</v>
      </c>
      <c r="P11" s="12">
        <f>_xll.BDH("WMT US Equity","OTHER_NON_CASH_ADJ_LESS_DETAILED","FQ4 2019","FQ4 2019","Currency=USD","Period=FQ","BEST_FPERIOD_OVERRIDE=FQ","FILING_STATUS=MR","SCALING_FORMAT=MLN","Sort=A","Dates=H","DateFormat=P","Fill=—","Direction=H","UseDPDF=Y")</f>
        <v>918</v>
      </c>
      <c r="Q11" s="12">
        <f>_xll.BDH("WMT US Equity","OTHER_NON_CASH_ADJ_LESS_DETAILED","FQ1 2020","FQ1 2020","Currency=USD","Period=FQ","BEST_FPERIOD_OVERRIDE=FQ","FILING_STATUS=MR","SCALING_FORMAT=MLN","Sort=A","Dates=H","DateFormat=P","Fill=—","Direction=H","UseDPDF=Y")</f>
        <v>-644</v>
      </c>
      <c r="R11" s="12">
        <f>_xll.BDH("WMT US Equity","OTHER_NON_CASH_ADJ_LESS_DETAILED","FQ2 2020","FQ2 2020","Currency=USD","Period=FQ","BEST_FPERIOD_OVERRIDE=FQ","FILING_STATUS=MR","SCALING_FORMAT=MLN","Sort=A","Dates=H","DateFormat=P","Fill=—","Direction=H","UseDPDF=Y")</f>
        <v>395</v>
      </c>
      <c r="S11" s="12">
        <f>_xll.BDH("WMT US Equity","OTHER_NON_CASH_ADJ_LESS_DETAILED","FQ3 2020","FQ3 2020","Currency=USD","Period=FQ","BEST_FPERIOD_OVERRIDE=FQ","FILING_STATUS=MR","SCALING_FORMAT=MLN","Sort=A","Dates=H","DateFormat=P","Fill=—","Direction=H","UseDPDF=Y")</f>
        <v>442</v>
      </c>
      <c r="T11" s="12">
        <f>_xll.BDH("WMT US Equity","OTHER_NON_CASH_ADJ_LESS_DETAILED","FQ4 2020","FQ4 2020","Currency=USD","Period=FQ","BEST_FPERIOD_OVERRIDE=FQ","FILING_STATUS=MR","SCALING_FORMAT=MLN","Sort=A","Dates=H","DateFormat=P","Fill=—","Direction=H","UseDPDF=Y")</f>
        <v>-799</v>
      </c>
      <c r="U11" s="12">
        <f>_xll.BDH("WMT US Equity","OTHER_NON_CASH_ADJ_LESS_DETAILED","FQ1 2021","FQ1 2021","Currency=USD","Period=FQ","BEST_FPERIOD_OVERRIDE=FQ","FILING_STATUS=MR","SCALING_FORMAT=MLN","Sort=A","Dates=H","DateFormat=P","Fill=—","Direction=H","UseDPDF=Y")</f>
        <v>-750</v>
      </c>
      <c r="V11" s="12">
        <f>_xll.BDH("WMT US Equity","OTHER_NON_CASH_ADJ_LESS_DETAILED","FQ2 2021","FQ2 2021","Currency=USD","Period=FQ","BEST_FPERIOD_OVERRIDE=FQ","FILING_STATUS=MR","SCALING_FORMAT=MLN","Sort=A","Dates=H","DateFormat=P","Fill=—","Direction=H","UseDPDF=Y")</f>
        <v>-2867</v>
      </c>
      <c r="W11" s="12">
        <f>_xll.BDH("WMT US Equity","OTHER_NON_CASH_ADJ_LESS_DETAILED","FQ3 2021","FQ3 2021","Currency=USD","Period=FQ","BEST_FPERIOD_OVERRIDE=FQ","FILING_STATUS=MR","SCALING_FORMAT=MLN","Sort=A","Dates=H","DateFormat=P","Fill=—","Direction=H","UseDPDF=Y")</f>
        <v>-1195</v>
      </c>
      <c r="X11" s="12">
        <f>_xll.BDH("WMT US Equity","OTHER_NON_CASH_ADJ_LESS_DETAILED","FQ4 2021","FQ4 2021","Currency=USD","Period=FQ","BEST_FPERIOD_OVERRIDE=FQ","FILING_STATUS=MR","SCALING_FORMAT=MLN","Sort=A","Dates=H","DateFormat=P","Fill=—","Direction=H","UseDPDF=Y")</f>
        <v>6341</v>
      </c>
      <c r="Y11" s="12">
        <f>_xll.BDH("WMT US Equity","OTHER_NON_CASH_ADJ_LESS_DETAILED","FQ1 2022","FQ1 2022","Currency=USD","Period=FQ","BEST_FPERIOD_OVERRIDE=FQ","FILING_STATUS=MR","SCALING_FORMAT=MLN","Sort=A","Dates=H","DateFormat=P","Fill=—","Direction=H","UseDPDF=Y")</f>
        <v>2861</v>
      </c>
      <c r="Z11" s="12">
        <f>_xll.BDH("WMT US Equity","OTHER_NON_CASH_ADJ_LESS_DETAILED","FQ2 2022","FQ2 2022","Currency=USD","Period=FQ","BEST_FPERIOD_OVERRIDE=FQ","FILING_STATUS=MR","SCALING_FORMAT=MLN","Sort=A","Dates=H","DateFormat=P","Fill=—","Direction=H","UseDPDF=Y")</f>
        <v>1366</v>
      </c>
      <c r="AA11" s="12">
        <f>_xll.BDH("WMT US Equity","OTHER_NON_CASH_ADJ_LESS_DETAILED","FQ3 2022","FQ3 2022","Currency=USD","Period=FQ","BEST_FPERIOD_OVERRIDE=FQ","FILING_STATUS=MR","SCALING_FORMAT=MLN","Sort=A","Dates=H","DateFormat=P","Fill=—","Direction=H","UseDPDF=Y")</f>
        <v>1700</v>
      </c>
      <c r="AB11" s="12">
        <f>_xll.BDH("WMT US Equity","OTHER_NON_CASH_ADJ_LESS_DETAILED","FQ4 2022","FQ4 2022","Currency=USD","Period=FQ","BEST_FPERIOD_OVERRIDE=FQ","FILING_STATUS=MR","SCALING_FORMAT=MLN","Sort=A","Dates=H","DateFormat=P","Fill=—","Direction=H","UseDPDF=Y")</f>
        <v>1275</v>
      </c>
      <c r="AC11" s="12">
        <f>_xll.BDH("WMT US Equity","OTHER_NON_CASH_ADJ_LESS_DETAILED","FQ1 2023","FQ1 2023","Currency=USD","Period=FQ","BEST_FPERIOD_OVERRIDE=FQ","FILING_STATUS=MR","SCALING_FORMAT=MLN","Sort=A","Dates=H","DateFormat=P","Fill=—","Direction=H","UseDPDF=Y")</f>
        <v>1979</v>
      </c>
      <c r="AD11" s="12">
        <f>_xll.BDH("WMT US Equity","OTHER_NON_CASH_ADJ_LESS_DETAILED","FQ2 2023","FQ2 2023","Currency=USD","Period=FQ","BEST_FPERIOD_OVERRIDE=FQ","FILING_STATUS=MR","SCALING_FORMAT=MLN","Sort=A","Dates=H","DateFormat=P","Fill=—","Direction=H","UseDPDF=Y")</f>
        <v>300</v>
      </c>
      <c r="AE11" s="12">
        <f>_xll.BDH("WMT US Equity","OTHER_NON_CASH_ADJ_LESS_DETAILED","FQ3 2023","FQ3 2023","Currency=USD","Period=FQ","BEST_FPERIOD_OVERRIDE=FQ","FILING_STATUS=MR","SCALING_FORMAT=MLN","Sort=A","Dates=H","DateFormat=P","Fill=—","Direction=H","UseDPDF=Y")</f>
        <v>4331</v>
      </c>
      <c r="AF11" s="12">
        <f>_xll.BDH("WMT US Equity","OTHER_NON_CASH_ADJ_LESS_DETAILED","FQ4 2023","FQ4 2023","Currency=USD","Period=FQ","BEST_FPERIOD_OVERRIDE=FQ","FILING_STATUS=MR","SCALING_FORMAT=MLN","Sort=A","Dates=H","DateFormat=P","Fill=—","Direction=H","UseDPDF=Y")</f>
        <v>-3396</v>
      </c>
      <c r="AG11" s="12">
        <f>_xll.BDH("WMT US Equity","OTHER_NON_CASH_ADJ_LESS_DETAILED","FQ1 2024","FQ1 2024","Currency=USD","Period=FQ","BEST_FPERIOD_OVERRIDE=FQ","FILING_STATUS=MR","SCALING_FORMAT=MLN","Sort=A","Dates=H","DateFormat=P","Fill=—","Direction=H","UseDPDF=Y")</f>
        <v>3534</v>
      </c>
      <c r="AH11" s="12">
        <f>_xll.BDH("WMT US Equity","OTHER_NON_CASH_ADJ_LESS_DETAILED","FQ2 2024","FQ2 2024","Currency=USD","Period=FQ","BEST_FPERIOD_OVERRIDE=FQ","FILING_STATUS=MR","SCALING_FORMAT=MLN","Sort=A","Dates=H","DateFormat=P","Fill=—","Direction=H","UseDPDF=Y")</f>
        <v>-3073</v>
      </c>
      <c r="AI11" s="12">
        <f>_xll.BDH("WMT US Equity","OTHER_NON_CASH_ADJ_LESS_DETAILED","FQ3 2024","FQ3 2024","Currency=USD","Period=FQ","BEST_FPERIOD_OVERRIDE=FQ","FILING_STATUS=MR","SCALING_FORMAT=MLN","Sort=A","Dates=H","DateFormat=P","Fill=—","Direction=H","UseDPDF=Y")</f>
        <v>5554</v>
      </c>
      <c r="AJ11" s="12">
        <f>_xll.BDH("WMT US Equity","OTHER_NON_CASH_ADJ_LESS_DETAILED","FQ4 2024","FQ4 2024","Currency=USD","Period=FQ","BEST_FPERIOD_OVERRIDE=FQ","FILING_STATUS=MR","SCALING_FORMAT=MLN","Sort=A","Dates=H","DateFormat=P","Fill=—","Direction=H","UseDPDF=Y")</f>
        <v>579</v>
      </c>
      <c r="AK11" s="12">
        <f>_xll.BDH("WMT US Equity","OTHER_NON_CASH_ADJ_LESS_DETAILED","FQ1 2025","FQ1 2025","Currency=USD","Period=FQ","BEST_FPERIOD_OVERRIDE=FQ","FILING_STATUS=MR","SCALING_FORMAT=MLN","Sort=A","Dates=H","DateFormat=P","Fill=—","Direction=H","UseDPDF=Y")</f>
        <v>71</v>
      </c>
      <c r="AL11" s="12">
        <f>_xll.BDH("WMT US Equity","OTHER_NON_CASH_ADJ_LESS_DETAILED","FQ2 2025","FQ2 2025","Currency=USD","Period=FQ","BEST_FPERIOD_OVERRIDE=FQ","FILING_STATUS=MR","SCALING_FORMAT=MLN","Sort=A","Dates=H","DateFormat=P","Fill=—","Direction=H","UseDPDF=Y")</f>
        <v>1727</v>
      </c>
      <c r="AM11" s="12">
        <f>_xll.BDH("WMT US Equity","OTHER_NON_CASH_ADJ_LESS_DETAILED","FQ3 2025","FQ3 2025","Currency=USD","Period=FQ","BEST_FPERIOD_OVERRIDE=FQ","FILING_STATUS=MR","SCALING_FORMAT=MLN","Sort=A","Dates=H","DateFormat=P","Fill=—","Direction=H","UseDPDF=Y")</f>
        <v>1091</v>
      </c>
      <c r="AN11" s="12">
        <f>_xll.BDH("WMT US Equity","OTHER_NON_CASH_ADJ_LESS_DETAILED","FQ4 2025","FQ4 2025","Currency=USD","Period=FQ","BEST_FPERIOD_OVERRIDE=FQ","FILING_STATUS=MR","SCALING_FORMAT=MLN","Sort=A","Dates=H","DateFormat=P","Fill=—","Direction=H","UseDPDF=Y")</f>
        <v>1599</v>
      </c>
      <c r="AO11" s="12">
        <f>_xll.BDH("WMT US Equity","OTHER_NON_CASH_ADJ_LESS_DETAILED","FQ1 2026","FQ1 2026","Currency=USD","Period=FQ","BEST_FPERIOD_OVERRIDE=FQ","FILING_STATUS=MR","SCALING_FORMAT=MLN","Sort=A","Dates=H","DateFormat=P","Fill=—","Direction=H","UseDPDF=Y")</f>
        <v>1204</v>
      </c>
      <c r="AP11" s="12">
        <f>_xll.BDH("WMT US Equity","OTHER_NON_CASH_ADJ_LESS_DETAILED","FQ2 2026","FQ2 2026","Currency=USD","Period=FQ","BEST_FPERIOD_OVERRIDE=FQ","FILING_STATUS=MR","SCALING_FORMAT=MLN","Sort=A","Dates=H","DateFormat=P","Fill=—","Direction=H","UseDPDF=Y")</f>
        <v>-1623</v>
      </c>
    </row>
    <row r="12" spans="1:42" x14ac:dyDescent="0.3">
      <c r="A12" s="10" t="s">
        <v>188</v>
      </c>
      <c r="B12" s="10" t="s">
        <v>90</v>
      </c>
      <c r="C12" s="12">
        <f>_xll.BDH("WMT US Equity","CF_CHNG_NON_CASH_WORK_CAP","FQ3 2016","FQ3 2016","Currency=USD","Period=FQ","BEST_FPERIOD_OVERRIDE=FQ","FILING_STATUS=MR","SCALING_FORMAT=MLN","Sort=A","Dates=H","DateFormat=P","Fill=—","Direction=H","UseDPDF=Y")</f>
        <v>-397</v>
      </c>
      <c r="D12" s="12">
        <f>_xll.BDH("WMT US Equity","CF_CHNG_NON_CASH_WORK_CAP","FQ4 2016","FQ4 2016","Currency=USD","Period=FQ","BEST_FPERIOD_OVERRIDE=FQ","FILING_STATUS=MR","SCALING_FORMAT=MLN","Sort=A","Dates=H","DateFormat=P","Fill=—","Direction=H","UseDPDF=Y")</f>
        <v>4287</v>
      </c>
      <c r="E12" s="12">
        <f>_xll.BDH("WMT US Equity","CF_CHNG_NON_CASH_WORK_CAP","FQ1 2017","FQ1 2017","Currency=USD","Period=FQ","BEST_FPERIOD_OVERRIDE=FQ","FILING_STATUS=MR","SCALING_FORMAT=MLN","Sort=A","Dates=H","DateFormat=P","Fill=—","Direction=H","UseDPDF=Y")</f>
        <v>744</v>
      </c>
      <c r="F12" s="12">
        <f>_xll.BDH("WMT US Equity","CF_CHNG_NON_CASH_WORK_CAP","FQ2 2017","FQ2 2017","Currency=USD","Period=FQ","BEST_FPERIOD_OVERRIDE=FQ","FILING_STATUS=MR","SCALING_FORMAT=MLN","Sort=A","Dates=H","DateFormat=P","Fill=—","Direction=H","UseDPDF=Y")</f>
        <v>2505</v>
      </c>
      <c r="G12" s="12">
        <f>_xll.BDH("WMT US Equity","CF_CHNG_NON_CASH_WORK_CAP","FQ3 2017","FQ3 2017","Currency=USD","Period=FQ","BEST_FPERIOD_OVERRIDE=FQ","FILING_STATUS=MR","SCALING_FORMAT=MLN","Sort=A","Dates=H","DateFormat=P","Fill=—","Direction=H","UseDPDF=Y")</f>
        <v>-1929</v>
      </c>
      <c r="H12" s="12">
        <f>_xll.BDH("WMT US Equity","CF_CHNG_NON_CASH_WORK_CAP","FQ4 2017","FQ4 2017","Currency=USD","Period=FQ","BEST_FPERIOD_OVERRIDE=FQ","FILING_STATUS=MR","SCALING_FORMAT=MLN","Sort=A","Dates=H","DateFormat=P","Fill=—","Direction=H","UseDPDF=Y")</f>
        <v>5013</v>
      </c>
      <c r="I12" s="12">
        <f>_xll.BDH("WMT US Equity","CF_CHNG_NON_CASH_WORK_CAP","FQ1 2018","FQ1 2018","Currency=USD","Period=FQ","BEST_FPERIOD_OVERRIDE=FQ","FILING_STATUS=MR","SCALING_FORMAT=MLN","Sort=A","Dates=H","DateFormat=P","Fill=—","Direction=H","UseDPDF=Y")</f>
        <v>-150</v>
      </c>
      <c r="J12" s="12">
        <f>_xll.BDH("WMT US Equity","CF_CHNG_NON_CASH_WORK_CAP","FQ2 2018","FQ2 2018","Currency=USD","Period=FQ","BEST_FPERIOD_OVERRIDE=FQ","FILING_STATUS=MR","SCALING_FORMAT=MLN","Sort=A","Dates=H","DateFormat=P","Fill=—","Direction=H","UseDPDF=Y")</f>
        <v>-781</v>
      </c>
      <c r="K12" s="12">
        <f>_xll.BDH("WMT US Equity","CF_CHNG_NON_CASH_WORK_CAP","FQ3 2018","FQ3 2018","Currency=USD","Period=FQ","BEST_FPERIOD_OVERRIDE=FQ","FILING_STATUS=MR","SCALING_FORMAT=MLN","Sort=A","Dates=H","DateFormat=P","Fill=—","Direction=H","UseDPDF=Y")</f>
        <v>-503</v>
      </c>
      <c r="L12" s="12">
        <f>_xll.BDH("WMT US Equity","CF_CHNG_NON_CASH_WORK_CAP","FQ4 2018","FQ4 2018","Currency=USD","Period=FQ","BEST_FPERIOD_OVERRIDE=FQ","FILING_STATUS=MR","SCALING_FORMAT=MLN","Sort=A","Dates=H","DateFormat=P","Fill=—","Direction=H","UseDPDF=Y")</f>
        <v>4677</v>
      </c>
      <c r="M12" s="12">
        <f>_xll.BDH("WMT US Equity","CF_CHNG_NON_CASH_WORK_CAP","FQ1 2019","FQ1 2019","Currency=USD","Period=FQ","BEST_FPERIOD_OVERRIDE=FQ","FILING_STATUS=MR","SCALING_FORMAT=MLN","Sort=A","Dates=H","DateFormat=P","Fill=—","Direction=H","UseDPDF=Y")</f>
        <v>-1853</v>
      </c>
      <c r="N12" s="12">
        <f>_xll.BDH("WMT US Equity","CF_CHNG_NON_CASH_WORK_CAP","FQ2 2019","FQ2 2019","Currency=USD","Period=FQ","BEST_FPERIOD_OVERRIDE=FQ","FILING_STATUS=MR","SCALING_FORMAT=MLN","Sort=A","Dates=H","DateFormat=P","Fill=—","Direction=H","UseDPDF=Y")</f>
        <v>-979</v>
      </c>
      <c r="O12" s="12">
        <f>_xll.BDH("WMT US Equity","CF_CHNG_NON_CASH_WORK_CAP","FQ3 2019","FQ3 2019","Currency=USD","Period=FQ","BEST_FPERIOD_OVERRIDE=FQ","FILING_STATUS=MR","SCALING_FORMAT=MLN","Sort=A","Dates=H","DateFormat=P","Fill=—","Direction=H","UseDPDF=Y")</f>
        <v>-135</v>
      </c>
      <c r="P12" s="12">
        <f>_xll.BDH("WMT US Equity","CF_CHNG_NON_CASH_WORK_CAP","FQ4 2019","FQ4 2019","Currency=USD","Period=FQ","BEST_FPERIOD_OVERRIDE=FQ","FILING_STATUS=MR","SCALING_FORMAT=MLN","Sort=A","Dates=H","DateFormat=P","Fill=—","Direction=H","UseDPDF=Y")</f>
        <v>3262</v>
      </c>
      <c r="Q12" s="12">
        <f>_xll.BDH("WMT US Equity","CF_CHNG_NON_CASH_WORK_CAP","FQ1 2020","FQ1 2020","Currency=USD","Period=FQ","BEST_FPERIOD_OVERRIDE=FQ","FILING_STATUS=MR","SCALING_FORMAT=MLN","Sort=A","Dates=H","DateFormat=P","Fill=—","Direction=H","UseDPDF=Y")</f>
        <v>-2473</v>
      </c>
      <c r="R12" s="12">
        <f>_xll.BDH("WMT US Equity","CF_CHNG_NON_CASH_WORK_CAP","FQ2 2020","FQ2 2020","Currency=USD","Period=FQ","BEST_FPERIOD_OVERRIDE=FQ","FILING_STATUS=MR","SCALING_FORMAT=MLN","Sort=A","Dates=H","DateFormat=P","Fill=—","Direction=H","UseDPDF=Y")</f>
        <v>778</v>
      </c>
      <c r="S12" s="12">
        <f>_xll.BDH("WMT US Equity","CF_CHNG_NON_CASH_WORK_CAP","FQ3 2020","FQ3 2020","Currency=USD","Period=FQ","BEST_FPERIOD_OVERRIDE=FQ","FILING_STATUS=MR","SCALING_FORMAT=MLN","Sort=A","Dates=H","DateFormat=P","Fill=—","Direction=H","UseDPDF=Y")</f>
        <v>-3432</v>
      </c>
      <c r="T12" s="12">
        <f>_xll.BDH("WMT US Equity","CF_CHNG_NON_CASH_WORK_CAP","FQ4 2020","FQ4 2020","Currency=USD","Period=FQ","BEST_FPERIOD_OVERRIDE=FQ","FILING_STATUS=MR","SCALING_FORMAT=MLN","Sort=A","Dates=H","DateFormat=P","Fill=—","Direction=H","UseDPDF=Y")</f>
        <v>4800</v>
      </c>
      <c r="U12" s="12">
        <f>_xll.BDH("WMT US Equity","CF_CHNG_NON_CASH_WORK_CAP","FQ1 2021","FQ1 2021","Currency=USD","Period=FQ","BEST_FPERIOD_OVERRIDE=FQ","FILING_STATUS=MR","SCALING_FORMAT=MLN","Sort=A","Dates=H","DateFormat=P","Fill=—","Direction=H","UseDPDF=Y")</f>
        <v>902</v>
      </c>
      <c r="V12" s="12">
        <f>_xll.BDH("WMT US Equity","CF_CHNG_NON_CASH_WORK_CAP","FQ2 2021","FQ2 2021","Currency=USD","Period=FQ","BEST_FPERIOD_OVERRIDE=FQ","FILING_STATUS=MR","SCALING_FORMAT=MLN","Sort=A","Dates=H","DateFormat=P","Fill=—","Direction=H","UseDPDF=Y")</f>
        <v>5171</v>
      </c>
      <c r="W12" s="12">
        <f>_xll.BDH("WMT US Equity","CF_CHNG_NON_CASH_WORK_CAP","FQ3 2021","FQ3 2021","Currency=USD","Period=FQ","BEST_FPERIOD_OVERRIDE=FQ","FILING_STATUS=MR","SCALING_FORMAT=MLN","Sort=A","Dates=H","DateFormat=P","Fill=—","Direction=H","UseDPDF=Y")</f>
        <v>-3561</v>
      </c>
      <c r="X12" s="12">
        <f>_xll.BDH("WMT US Equity","CF_CHNG_NON_CASH_WORK_CAP","FQ4 2021","FQ4 2021","Currency=USD","Period=FQ","BEST_FPERIOD_OVERRIDE=FQ","FILING_STATUS=MR","SCALING_FORMAT=MLN","Sort=A","Dates=H","DateFormat=P","Fill=—","Direction=H","UseDPDF=Y")</f>
        <v>5460</v>
      </c>
      <c r="Y12" s="12">
        <f>_xll.BDH("WMT US Equity","CF_CHNG_NON_CASH_WORK_CAP","FQ1 2022","FQ1 2022","Currency=USD","Period=FQ","BEST_FPERIOD_OVERRIDE=FQ","FILING_STATUS=MR","SCALING_FORMAT=MLN","Sort=A","Dates=H","DateFormat=P","Fill=—","Direction=H","UseDPDF=Y")</f>
        <v>-5239</v>
      </c>
      <c r="Z12" s="12">
        <f>_xll.BDH("WMT US Equity","CF_CHNG_NON_CASH_WORK_CAP","FQ2 2022","FQ2 2022","Currency=USD","Period=FQ","BEST_FPERIOD_OVERRIDE=FQ","FILING_STATUS=MR","SCALING_FORMAT=MLN","Sort=A","Dates=H","DateFormat=P","Fill=—","Direction=H","UseDPDF=Y")</f>
        <v>1512</v>
      </c>
      <c r="AA12" s="12">
        <f>_xll.BDH("WMT US Equity","CF_CHNG_NON_CASH_WORK_CAP","FQ3 2022","FQ3 2022","Currency=USD","Period=FQ","BEST_FPERIOD_OVERRIDE=FQ","FILING_STATUS=MR","SCALING_FORMAT=MLN","Sort=A","Dates=H","DateFormat=P","Fill=—","Direction=H","UseDPDF=Y")</f>
        <v>-2570</v>
      </c>
      <c r="AB12" s="12">
        <f>_xll.BDH("WMT US Equity","CF_CHNG_NON_CASH_WORK_CAP","FQ4 2022","FQ4 2022","Currency=USD","Period=FQ","BEST_FPERIOD_OVERRIDE=FQ","FILING_STATUS=MR","SCALING_FORMAT=MLN","Sort=A","Dates=H","DateFormat=P","Fill=—","Direction=H","UseDPDF=Y")</f>
        <v>-300</v>
      </c>
      <c r="AC12" s="12">
        <f>_xll.BDH("WMT US Equity","CF_CHNG_NON_CASH_WORK_CAP","FQ1 2023","FQ1 2023","Currency=USD","Period=FQ","BEST_FPERIOD_OVERRIDE=FQ","FILING_STATUS=MR","SCALING_FORMAT=MLN","Sort=A","Dates=H","DateFormat=P","Fill=—","Direction=H","UseDPDF=Y")</f>
        <v>-10402</v>
      </c>
      <c r="AD12" s="12">
        <f>_xll.BDH("WMT US Equity","CF_CHNG_NON_CASH_WORK_CAP","FQ2 2023","FQ2 2023","Currency=USD","Period=FQ","BEST_FPERIOD_OVERRIDE=FQ","FILING_STATUS=MR","SCALING_FORMAT=MLN","Sort=A","Dates=H","DateFormat=P","Fill=—","Direction=H","UseDPDF=Y")</f>
        <v>4670</v>
      </c>
      <c r="AE12" s="12">
        <f>_xll.BDH("WMT US Equity","CF_CHNG_NON_CASH_WORK_CAP","FQ3 2023","FQ3 2023","Currency=USD","Period=FQ","BEST_FPERIOD_OVERRIDE=FQ","FILING_STATUS=MR","SCALING_FORMAT=MLN","Sort=A","Dates=H","DateFormat=P","Fill=—","Direction=H","UseDPDF=Y")</f>
        <v>1253</v>
      </c>
      <c r="AF12" s="12">
        <f>_xll.BDH("WMT US Equity","CF_CHNG_NON_CASH_WORK_CAP","FQ4 2023","FQ4 2023","Currency=USD","Period=FQ","BEST_FPERIOD_OVERRIDE=FQ","FILING_STATUS=MR","SCALING_FORMAT=MLN","Sort=A","Dates=H","DateFormat=P","Fill=—","Direction=H","UseDPDF=Y")</f>
        <v>7032</v>
      </c>
      <c r="AG12" s="12">
        <f>_xll.BDH("WMT US Equity","CF_CHNG_NON_CASH_WORK_CAP","FQ1 2024","FQ1 2024","Currency=USD","Period=FQ","BEST_FPERIOD_OVERRIDE=FQ","FILING_STATUS=MR","SCALING_FORMAT=MLN","Sort=A","Dates=H","DateFormat=P","Fill=—","Direction=H","UseDPDF=Y")</f>
        <v>-2694</v>
      </c>
      <c r="AH12" s="12">
        <f>_xll.BDH("WMT US Equity","CF_CHNG_NON_CASH_WORK_CAP","FQ2 2024","FQ2 2024","Currency=USD","Period=FQ","BEST_FPERIOD_OVERRIDE=FQ","FILING_STATUS=MR","SCALING_FORMAT=MLN","Sort=A","Dates=H","DateFormat=P","Fill=—","Direction=H","UseDPDF=Y")</f>
        <v>4684</v>
      </c>
      <c r="AI12" s="12">
        <f>_xll.BDH("WMT US Equity","CF_CHNG_NON_CASH_WORK_CAP","FQ3 2024","FQ3 2024","Currency=USD","Period=FQ","BEST_FPERIOD_OVERRIDE=FQ","FILING_STATUS=MR","SCALING_FORMAT=MLN","Sort=A","Dates=H","DateFormat=P","Fill=—","Direction=H","UseDPDF=Y")</f>
        <v>-7075</v>
      </c>
      <c r="AJ12" s="12">
        <f>_xll.BDH("WMT US Equity","CF_CHNG_NON_CASH_WORK_CAP","FQ4 2024","FQ4 2024","Currency=USD","Period=FQ","BEST_FPERIOD_OVERRIDE=FQ","FILING_STATUS=MR","SCALING_FORMAT=MLN","Sort=A","Dates=H","DateFormat=P","Fill=—","Direction=H","UseDPDF=Y")</f>
        <v>7028</v>
      </c>
      <c r="AK12" s="12">
        <f>_xll.BDH("WMT US Equity","CF_CHNG_NON_CASH_WORK_CAP","FQ1 2025","FQ1 2025","Currency=USD","Period=FQ","BEST_FPERIOD_OVERRIDE=FQ","FILING_STATUS=MR","SCALING_FORMAT=MLN","Sort=A","Dates=H","DateFormat=P","Fill=—","Direction=H","UseDPDF=Y")</f>
        <v>-4156</v>
      </c>
      <c r="AL12" s="12">
        <f>_xll.BDH("WMT US Equity","CF_CHNG_NON_CASH_WORK_CAP","FQ2 2025","FQ2 2025","Currency=USD","Period=FQ","BEST_FPERIOD_OVERRIDE=FQ","FILING_STATUS=MR","SCALING_FORMAT=MLN","Sort=A","Dates=H","DateFormat=P","Fill=—","Direction=H","UseDPDF=Y")</f>
        <v>3015</v>
      </c>
      <c r="AM12" s="12">
        <f>_xll.BDH("WMT US Equity","CF_CHNG_NON_CASH_WORK_CAP","FQ3 2025","FQ3 2025","Currency=USD","Period=FQ","BEST_FPERIOD_OVERRIDE=FQ","FILING_STATUS=MR","SCALING_FORMAT=MLN","Sort=A","Dates=H","DateFormat=P","Fill=—","Direction=H","UseDPDF=Y")</f>
        <v>-2366</v>
      </c>
      <c r="AN12" s="12">
        <f>_xll.BDH("WMT US Equity","CF_CHNG_NON_CASH_WORK_CAP","FQ4 2025","FQ4 2025","Currency=USD","Period=FQ","BEST_FPERIOD_OVERRIDE=FQ","FILING_STATUS=MR","SCALING_FORMAT=MLN","Sort=A","Dates=H","DateFormat=P","Fill=—","Direction=H","UseDPDF=Y")</f>
        <v>3688</v>
      </c>
      <c r="AO12" s="12">
        <f>_xll.BDH("WMT US Equity","CF_CHNG_NON_CASH_WORK_CAP","FQ1 2026","FQ1 2026","Currency=USD","Period=FQ","BEST_FPERIOD_OVERRIDE=FQ","FILING_STATUS=MR","SCALING_FORMAT=MLN","Sort=A","Dates=H","DateFormat=P","Fill=—","Direction=H","UseDPDF=Y")</f>
        <v>-3573</v>
      </c>
      <c r="AP12" s="12">
        <f>_xll.BDH("WMT US Equity","CF_CHNG_NON_CASH_WORK_CAP","FQ2 2026","FQ2 2026","Currency=USD","Period=FQ","BEST_FPERIOD_OVERRIDE=FQ","FILING_STATUS=MR","SCALING_FORMAT=MLN","Sort=A","Dates=H","DateFormat=P","Fill=—","Direction=H","UseDPDF=Y")</f>
        <v>2424</v>
      </c>
    </row>
    <row r="13" spans="1:42" x14ac:dyDescent="0.3">
      <c r="A13" s="10" t="s">
        <v>156</v>
      </c>
      <c r="B13" s="10" t="s">
        <v>91</v>
      </c>
      <c r="C13" s="12">
        <f>_xll.BDH("WMT US Equity","CF_ACCT_RCV_UNBILLED_REV","FQ3 2016","FQ3 2016","Currency=USD","Period=FQ","BEST_FPERIOD_OVERRIDE=FQ","FILING_STATUS=MR","SCALING_FORMAT=MLN","Sort=A","Dates=H","DateFormat=P","Fill=—","Direction=H","UseDPDF=Y")</f>
        <v>100</v>
      </c>
      <c r="D13" s="12">
        <f>_xll.BDH("WMT US Equity","CF_ACCT_RCV_UNBILLED_REV","FQ4 2016","FQ4 2016","Currency=USD","Period=FQ","BEST_FPERIOD_OVERRIDE=FQ","FILING_STATUS=MR","SCALING_FORMAT=MLN","Sort=A","Dates=H","DateFormat=P","Fill=—","Direction=H","UseDPDF=Y")</f>
        <v>-802</v>
      </c>
      <c r="E13" s="12">
        <f>_xll.BDH("WMT US Equity","CF_ACCT_RCV_UNBILLED_REV","FQ1 2017","FQ1 2017","Currency=USD","Period=FQ","BEST_FPERIOD_OVERRIDE=FQ","FILING_STATUS=MR","SCALING_FORMAT=MLN","Sort=A","Dates=H","DateFormat=P","Fill=—","Direction=H","UseDPDF=Y")</f>
        <v>494</v>
      </c>
      <c r="F13" s="12">
        <f>_xll.BDH("WMT US Equity","CF_ACCT_RCV_UNBILLED_REV","FQ2 2017","FQ2 2017","Currency=USD","Period=FQ","BEST_FPERIOD_OVERRIDE=FQ","FILING_STATUS=MR","SCALING_FORMAT=MLN","Sort=A","Dates=H","DateFormat=P","Fill=—","Direction=H","UseDPDF=Y")</f>
        <v>-51</v>
      </c>
      <c r="G13" s="12">
        <f>_xll.BDH("WMT US Equity","CF_ACCT_RCV_UNBILLED_REV","FQ3 2017","FQ3 2017","Currency=USD","Period=FQ","BEST_FPERIOD_OVERRIDE=FQ","FILING_STATUS=MR","SCALING_FORMAT=MLN","Sort=A","Dates=H","DateFormat=P","Fill=—","Direction=H","UseDPDF=Y")</f>
        <v>-172</v>
      </c>
      <c r="H13" s="12">
        <f>_xll.BDH("WMT US Equity","CF_ACCT_RCV_UNBILLED_REV","FQ4 2017","FQ4 2017","Currency=USD","Period=FQ","BEST_FPERIOD_OVERRIDE=FQ","FILING_STATUS=MR","SCALING_FORMAT=MLN","Sort=A","Dates=H","DateFormat=P","Fill=—","Direction=H","UseDPDF=Y")</f>
        <v>-673</v>
      </c>
      <c r="I13" s="12">
        <f>_xll.BDH("WMT US Equity","CF_ACCT_RCV_UNBILLED_REV","FQ1 2018","FQ1 2018","Currency=USD","Period=FQ","BEST_FPERIOD_OVERRIDE=FQ","FILING_STATUS=MR","SCALING_FORMAT=MLN","Sort=A","Dates=H","DateFormat=P","Fill=—","Direction=H","UseDPDF=Y")</f>
        <v>726</v>
      </c>
      <c r="J13" s="12">
        <f>_xll.BDH("WMT US Equity","CF_ACCT_RCV_UNBILLED_REV","FQ2 2018","FQ2 2018","Currency=USD","Period=FQ","BEST_FPERIOD_OVERRIDE=FQ","FILING_STATUS=MR","SCALING_FORMAT=MLN","Sort=A","Dates=H","DateFormat=P","Fill=—","Direction=H","UseDPDF=Y")</f>
        <v>-141</v>
      </c>
      <c r="K13" s="12">
        <f>_xll.BDH("WMT US Equity","CF_ACCT_RCV_UNBILLED_REV","FQ3 2018","FQ3 2018","Currency=USD","Period=FQ","BEST_FPERIOD_OVERRIDE=FQ","FILING_STATUS=MR","SCALING_FORMAT=MLN","Sort=A","Dates=H","DateFormat=P","Fill=—","Direction=H","UseDPDF=Y")</f>
        <v>-1114</v>
      </c>
      <c r="L13" s="12">
        <f>_xll.BDH("WMT US Equity","CF_ACCT_RCV_UNBILLED_REV","FQ4 2018","FQ4 2018","Currency=USD","Period=FQ","BEST_FPERIOD_OVERRIDE=FQ","FILING_STATUS=MR","SCALING_FORMAT=MLN","Sort=A","Dates=H","DateFormat=P","Fill=—","Direction=H","UseDPDF=Y")</f>
        <v>-545</v>
      </c>
      <c r="M13" s="12">
        <f>_xll.BDH("WMT US Equity","CF_ACCT_RCV_UNBILLED_REV","FQ1 2019","FQ1 2019","Currency=USD","Period=FQ","BEST_FPERIOD_OVERRIDE=FQ","FILING_STATUS=MR","SCALING_FORMAT=MLN","Sort=A","Dates=H","DateFormat=P","Fill=—","Direction=H","UseDPDF=Y")</f>
        <v>1134</v>
      </c>
      <c r="N13" s="12">
        <f>_xll.BDH("WMT US Equity","CF_ACCT_RCV_UNBILLED_REV","FQ2 2019","FQ2 2019","Currency=USD","Period=FQ","BEST_FPERIOD_OVERRIDE=FQ","FILING_STATUS=MR","SCALING_FORMAT=MLN","Sort=A","Dates=H","DateFormat=P","Fill=—","Direction=H","UseDPDF=Y")</f>
        <v>-877</v>
      </c>
      <c r="O13" s="12">
        <f>_xll.BDH("WMT US Equity","CF_ACCT_RCV_UNBILLED_REV","FQ3 2019","FQ3 2019","Currency=USD","Period=FQ","BEST_FPERIOD_OVERRIDE=FQ","FILING_STATUS=MR","SCALING_FORMAT=MLN","Sort=A","Dates=H","DateFormat=P","Fill=—","Direction=H","UseDPDF=Y")</f>
        <v>-79</v>
      </c>
      <c r="P13" s="12">
        <f>_xll.BDH("WMT US Equity","CF_ACCT_RCV_UNBILLED_REV","FQ4 2019","FQ4 2019","Currency=USD","Period=FQ","BEST_FPERIOD_OVERRIDE=FQ","FILING_STATUS=MR","SCALING_FORMAT=MLN","Sort=A","Dates=H","DateFormat=P","Fill=—","Direction=H","UseDPDF=Y")</f>
        <v>-546</v>
      </c>
      <c r="Q13" s="12">
        <f>_xll.BDH("WMT US Equity","CF_ACCT_RCV_UNBILLED_REV","FQ1 2020","FQ1 2020","Currency=USD","Period=FQ","BEST_FPERIOD_OVERRIDE=FQ","FILING_STATUS=MR","SCALING_FORMAT=MLN","Sort=A","Dates=H","DateFormat=P","Fill=—","Direction=H","UseDPDF=Y")</f>
        <v>970</v>
      </c>
      <c r="R13" s="12">
        <f>_xll.BDH("WMT US Equity","CF_ACCT_RCV_UNBILLED_REV","FQ2 2020","FQ2 2020","Currency=USD","Period=FQ","BEST_FPERIOD_OVERRIDE=FQ","FILING_STATUS=MR","SCALING_FORMAT=MLN","Sort=A","Dates=H","DateFormat=P","Fill=—","Direction=H","UseDPDF=Y")</f>
        <v>8</v>
      </c>
      <c r="S13" s="12">
        <f>_xll.BDH("WMT US Equity","CF_ACCT_RCV_UNBILLED_REV","FQ3 2020","FQ3 2020","Currency=USD","Period=FQ","BEST_FPERIOD_OVERRIDE=FQ","FILING_STATUS=MR","SCALING_FORMAT=MLN","Sort=A","Dates=H","DateFormat=P","Fill=—","Direction=H","UseDPDF=Y")</f>
        <v>-317</v>
      </c>
      <c r="T13" s="12">
        <f>_xll.BDH("WMT US Equity","CF_ACCT_RCV_UNBILLED_REV","FQ4 2020","FQ4 2020","Currency=USD","Period=FQ","BEST_FPERIOD_OVERRIDE=FQ","FILING_STATUS=MR","SCALING_FORMAT=MLN","Sort=A","Dates=H","DateFormat=P","Fill=—","Direction=H","UseDPDF=Y")</f>
        <v>-507</v>
      </c>
      <c r="U13" s="12">
        <f>_xll.BDH("WMT US Equity","CF_ACCT_RCV_UNBILLED_REV","FQ1 2021","FQ1 2021","Currency=USD","Period=FQ","BEST_FPERIOD_OVERRIDE=FQ","FILING_STATUS=MR","SCALING_FORMAT=MLN","Sort=A","Dates=H","DateFormat=P","Fill=—","Direction=H","UseDPDF=Y")</f>
        <v>924</v>
      </c>
      <c r="V13" s="12">
        <f>_xll.BDH("WMT US Equity","CF_ACCT_RCV_UNBILLED_REV","FQ2 2021","FQ2 2021","Currency=USD","Period=FQ","BEST_FPERIOD_OVERRIDE=FQ","FILING_STATUS=MR","SCALING_FORMAT=MLN","Sort=A","Dates=H","DateFormat=P","Fill=—","Direction=H","UseDPDF=Y")</f>
        <v>-101</v>
      </c>
      <c r="W13" s="12">
        <f>_xll.BDH("WMT US Equity","CF_ACCT_RCV_UNBILLED_REV","FQ3 2021","FQ3 2021","Currency=USD","Period=FQ","BEST_FPERIOD_OVERRIDE=FQ","FILING_STATUS=MR","SCALING_FORMAT=MLN","Sort=A","Dates=H","DateFormat=P","Fill=—","Direction=H","UseDPDF=Y")</f>
        <v>-658</v>
      </c>
      <c r="X13" s="12">
        <f>_xll.BDH("WMT US Equity","CF_ACCT_RCV_UNBILLED_REV","FQ4 2021","FQ4 2021","Currency=USD","Period=FQ","BEST_FPERIOD_OVERRIDE=FQ","FILING_STATUS=MR","SCALING_FORMAT=MLN","Sort=A","Dates=H","DateFormat=P","Fill=—","Direction=H","UseDPDF=Y")</f>
        <v>-1251</v>
      </c>
      <c r="Y13" s="12">
        <f>_xll.BDH("WMT US Equity","CF_ACCT_RCV_UNBILLED_REV","FQ1 2022","FQ1 2022","Currency=USD","Period=FQ","BEST_FPERIOD_OVERRIDE=FQ","FILING_STATUS=MR","SCALING_FORMAT=MLN","Sort=A","Dates=H","DateFormat=P","Fill=—","Direction=H","UseDPDF=Y")</f>
        <v>828</v>
      </c>
      <c r="Z13" s="12">
        <f>_xll.BDH("WMT US Equity","CF_ACCT_RCV_UNBILLED_REV","FQ2 2022","FQ2 2022","Currency=USD","Period=FQ","BEST_FPERIOD_OVERRIDE=FQ","FILING_STATUS=MR","SCALING_FORMAT=MLN","Sort=A","Dates=H","DateFormat=P","Fill=—","Direction=H","UseDPDF=Y")</f>
        <v>-376</v>
      </c>
      <c r="AA13" s="12">
        <f>_xll.BDH("WMT US Equity","CF_ACCT_RCV_UNBILLED_REV","FQ3 2022","FQ3 2022","Currency=USD","Period=FQ","BEST_FPERIOD_OVERRIDE=FQ","FILING_STATUS=MR","SCALING_FORMAT=MLN","Sort=A","Dates=H","DateFormat=P","Fill=—","Direction=H","UseDPDF=Y")</f>
        <v>-1294</v>
      </c>
      <c r="AB13" s="12">
        <f>_xll.BDH("WMT US Equity","CF_ACCT_RCV_UNBILLED_REV","FQ4 2022","FQ4 2022","Currency=USD","Period=FQ","BEST_FPERIOD_OVERRIDE=FQ","FILING_STATUS=MR","SCALING_FORMAT=MLN","Sort=A","Dates=H","DateFormat=P","Fill=—","Direction=H","UseDPDF=Y")</f>
        <v>-954</v>
      </c>
      <c r="AC13" s="12">
        <f>_xll.BDH("WMT US Equity","CF_ACCT_RCV_UNBILLED_REV","FQ1 2023","FQ1 2023","Currency=USD","Period=FQ","BEST_FPERIOD_OVERRIDE=FQ","FILING_STATUS=MR","SCALING_FORMAT=MLN","Sort=A","Dates=H","DateFormat=P","Fill=—","Direction=H","UseDPDF=Y")</f>
        <v>837</v>
      </c>
      <c r="AD13" s="12">
        <f>_xll.BDH("WMT US Equity","CF_ACCT_RCV_UNBILLED_REV","FQ2 2023","FQ2 2023","Currency=USD","Period=FQ","BEST_FPERIOD_OVERRIDE=FQ","FILING_STATUS=MR","SCALING_FORMAT=MLN","Sort=A","Dates=H","DateFormat=P","Fill=—","Direction=H","UseDPDF=Y")</f>
        <v>37</v>
      </c>
      <c r="AE13" s="12">
        <f>_xll.BDH("WMT US Equity","CF_ACCT_RCV_UNBILLED_REV","FQ3 2023","FQ3 2023","Currency=USD","Period=FQ","BEST_FPERIOD_OVERRIDE=FQ","FILING_STATUS=MR","SCALING_FORMAT=MLN","Sort=A","Dates=H","DateFormat=P","Fill=—","Direction=H","UseDPDF=Y")</f>
        <v>-933</v>
      </c>
      <c r="AF13" s="12">
        <f>_xll.BDH("WMT US Equity","CF_ACCT_RCV_UNBILLED_REV","FQ4 2023","FQ4 2023","Currency=USD","Period=FQ","BEST_FPERIOD_OVERRIDE=FQ","FILING_STATUS=MR","SCALING_FORMAT=MLN","Sort=A","Dates=H","DateFormat=P","Fill=—","Direction=H","UseDPDF=Y")</f>
        <v>299</v>
      </c>
      <c r="AG13" s="12">
        <f>_xll.BDH("WMT US Equity","CF_ACCT_RCV_UNBILLED_REV","FQ1 2024","FQ1 2024","Currency=USD","Period=FQ","BEST_FPERIOD_OVERRIDE=FQ","FILING_STATUS=MR","SCALING_FORMAT=MLN","Sort=A","Dates=H","DateFormat=P","Fill=—","Direction=H","UseDPDF=Y")</f>
        <v>376</v>
      </c>
      <c r="AH13" s="12">
        <f>_xll.BDH("WMT US Equity","CF_ACCT_RCV_UNBILLED_REV","FQ2 2024","FQ2 2024","Currency=USD","Period=FQ","BEST_FPERIOD_OVERRIDE=FQ","FILING_STATUS=MR","SCALING_FORMAT=MLN","Sort=A","Dates=H","DateFormat=P","Fill=—","Direction=H","UseDPDF=Y")</f>
        <v>-261</v>
      </c>
      <c r="AI13" s="12">
        <f>_xll.BDH("WMT US Equity","CF_ACCT_RCV_UNBILLED_REV","FQ3 2024","FQ3 2024","Currency=USD","Period=FQ","BEST_FPERIOD_OVERRIDE=FQ","FILING_STATUS=MR","SCALING_FORMAT=MLN","Sort=A","Dates=H","DateFormat=P","Fill=—","Direction=H","UseDPDF=Y")</f>
        <v>-786</v>
      </c>
      <c r="AJ13" s="12">
        <f>_xll.BDH("WMT US Equity","CF_ACCT_RCV_UNBILLED_REV","FQ4 2024","FQ4 2024","Currency=USD","Period=FQ","BEST_FPERIOD_OVERRIDE=FQ","FILING_STATUS=MR","SCALING_FORMAT=MLN","Sort=A","Dates=H","DateFormat=P","Fill=—","Direction=H","UseDPDF=Y")</f>
        <v>-126</v>
      </c>
      <c r="AK13" s="12">
        <f>_xll.BDH("WMT US Equity","CF_ACCT_RCV_UNBILLED_REV","FQ1 2025","FQ1 2025","Currency=USD","Period=FQ","BEST_FPERIOD_OVERRIDE=FQ","FILING_STATUS=MR","SCALING_FORMAT=MLN","Sort=A","Dates=H","DateFormat=P","Fill=—","Direction=H","UseDPDF=Y")</f>
        <v>-154</v>
      </c>
      <c r="AL13" s="12">
        <f>_xll.BDH("WMT US Equity","CF_ACCT_RCV_UNBILLED_REV","FQ2 2025","FQ2 2025","Currency=USD","Period=FQ","BEST_FPERIOD_OVERRIDE=FQ","FILING_STATUS=MR","SCALING_FORMAT=MLN","Sort=A","Dates=H","DateFormat=P","Fill=—","Direction=H","UseDPDF=Y")</f>
        <v>234</v>
      </c>
      <c r="AM13" s="12">
        <f>_xll.BDH("WMT US Equity","CF_ACCT_RCV_UNBILLED_REV","FQ3 2025","FQ3 2025","Currency=USD","Period=FQ","BEST_FPERIOD_OVERRIDE=FQ","FILING_STATUS=MR","SCALING_FORMAT=MLN","Sort=A","Dates=H","DateFormat=P","Fill=—","Direction=H","UseDPDF=Y")</f>
        <v>-1475</v>
      </c>
      <c r="AN13" s="12">
        <f>_xll.BDH("WMT US Equity","CF_ACCT_RCV_UNBILLED_REV","FQ4 2025","FQ4 2025","Currency=USD","Period=FQ","BEST_FPERIOD_OVERRIDE=FQ","FILING_STATUS=MR","SCALING_FORMAT=MLN","Sort=A","Dates=H","DateFormat=P","Fill=—","Direction=H","UseDPDF=Y")</f>
        <v>289</v>
      </c>
      <c r="AO13" s="12">
        <f>_xll.BDH("WMT US Equity","CF_ACCT_RCV_UNBILLED_REV","FQ1 2026","FQ1 2026","Currency=USD","Period=FQ","BEST_FPERIOD_OVERRIDE=FQ","FILING_STATUS=MR","SCALING_FORMAT=MLN","Sort=A","Dates=H","DateFormat=P","Fill=—","Direction=H","UseDPDF=Y")</f>
        <v>268</v>
      </c>
      <c r="AP13" s="12">
        <f>_xll.BDH("WMT US Equity","CF_ACCT_RCV_UNBILLED_REV","FQ2 2026","FQ2 2026","Currency=USD","Period=FQ","BEST_FPERIOD_OVERRIDE=FQ","FILING_STATUS=MR","SCALING_FORMAT=MLN","Sort=A","Dates=H","DateFormat=P","Fill=—","Direction=H","UseDPDF=Y")</f>
        <v>-673</v>
      </c>
    </row>
    <row r="14" spans="1:42" x14ac:dyDescent="0.3">
      <c r="A14" s="10" t="s">
        <v>157</v>
      </c>
      <c r="B14" s="10" t="s">
        <v>92</v>
      </c>
      <c r="C14" s="12">
        <f>_xll.BDH("WMT US Equity","CF_CHANGE_IN_INVENTORIES","FQ3 2016","FQ3 2016","Currency=USD","Period=FQ","BEST_FPERIOD_OVERRIDE=FQ","FILING_STATUS=MR","SCALING_FORMAT=MLN","Sort=A","Dates=H","DateFormat=P","Fill=—","Direction=H","UseDPDF=Y")</f>
        <v>-6410</v>
      </c>
      <c r="D14" s="12">
        <f>_xll.BDH("WMT US Equity","CF_CHANGE_IN_INVENTORIES","FQ4 2016","FQ4 2016","Currency=USD","Period=FQ","BEST_FPERIOD_OVERRIDE=FQ","FILING_STATUS=MR","SCALING_FORMAT=MLN","Sort=A","Dates=H","DateFormat=P","Fill=—","Direction=H","UseDPDF=Y")</f>
        <v>5934</v>
      </c>
      <c r="E14" s="12">
        <f>_xll.BDH("WMT US Equity","CF_CHANGE_IN_INVENTORIES","FQ1 2017","FQ1 2017","Currency=USD","Period=FQ","BEST_FPERIOD_OVERRIDE=FQ","FILING_STATUS=MR","SCALING_FORMAT=MLN","Sort=A","Dates=H","DateFormat=P","Fill=—","Direction=H","UseDPDF=Y")</f>
        <v>264</v>
      </c>
      <c r="F14" s="12">
        <f>_xll.BDH("WMT US Equity","CF_CHANGE_IN_INVENTORIES","FQ2 2017","FQ2 2017","Currency=USD","Period=FQ","BEST_FPERIOD_OVERRIDE=FQ","FILING_STATUS=MR","SCALING_FORMAT=MLN","Sort=A","Dates=H","DateFormat=P","Fill=—","Direction=H","UseDPDF=Y")</f>
        <v>791</v>
      </c>
      <c r="G14" s="12">
        <f>_xll.BDH("WMT US Equity","CF_CHANGE_IN_INVENTORIES","FQ3 2017","FQ3 2017","Currency=USD","Period=FQ","BEST_FPERIOD_OVERRIDE=FQ","FILING_STATUS=MR","SCALING_FORMAT=MLN","Sort=A","Dates=H","DateFormat=P","Fill=—","Direction=H","UseDPDF=Y")</f>
        <v>-6571</v>
      </c>
      <c r="H14" s="12">
        <f>_xll.BDH("WMT US Equity","CF_CHANGE_IN_INVENTORIES","FQ4 2017","FQ4 2017","Currency=USD","Period=FQ","BEST_FPERIOD_OVERRIDE=FQ","FILING_STATUS=MR","SCALING_FORMAT=MLN","Sort=A","Dates=H","DateFormat=P","Fill=—","Direction=H","UseDPDF=Y")</f>
        <v>6537</v>
      </c>
      <c r="I14" s="12">
        <f>_xll.BDH("WMT US Equity","CF_CHANGE_IN_INVENTORIES","FQ1 2018","FQ1 2018","Currency=USD","Period=FQ","BEST_FPERIOD_OVERRIDE=FQ","FILING_STATUS=MR","SCALING_FORMAT=MLN","Sort=A","Dates=H","DateFormat=P","Fill=—","Direction=H","UseDPDF=Y")</f>
        <v>66</v>
      </c>
      <c r="J14" s="12">
        <f>_xll.BDH("WMT US Equity","CF_CHANGE_IN_INVENTORIES","FQ2 2018","FQ2 2018","Currency=USD","Period=FQ","BEST_FPERIOD_OVERRIDE=FQ","FILING_STATUS=MR","SCALING_FORMAT=MLN","Sort=A","Dates=H","DateFormat=P","Fill=—","Direction=H","UseDPDF=Y")</f>
        <v>167</v>
      </c>
      <c r="K14" s="12">
        <f>_xll.BDH("WMT US Equity","CF_CHANGE_IN_INVENTORIES","FQ3 2018","FQ3 2018","Currency=USD","Period=FQ","BEST_FPERIOD_OVERRIDE=FQ","FILING_STATUS=MR","SCALING_FORMAT=MLN","Sort=A","Dates=H","DateFormat=P","Fill=—","Direction=H","UseDPDF=Y")</f>
        <v>-6679</v>
      </c>
      <c r="L14" s="12">
        <f>_xll.BDH("WMT US Equity","CF_CHANGE_IN_INVENTORIES","FQ4 2018","FQ4 2018","Currency=USD","Period=FQ","BEST_FPERIOD_OVERRIDE=FQ","FILING_STATUS=MR","SCALING_FORMAT=MLN","Sort=A","Dates=H","DateFormat=P","Fill=—","Direction=H","UseDPDF=Y")</f>
        <v>6306</v>
      </c>
      <c r="M14" s="12">
        <f>_xll.BDH("WMT US Equity","CF_CHANGE_IN_INVENTORIES","FQ1 2019","FQ1 2019","Currency=USD","Period=FQ","BEST_FPERIOD_OVERRIDE=FQ","FILING_STATUS=MR","SCALING_FORMAT=MLN","Sort=A","Dates=H","DateFormat=P","Fill=—","Direction=H","UseDPDF=Y")</f>
        <v>547</v>
      </c>
      <c r="N14" s="12">
        <f>_xll.BDH("WMT US Equity","CF_CHANGE_IN_INVENTORIES","FQ2 2019","FQ2 2019","Currency=USD","Period=FQ","BEST_FPERIOD_OVERRIDE=FQ","FILING_STATUS=MR","SCALING_FORMAT=MLN","Sort=A","Dates=H","DateFormat=P","Fill=—","Direction=H","UseDPDF=Y")</f>
        <v>-106</v>
      </c>
      <c r="O14" s="12">
        <f>_xll.BDH("WMT US Equity","CF_CHANGE_IN_INVENTORIES","FQ3 2019","FQ3 2019","Currency=USD","Period=FQ","BEST_FPERIOD_OVERRIDE=FQ","FILING_STATUS=MR","SCALING_FORMAT=MLN","Sort=A","Dates=H","DateFormat=P","Fill=—","Direction=H","UseDPDF=Y")</f>
        <v>-7720</v>
      </c>
      <c r="P14" s="12">
        <f>_xll.BDH("WMT US Equity","CF_CHANGE_IN_INVENTORIES","FQ4 2019","FQ4 2019","Currency=USD","Period=FQ","BEST_FPERIOD_OVERRIDE=FQ","FILING_STATUS=MR","SCALING_FORMAT=MLN","Sort=A","Dates=H","DateFormat=P","Fill=—","Direction=H","UseDPDF=Y")</f>
        <v>5968</v>
      </c>
      <c r="Q14" s="12">
        <f>_xll.BDH("WMT US Equity","CF_CHANGE_IN_INVENTORIES","FQ1 2020","FQ1 2020","Currency=USD","Period=FQ","BEST_FPERIOD_OVERRIDE=FQ","FILING_STATUS=MR","SCALING_FORMAT=MLN","Sort=A","Dates=H","DateFormat=P","Fill=—","Direction=H","UseDPDF=Y")</f>
        <v>-421</v>
      </c>
      <c r="R14" s="12">
        <f>_xll.BDH("WMT US Equity","CF_CHANGE_IN_INVENTORIES","FQ2 2020","FQ2 2020","Currency=USD","Period=FQ","BEST_FPERIOD_OVERRIDE=FQ","FILING_STATUS=MR","SCALING_FORMAT=MLN","Sort=A","Dates=H","DateFormat=P","Fill=—","Direction=H","UseDPDF=Y")</f>
        <v>641</v>
      </c>
      <c r="S14" s="12">
        <f>_xll.BDH("WMT US Equity","CF_CHANGE_IN_INVENTORIES","FQ3 2020","FQ3 2020","Currency=USD","Period=FQ","BEST_FPERIOD_OVERRIDE=FQ","FILING_STATUS=MR","SCALING_FORMAT=MLN","Sort=A","Dates=H","DateFormat=P","Fill=—","Direction=H","UseDPDF=Y")</f>
        <v>-7778</v>
      </c>
      <c r="T14" s="12">
        <f>_xll.BDH("WMT US Equity","CF_CHANGE_IN_INVENTORIES","FQ4 2020","FQ4 2020","Currency=USD","Period=FQ","BEST_FPERIOD_OVERRIDE=FQ","FILING_STATUS=MR","SCALING_FORMAT=MLN","Sort=A","Dates=H","DateFormat=P","Fill=—","Direction=H","UseDPDF=Y")</f>
        <v>7258</v>
      </c>
      <c r="U14" s="12">
        <f>_xll.BDH("WMT US Equity","CF_CHANGE_IN_INVENTORIES","FQ1 2021","FQ1 2021","Currency=USD","Period=FQ","BEST_FPERIOD_OVERRIDE=FQ","FILING_STATUS=MR","SCALING_FORMAT=MLN","Sort=A","Dates=H","DateFormat=P","Fill=—","Direction=H","UseDPDF=Y")</f>
        <v>2221</v>
      </c>
      <c r="V14" s="12">
        <f>_xll.BDH("WMT US Equity","CF_CHANGE_IN_INVENTORIES","FQ2 2021","FQ2 2021","Currency=USD","Period=FQ","BEST_FPERIOD_OVERRIDE=FQ","FILING_STATUS=MR","SCALING_FORMAT=MLN","Sort=A","Dates=H","DateFormat=P","Fill=—","Direction=H","UseDPDF=Y")</f>
        <v>245</v>
      </c>
      <c r="W14" s="12">
        <f>_xll.BDH("WMT US Equity","CF_CHANGE_IN_INVENTORIES","FQ3 2021","FQ3 2021","Currency=USD","Period=FQ","BEST_FPERIOD_OVERRIDE=FQ","FILING_STATUS=MR","SCALING_FORMAT=MLN","Sort=A","Dates=H","DateFormat=P","Fill=—","Direction=H","UseDPDF=Y")</f>
        <v>-10726</v>
      </c>
      <c r="X14" s="12">
        <f>_xll.BDH("WMT US Equity","CF_CHANGE_IN_INVENTORIES","FQ4 2021","FQ4 2021","Currency=USD","Period=FQ","BEST_FPERIOD_OVERRIDE=FQ","FILING_STATUS=MR","SCALING_FORMAT=MLN","Sort=A","Dates=H","DateFormat=P","Fill=—","Direction=H","UseDPDF=Y")</f>
        <v>5865</v>
      </c>
      <c r="Y14" s="12">
        <f>_xll.BDH("WMT US Equity","CF_CHANGE_IN_INVENTORIES","FQ1 2022","FQ1 2022","Currency=USD","Period=FQ","BEST_FPERIOD_OVERRIDE=FQ","FILING_STATUS=MR","SCALING_FORMAT=MLN","Sort=A","Dates=H","DateFormat=P","Fill=—","Direction=H","UseDPDF=Y")</f>
        <v>-1487</v>
      </c>
      <c r="Z14" s="12">
        <f>_xll.BDH("WMT US Equity","CF_CHANGE_IN_INVENTORIES","FQ2 2022","FQ2 2022","Currency=USD","Period=FQ","BEST_FPERIOD_OVERRIDE=FQ","FILING_STATUS=MR","SCALING_FORMAT=MLN","Sort=A","Dates=H","DateFormat=P","Fill=—","Direction=H","UseDPDF=Y")</f>
        <v>-1238</v>
      </c>
      <c r="AA14" s="12">
        <f>_xll.BDH("WMT US Equity","CF_CHANGE_IN_INVENTORIES","FQ3 2022","FQ3 2022","Currency=USD","Period=FQ","BEST_FPERIOD_OVERRIDE=FQ","FILING_STATUS=MR","SCALING_FORMAT=MLN","Sort=A","Dates=H","DateFormat=P","Fill=—","Direction=H","UseDPDF=Y")</f>
        <v>-9938</v>
      </c>
      <c r="AB14" s="12">
        <f>_xll.BDH("WMT US Equity","CF_CHANGE_IN_INVENTORIES","FQ4 2022","FQ4 2022","Currency=USD","Period=FQ","BEST_FPERIOD_OVERRIDE=FQ","FILING_STATUS=MR","SCALING_FORMAT=MLN","Sort=A","Dates=H","DateFormat=P","Fill=—","Direction=H","UseDPDF=Y")</f>
        <v>899</v>
      </c>
      <c r="AC14" s="12">
        <f>_xll.BDH("WMT US Equity","CF_CHANGE_IN_INVENTORIES","FQ1 2023","FQ1 2023","Currency=USD","Period=FQ","BEST_FPERIOD_OVERRIDE=FQ","FILING_STATUS=MR","SCALING_FORMAT=MLN","Sort=A","Dates=H","DateFormat=P","Fill=—","Direction=H","UseDPDF=Y")</f>
        <v>-4699</v>
      </c>
      <c r="AD14" s="12">
        <f>_xll.BDH("WMT US Equity","CF_CHANGE_IN_INVENTORIES","FQ2 2023","FQ2 2023","Currency=USD","Period=FQ","BEST_FPERIOD_OVERRIDE=FQ","FILING_STATUS=MR","SCALING_FORMAT=MLN","Sort=A","Dates=H","DateFormat=P","Fill=—","Direction=H","UseDPDF=Y")</f>
        <v>969</v>
      </c>
      <c r="AE14" s="12">
        <f>_xll.BDH("WMT US Equity","CF_CHANGE_IN_INVENTORIES","FQ3 2023","FQ3 2023","Currency=USD","Period=FQ","BEST_FPERIOD_OVERRIDE=FQ","FILING_STATUS=MR","SCALING_FORMAT=MLN","Sort=A","Dates=H","DateFormat=P","Fill=—","Direction=H","UseDPDF=Y")</f>
        <v>-5278</v>
      </c>
      <c r="AF14" s="12">
        <f>_xll.BDH("WMT US Equity","CF_CHANGE_IN_INVENTORIES","FQ4 2023","FQ4 2023","Currency=USD","Period=FQ","BEST_FPERIOD_OVERRIDE=FQ","FILING_STATUS=MR","SCALING_FORMAT=MLN","Sort=A","Dates=H","DateFormat=P","Fill=—","Direction=H","UseDPDF=Y")</f>
        <v>8480</v>
      </c>
      <c r="AG14" s="12">
        <f>_xll.BDH("WMT US Equity","CF_CHANGE_IN_INVENTORIES","FQ1 2024","FQ1 2024","Currency=USD","Period=FQ","BEST_FPERIOD_OVERRIDE=FQ","FILING_STATUS=MR","SCALING_FORMAT=MLN","Sort=A","Dates=H","DateFormat=P","Fill=—","Direction=H","UseDPDF=Y")</f>
        <v>-154</v>
      </c>
      <c r="AH14" s="12">
        <f>_xll.BDH("WMT US Equity","CF_CHANGE_IN_INVENTORIES","FQ2 2024","FQ2 2024","Currency=USD","Period=FQ","BEST_FPERIOD_OVERRIDE=FQ","FILING_STATUS=MR","SCALING_FORMAT=MLN","Sort=A","Dates=H","DateFormat=P","Fill=—","Direction=H","UseDPDF=Y")</f>
        <v>376</v>
      </c>
      <c r="AI14" s="12">
        <f>_xll.BDH("WMT US Equity","CF_CHANGE_IN_INVENTORIES","FQ3 2024","FQ3 2024","Currency=USD","Period=FQ","BEST_FPERIOD_OVERRIDE=FQ","FILING_STATUS=MR","SCALING_FORMAT=MLN","Sort=A","Dates=H","DateFormat=P","Fill=—","Direction=H","UseDPDF=Y")</f>
        <v>-7543</v>
      </c>
      <c r="AJ14" s="12">
        <f>_xll.BDH("WMT US Equity","CF_CHANGE_IN_INVENTORIES","FQ4 2024","FQ4 2024","Currency=USD","Period=FQ","BEST_FPERIOD_OVERRIDE=FQ","FILING_STATUS=MR","SCALING_FORMAT=MLN","Sort=A","Dates=H","DateFormat=P","Fill=—","Direction=H","UseDPDF=Y")</f>
        <v>9338</v>
      </c>
      <c r="AK14" s="12">
        <f>_xll.BDH("WMT US Equity","CF_CHANGE_IN_INVENTORIES","FQ1 2025","FQ1 2025","Currency=USD","Period=FQ","BEST_FPERIOD_OVERRIDE=FQ","FILING_STATUS=MR","SCALING_FORMAT=MLN","Sort=A","Dates=H","DateFormat=P","Fill=—","Direction=H","UseDPDF=Y")</f>
        <v>-529</v>
      </c>
      <c r="AL14" s="12">
        <f>_xll.BDH("WMT US Equity","CF_CHANGE_IN_INVENTORIES","FQ2 2025","FQ2 2025","Currency=USD","Period=FQ","BEST_FPERIOD_OVERRIDE=FQ","FILING_STATUS=MR","SCALING_FORMAT=MLN","Sort=A","Dates=H","DateFormat=P","Fill=—","Direction=H","UseDPDF=Y")</f>
        <v>-705</v>
      </c>
      <c r="AM14" s="12">
        <f>_xll.BDH("WMT US Equity","CF_CHANGE_IN_INVENTORIES","FQ3 2025","FQ3 2025","Currency=USD","Period=FQ","BEST_FPERIOD_OVERRIDE=FQ","FILING_STATUS=MR","SCALING_FORMAT=MLN","Sort=A","Dates=H","DateFormat=P","Fill=—","Direction=H","UseDPDF=Y")</f>
        <v>-7966</v>
      </c>
      <c r="AN14" s="12">
        <f>_xll.BDH("WMT US Equity","CF_CHANGE_IN_INVENTORIES","FQ4 2025","FQ4 2025","Currency=USD","Period=FQ","BEST_FPERIOD_OVERRIDE=FQ","FILING_STATUS=MR","SCALING_FORMAT=MLN","Sort=A","Dates=H","DateFormat=P","Fill=—","Direction=H","UseDPDF=Y")</f>
        <v>6445</v>
      </c>
      <c r="AO14" s="12">
        <f>_xll.BDH("WMT US Equity","CF_CHANGE_IN_INVENTORIES","FQ1 2026","FQ1 2026","Currency=USD","Period=FQ","BEST_FPERIOD_OVERRIDE=FQ","FILING_STATUS=MR","SCALING_FORMAT=MLN","Sort=A","Dates=H","DateFormat=P","Fill=—","Direction=H","UseDPDF=Y")</f>
        <v>-807</v>
      </c>
      <c r="AP14" s="12">
        <f>_xll.BDH("WMT US Equity","CF_CHANGE_IN_INVENTORIES","FQ2 2026","FQ2 2026","Currency=USD","Period=FQ","BEST_FPERIOD_OVERRIDE=FQ","FILING_STATUS=MR","SCALING_FORMAT=MLN","Sort=A","Dates=H","DateFormat=P","Fill=—","Direction=H","UseDPDF=Y")</f>
        <v>148</v>
      </c>
    </row>
    <row r="15" spans="1:42" x14ac:dyDescent="0.3">
      <c r="A15" s="10" t="s">
        <v>158</v>
      </c>
      <c r="B15" s="10" t="s">
        <v>93</v>
      </c>
      <c r="C15" s="12">
        <f>_xll.BDH("WMT US Equity","CF_CHANGE_IN_ACCOUNTS_PAYABLE","FQ3 2016","FQ3 2016","Currency=USD","Period=FQ","BEST_FPERIOD_OVERRIDE=FQ","FILING_STATUS=MR","SCALING_FORMAT=MLN","Sort=A","Dates=H","DateFormat=P","Fill=—","Direction=H","UseDPDF=Y")</f>
        <v>4165</v>
      </c>
      <c r="D15" s="12">
        <f>_xll.BDH("WMT US Equity","CF_CHANGE_IN_ACCOUNTS_PAYABLE","FQ4 2016","FQ4 2016","Currency=USD","Period=FQ","BEST_FPERIOD_OVERRIDE=FQ","FILING_STATUS=MR","SCALING_FORMAT=MLN","Sort=A","Dates=H","DateFormat=P","Fill=—","Direction=H","UseDPDF=Y")</f>
        <v>-1595</v>
      </c>
      <c r="E15" s="12">
        <f>_xll.BDH("WMT US Equity","CF_CHANGE_IN_ACCOUNTS_PAYABLE","FQ1 2017","FQ1 2017","Currency=USD","Period=FQ","BEST_FPERIOD_OVERRIDE=FQ","FILING_STATUS=MR","SCALING_FORMAT=MLN","Sort=A","Dates=H","DateFormat=P","Fill=—","Direction=H","UseDPDF=Y")</f>
        <v>-234</v>
      </c>
      <c r="F15" s="12">
        <f>_xll.BDH("WMT US Equity","CF_CHANGE_IN_ACCOUNTS_PAYABLE","FQ2 2017","FQ2 2017","Currency=USD","Period=FQ","BEST_FPERIOD_OVERRIDE=FQ","FILING_STATUS=MR","SCALING_FORMAT=MLN","Sort=A","Dates=H","DateFormat=P","Fill=—","Direction=H","UseDPDF=Y")</f>
        <v>2098</v>
      </c>
      <c r="G15" s="12">
        <f>_xll.BDH("WMT US Equity","CF_CHANGE_IN_ACCOUNTS_PAYABLE","FQ3 2017","FQ3 2017","Currency=USD","Period=FQ","BEST_FPERIOD_OVERRIDE=FQ","FILING_STATUS=MR","SCALING_FORMAT=MLN","Sort=A","Dates=H","DateFormat=P","Fill=—","Direction=H","UseDPDF=Y")</f>
        <v>3257</v>
      </c>
      <c r="H15" s="12">
        <f>_xll.BDH("WMT US Equity","CF_CHANGE_IN_ACCOUNTS_PAYABLE","FQ4 2017","FQ4 2017","Currency=USD","Period=FQ","BEST_FPERIOD_OVERRIDE=FQ","FILING_STATUS=MR","SCALING_FORMAT=MLN","Sort=A","Dates=H","DateFormat=P","Fill=—","Direction=H","UseDPDF=Y")</f>
        <v>-1179</v>
      </c>
      <c r="I15" s="12">
        <f>_xll.BDH("WMT US Equity","CF_CHANGE_IN_ACCOUNTS_PAYABLE","FQ1 2018","FQ1 2018","Currency=USD","Period=FQ","BEST_FPERIOD_OVERRIDE=FQ","FILING_STATUS=MR","SCALING_FORMAT=MLN","Sort=A","Dates=H","DateFormat=P","Fill=—","Direction=H","UseDPDF=Y")</f>
        <v>-155</v>
      </c>
      <c r="J15" s="12">
        <f>_xll.BDH("WMT US Equity","CF_CHANGE_IN_ACCOUNTS_PAYABLE","FQ2 2018","FQ2 2018","Currency=USD","Period=FQ","BEST_FPERIOD_OVERRIDE=FQ","FILING_STATUS=MR","SCALING_FORMAT=MLN","Sort=A","Dates=H","DateFormat=P","Fill=—","Direction=H","UseDPDF=Y")</f>
        <v>690</v>
      </c>
      <c r="K15" s="12">
        <f>_xll.BDH("WMT US Equity","CF_CHANGE_IN_ACCOUNTS_PAYABLE","FQ3 2018","FQ3 2018","Currency=USD","Period=FQ","BEST_FPERIOD_OVERRIDE=FQ","FILING_STATUS=MR","SCALING_FORMAT=MLN","Sort=A","Dates=H","DateFormat=P","Fill=—","Direction=H","UseDPDF=Y")</f>
        <v>5095</v>
      </c>
      <c r="L15" s="12">
        <f>_xll.BDH("WMT US Equity","CF_CHANGE_IN_ACCOUNTS_PAYABLE","FQ4 2018","FQ4 2018","Currency=USD","Period=FQ","BEST_FPERIOD_OVERRIDE=FQ","FILING_STATUS=MR","SCALING_FORMAT=MLN","Sort=A","Dates=H","DateFormat=P","Fill=—","Direction=H","UseDPDF=Y")</f>
        <v>-1544</v>
      </c>
      <c r="M15" s="12">
        <f>_xll.BDH("WMT US Equity","CF_CHANGE_IN_ACCOUNTS_PAYABLE","FQ1 2019","FQ1 2019","Currency=USD","Period=FQ","BEST_FPERIOD_OVERRIDE=FQ","FILING_STATUS=MR","SCALING_FORMAT=MLN","Sort=A","Dates=H","DateFormat=P","Fill=—","Direction=H","UseDPDF=Y")</f>
        <v>-1770</v>
      </c>
      <c r="N15" s="12">
        <f>_xll.BDH("WMT US Equity","CF_CHANGE_IN_ACCOUNTS_PAYABLE","FQ2 2019","FQ2 2019","Currency=USD","Period=FQ","BEST_FPERIOD_OVERRIDE=FQ","FILING_STATUS=MR","SCALING_FORMAT=MLN","Sort=A","Dates=H","DateFormat=P","Fill=—","Direction=H","UseDPDF=Y")</f>
        <v>182</v>
      </c>
      <c r="O15" s="12">
        <f>_xll.BDH("WMT US Equity","CF_CHANGE_IN_ACCOUNTS_PAYABLE","FQ3 2019","FQ3 2019","Currency=USD","Period=FQ","BEST_FPERIOD_OVERRIDE=FQ","FILING_STATUS=MR","SCALING_FORMAT=MLN","Sort=A","Dates=H","DateFormat=P","Fill=—","Direction=H","UseDPDF=Y")</f>
        <v>5725</v>
      </c>
      <c r="P15" s="12">
        <f>_xll.BDH("WMT US Equity","CF_CHANGE_IN_ACCOUNTS_PAYABLE","FQ4 2019","FQ4 2019","Currency=USD","Period=FQ","BEST_FPERIOD_OVERRIDE=FQ","FILING_STATUS=MR","SCALING_FORMAT=MLN","Sort=A","Dates=H","DateFormat=P","Fill=—","Direction=H","UseDPDF=Y")</f>
        <v>-2306</v>
      </c>
      <c r="Q15" s="12">
        <f>_xll.BDH("WMT US Equity","CF_CHANGE_IN_ACCOUNTS_PAYABLE","FQ1 2020","FQ1 2020","Currency=USD","Period=FQ","BEST_FPERIOD_OVERRIDE=FQ","FILING_STATUS=MR","SCALING_FORMAT=MLN","Sort=A","Dates=H","DateFormat=P","Fill=—","Direction=H","UseDPDF=Y")</f>
        <v>-1854</v>
      </c>
      <c r="R15" s="12">
        <f>_xll.BDH("WMT US Equity","CF_CHANGE_IN_ACCOUNTS_PAYABLE","FQ2 2020","FQ2 2020","Currency=USD","Period=FQ","BEST_FPERIOD_OVERRIDE=FQ","FILING_STATUS=MR","SCALING_FORMAT=MLN","Sort=A","Dates=H","DateFormat=P","Fill=—","Direction=H","UseDPDF=Y")</f>
        <v>612</v>
      </c>
      <c r="S15" s="12">
        <f>_xll.BDH("WMT US Equity","CF_CHANGE_IN_ACCOUNTS_PAYABLE","FQ3 2020","FQ3 2020","Currency=USD","Period=FQ","BEST_FPERIOD_OVERRIDE=FQ","FILING_STATUS=MR","SCALING_FORMAT=MLN","Sort=A","Dates=H","DateFormat=P","Fill=—","Direction=H","UseDPDF=Y")</f>
        <v>4167</v>
      </c>
      <c r="T15" s="12">
        <f>_xll.BDH("WMT US Equity","CF_CHANGE_IN_ACCOUNTS_PAYABLE","FQ4 2020","FQ4 2020","Currency=USD","Period=FQ","BEST_FPERIOD_OVERRIDE=FQ","FILING_STATUS=MR","SCALING_FORMAT=MLN","Sort=A","Dates=H","DateFormat=P","Fill=—","Direction=H","UseDPDF=Y")</f>
        <v>-3199</v>
      </c>
      <c r="U15" s="12">
        <f>_xll.BDH("WMT US Equity","CF_CHANGE_IN_ACCOUNTS_PAYABLE","FQ1 2021","FQ1 2021","Currency=USD","Period=FQ","BEST_FPERIOD_OVERRIDE=FQ","FILING_STATUS=MR","SCALING_FORMAT=MLN","Sort=A","Dates=H","DateFormat=P","Fill=—","Direction=H","UseDPDF=Y")</f>
        <v>-1183</v>
      </c>
      <c r="V15" s="12">
        <f>_xll.BDH("WMT US Equity","CF_CHANGE_IN_ACCOUNTS_PAYABLE","FQ2 2021","FQ2 2021","Currency=USD","Period=FQ","BEST_FPERIOD_OVERRIDE=FQ","FILING_STATUS=MR","SCALING_FORMAT=MLN","Sort=A","Dates=H","DateFormat=P","Fill=—","Direction=H","UseDPDF=Y")</f>
        <v>2235</v>
      </c>
      <c r="W15" s="12">
        <f>_xll.BDH("WMT US Equity","CF_CHANGE_IN_ACCOUNTS_PAYABLE","FQ3 2021","FQ3 2021","Currency=USD","Period=FQ","BEST_FPERIOD_OVERRIDE=FQ","FILING_STATUS=MR","SCALING_FORMAT=MLN","Sort=A","Dates=H","DateFormat=P","Fill=—","Direction=H","UseDPDF=Y")</f>
        <v>7501</v>
      </c>
      <c r="X15" s="12">
        <f>_xll.BDH("WMT US Equity","CF_CHANGE_IN_ACCOUNTS_PAYABLE","FQ4 2021","FQ4 2021","Currency=USD","Period=FQ","BEST_FPERIOD_OVERRIDE=FQ","FILING_STATUS=MR","SCALING_FORMAT=MLN","Sort=A","Dates=H","DateFormat=P","Fill=—","Direction=H","UseDPDF=Y")</f>
        <v>-1587</v>
      </c>
      <c r="Y15" s="12">
        <f>_xll.BDH("WMT US Equity","CF_CHANGE_IN_ACCOUNTS_PAYABLE","FQ1 2022","FQ1 2022","Currency=USD","Period=FQ","BEST_FPERIOD_OVERRIDE=FQ","FILING_STATUS=MR","SCALING_FORMAT=MLN","Sort=A","Dates=H","DateFormat=P","Fill=—","Direction=H","UseDPDF=Y")</f>
        <v>-1004</v>
      </c>
      <c r="Z15" s="12">
        <f>_xll.BDH("WMT US Equity","CF_CHANGE_IN_ACCOUNTS_PAYABLE","FQ2 2022","FQ2 2022","Currency=USD","Period=FQ","BEST_FPERIOD_OVERRIDE=FQ","FILING_STATUS=MR","SCALING_FORMAT=MLN","Sort=A","Dates=H","DateFormat=P","Fill=—","Direction=H","UseDPDF=Y")</f>
        <v>1123</v>
      </c>
      <c r="AA15" s="12">
        <f>_xll.BDH("WMT US Equity","CF_CHANGE_IN_ACCOUNTS_PAYABLE","FQ3 2022","FQ3 2022","Currency=USD","Period=FQ","BEST_FPERIOD_OVERRIDE=FQ","FILING_STATUS=MR","SCALING_FORMAT=MLN","Sort=A","Dates=H","DateFormat=P","Fill=—","Direction=H","UseDPDF=Y")</f>
        <v>7787</v>
      </c>
      <c r="AB15" s="12">
        <f>_xll.BDH("WMT US Equity","CF_CHANGE_IN_ACCOUNTS_PAYABLE","FQ4 2022","FQ4 2022","Currency=USD","Period=FQ","BEST_FPERIOD_OVERRIDE=FQ","FILING_STATUS=MR","SCALING_FORMAT=MLN","Sort=A","Dates=H","DateFormat=P","Fill=—","Direction=H","UseDPDF=Y")</f>
        <v>-2386</v>
      </c>
      <c r="AC15" s="12">
        <f>_xll.BDH("WMT US Equity","CF_CHANGE_IN_ACCOUNTS_PAYABLE","FQ1 2023","FQ1 2023","Currency=USD","Period=FQ","BEST_FPERIOD_OVERRIDE=FQ","FILING_STATUS=MR","SCALING_FORMAT=MLN","Sort=A","Dates=H","DateFormat=P","Fill=—","Direction=H","UseDPDF=Y")</f>
        <v>-1640</v>
      </c>
      <c r="AD15" s="12">
        <f>_xll.BDH("WMT US Equity","CF_CHANGE_IN_ACCOUNTS_PAYABLE","FQ2 2023","FQ2 2023","Currency=USD","Period=FQ","BEST_FPERIOD_OVERRIDE=FQ","FILING_STATUS=MR","SCALING_FORMAT=MLN","Sort=A","Dates=H","DateFormat=P","Fill=—","Direction=H","UseDPDF=Y")</f>
        <v>1187</v>
      </c>
      <c r="AE15" s="12">
        <f>_xll.BDH("WMT US Equity","CF_CHANGE_IN_ACCOUNTS_PAYABLE","FQ3 2023","FQ3 2023","Currency=USD","Period=FQ","BEST_FPERIOD_OVERRIDE=FQ","FILING_STATUS=MR","SCALING_FORMAT=MLN","Sort=A","Dates=H","DateFormat=P","Fill=—","Direction=H","UseDPDF=Y")</f>
        <v>3636</v>
      </c>
      <c r="AF15" s="12">
        <f>_xll.BDH("WMT US Equity","CF_CHANGE_IN_ACCOUNTS_PAYABLE","FQ4 2023","FQ4 2023","Currency=USD","Period=FQ","BEST_FPERIOD_OVERRIDE=FQ","FILING_STATUS=MR","SCALING_FORMAT=MLN","Sort=A","Dates=H","DateFormat=P","Fill=—","Direction=H","UseDPDF=Y")</f>
        <v>-4608</v>
      </c>
      <c r="AG15" s="12">
        <f>_xll.BDH("WMT US Equity","CF_CHANGE_IN_ACCOUNTS_PAYABLE","FQ1 2024","FQ1 2024","Currency=USD","Period=FQ","BEST_FPERIOD_OVERRIDE=FQ","FILING_STATUS=MR","SCALING_FORMAT=MLN","Sort=A","Dates=H","DateFormat=P","Fill=—","Direction=H","UseDPDF=Y")</f>
        <v>971</v>
      </c>
      <c r="AH15" s="12">
        <f>_xll.BDH("WMT US Equity","CF_CHANGE_IN_ACCOUNTS_PAYABLE","FQ2 2024","FQ2 2024","Currency=USD","Period=FQ","BEST_FPERIOD_OVERRIDE=FQ","FILING_STATUS=MR","SCALING_FORMAT=MLN","Sort=A","Dates=H","DateFormat=P","Fill=—","Direction=H","UseDPDF=Y")</f>
        <v>2028</v>
      </c>
      <c r="AI15" s="12">
        <f>_xll.BDH("WMT US Equity","CF_CHANGE_IN_ACCOUNTS_PAYABLE","FQ3 2024","FQ3 2024","Currency=USD","Period=FQ","BEST_FPERIOD_OVERRIDE=FQ","FILING_STATUS=MR","SCALING_FORMAT=MLN","Sort=A","Dates=H","DateFormat=P","Fill=—","Direction=H","UseDPDF=Y")</f>
        <v>4347</v>
      </c>
      <c r="AJ15" s="12">
        <f>_xll.BDH("WMT US Equity","CF_CHANGE_IN_ACCOUNTS_PAYABLE","FQ4 2024","FQ4 2024","Currency=USD","Period=FQ","BEST_FPERIOD_OVERRIDE=FQ","FILING_STATUS=MR","SCALING_FORMAT=MLN","Sort=A","Dates=H","DateFormat=P","Fill=—","Direction=H","UseDPDF=Y")</f>
        <v>-4831</v>
      </c>
      <c r="AK15" s="12">
        <f>_xll.BDH("WMT US Equity","CF_CHANGE_IN_ACCOUNTS_PAYABLE","FQ1 2025","FQ1 2025","Currency=USD","Period=FQ","BEST_FPERIOD_OVERRIDE=FQ","FILING_STATUS=MR","SCALING_FORMAT=MLN","Sort=A","Dates=H","DateFormat=P","Fill=—","Direction=H","UseDPDF=Y")</f>
        <v>213</v>
      </c>
      <c r="AL15" s="12">
        <f>_xll.BDH("WMT US Equity","CF_CHANGE_IN_ACCOUNTS_PAYABLE","FQ2 2025","FQ2 2025","Currency=USD","Period=FQ","BEST_FPERIOD_OVERRIDE=FQ","FILING_STATUS=MR","SCALING_FORMAT=MLN","Sort=A","Dates=H","DateFormat=P","Fill=—","Direction=H","UseDPDF=Y")</f>
        <v>953</v>
      </c>
      <c r="AM15" s="12">
        <f>_xll.BDH("WMT US Equity","CF_CHANGE_IN_ACCOUNTS_PAYABLE","FQ3 2025","FQ3 2025","Currency=USD","Period=FQ","BEST_FPERIOD_OVERRIDE=FQ","FILING_STATUS=MR","SCALING_FORMAT=MLN","Sort=A","Dates=H","DateFormat=P","Fill=—","Direction=H","UseDPDF=Y")</f>
        <v>6240</v>
      </c>
      <c r="AN15" s="12">
        <f>_xll.BDH("WMT US Equity","CF_CHANGE_IN_ACCOUNTS_PAYABLE","FQ4 2025","FQ4 2025","Currency=USD","Period=FQ","BEST_FPERIOD_OVERRIDE=FQ","FILING_STATUS=MR","SCALING_FORMAT=MLN","Sort=A","Dates=H","DateFormat=P","Fill=—","Direction=H","UseDPDF=Y")</f>
        <v>-4178</v>
      </c>
      <c r="AO15" s="12">
        <f>_xll.BDH("WMT US Equity","CF_CHANGE_IN_ACCOUNTS_PAYABLE","FQ1 2026","FQ1 2026","Currency=USD","Period=FQ","BEST_FPERIOD_OVERRIDE=FQ","FILING_STATUS=MR","SCALING_FORMAT=MLN","Sort=A","Dates=H","DateFormat=P","Fill=—","Direction=H","UseDPDF=Y")</f>
        <v>-310</v>
      </c>
      <c r="AP15" s="12">
        <f>_xll.BDH("WMT US Equity","CF_CHANGE_IN_ACCOUNTS_PAYABLE","FQ2 2026","FQ2 2026","Currency=USD","Period=FQ","BEST_FPERIOD_OVERRIDE=FQ","FILING_STATUS=MR","SCALING_FORMAT=MLN","Sort=A","Dates=H","DateFormat=P","Fill=—","Direction=H","UseDPDF=Y")</f>
        <v>1612</v>
      </c>
    </row>
    <row r="16" spans="1:42" x14ac:dyDescent="0.3">
      <c r="A16" s="10" t="s">
        <v>159</v>
      </c>
      <c r="B16" s="10" t="s">
        <v>94</v>
      </c>
      <c r="C16" s="12">
        <f>_xll.BDH("WMT US Equity","INC_DEC_IN_OT_OP_AST_LIAB_DETAIL","FQ3 2016","FQ3 2016","Currency=USD","Period=FQ","BEST_FPERIOD_OVERRIDE=FQ","FILING_STATUS=MR","SCALING_FORMAT=MLN","Sort=A","Dates=H","DateFormat=P","Fill=—","Direction=H","UseDPDF=Y")</f>
        <v>1748</v>
      </c>
      <c r="D16" s="12">
        <f>_xll.BDH("WMT US Equity","INC_DEC_IN_OT_OP_AST_LIAB_DETAIL","FQ4 2016","FQ4 2016","Currency=USD","Period=FQ","BEST_FPERIOD_OVERRIDE=FQ","FILING_STATUS=MR","SCALING_FORMAT=MLN","Sort=A","Dates=H","DateFormat=P","Fill=—","Direction=H","UseDPDF=Y")</f>
        <v>750</v>
      </c>
      <c r="E16" s="12">
        <f>_xll.BDH("WMT US Equity","INC_DEC_IN_OT_OP_AST_LIAB_DETAIL","FQ1 2017","FQ1 2017","Currency=USD","Period=FQ","BEST_FPERIOD_OVERRIDE=FQ","FILING_STATUS=MR","SCALING_FORMAT=MLN","Sort=A","Dates=H","DateFormat=P","Fill=—","Direction=H","UseDPDF=Y")</f>
        <v>220</v>
      </c>
      <c r="F16" s="12">
        <f>_xll.BDH("WMT US Equity","INC_DEC_IN_OT_OP_AST_LIAB_DETAIL","FQ2 2017","FQ2 2017","Currency=USD","Period=FQ","BEST_FPERIOD_OVERRIDE=FQ","FILING_STATUS=MR","SCALING_FORMAT=MLN","Sort=A","Dates=H","DateFormat=P","Fill=—","Direction=H","UseDPDF=Y")</f>
        <v>-333</v>
      </c>
      <c r="G16" s="12">
        <f>_xll.BDH("WMT US Equity","INC_DEC_IN_OT_OP_AST_LIAB_DETAIL","FQ3 2017","FQ3 2017","Currency=USD","Period=FQ","BEST_FPERIOD_OVERRIDE=FQ","FILING_STATUS=MR","SCALING_FORMAT=MLN","Sort=A","Dates=H","DateFormat=P","Fill=—","Direction=H","UseDPDF=Y")</f>
        <v>1557</v>
      </c>
      <c r="H16" s="12">
        <f>_xll.BDH("WMT US Equity","INC_DEC_IN_OT_OP_AST_LIAB_DETAIL","FQ4 2017","FQ4 2017","Currency=USD","Period=FQ","BEST_FPERIOD_OVERRIDE=FQ","FILING_STATUS=MR","SCALING_FORMAT=MLN","Sort=A","Dates=H","DateFormat=P","Fill=—","Direction=H","UseDPDF=Y")</f>
        <v>328</v>
      </c>
      <c r="I16" s="12">
        <f>_xll.BDH("WMT US Equity","INC_DEC_IN_OT_OP_AST_LIAB_DETAIL","FQ1 2018","FQ1 2018","Currency=USD","Period=FQ","BEST_FPERIOD_OVERRIDE=FQ","FILING_STATUS=MR","SCALING_FORMAT=MLN","Sort=A","Dates=H","DateFormat=P","Fill=—","Direction=H","UseDPDF=Y")</f>
        <v>-787</v>
      </c>
      <c r="J16" s="12">
        <f>_xll.BDH("WMT US Equity","INC_DEC_IN_OT_OP_AST_LIAB_DETAIL","FQ2 2018","FQ2 2018","Currency=USD","Period=FQ","BEST_FPERIOD_OVERRIDE=FQ","FILING_STATUS=MR","SCALING_FORMAT=MLN","Sort=A","Dates=H","DateFormat=P","Fill=—","Direction=H","UseDPDF=Y")</f>
        <v>-1497</v>
      </c>
      <c r="K16" s="12">
        <f>_xll.BDH("WMT US Equity","INC_DEC_IN_OT_OP_AST_LIAB_DETAIL","FQ3 2018","FQ3 2018","Currency=USD","Period=FQ","BEST_FPERIOD_OVERRIDE=FQ","FILING_STATUS=MR","SCALING_FORMAT=MLN","Sort=A","Dates=H","DateFormat=P","Fill=—","Direction=H","UseDPDF=Y")</f>
        <v>2195</v>
      </c>
      <c r="L16" s="12">
        <f>_xll.BDH("WMT US Equity","INC_DEC_IN_OT_OP_AST_LIAB_DETAIL","FQ4 2018","FQ4 2018","Currency=USD","Period=FQ","BEST_FPERIOD_OVERRIDE=FQ","FILING_STATUS=MR","SCALING_FORMAT=MLN","Sort=A","Dates=H","DateFormat=P","Fill=—","Direction=H","UseDPDF=Y")</f>
        <v>460</v>
      </c>
      <c r="M16" s="12">
        <f>_xll.BDH("WMT US Equity","INC_DEC_IN_OT_OP_AST_LIAB_DETAIL","FQ1 2019","FQ1 2019","Currency=USD","Period=FQ","BEST_FPERIOD_OVERRIDE=FQ","FILING_STATUS=MR","SCALING_FORMAT=MLN","Sort=A","Dates=H","DateFormat=P","Fill=—","Direction=H","UseDPDF=Y")</f>
        <v>-1764</v>
      </c>
      <c r="N16" s="12">
        <f>_xll.BDH("WMT US Equity","INC_DEC_IN_OT_OP_AST_LIAB_DETAIL","FQ2 2019","FQ2 2019","Currency=USD","Period=FQ","BEST_FPERIOD_OVERRIDE=FQ","FILING_STATUS=MR","SCALING_FORMAT=MLN","Sort=A","Dates=H","DateFormat=P","Fill=—","Direction=H","UseDPDF=Y")</f>
        <v>-178</v>
      </c>
      <c r="O16" s="12">
        <f>_xll.BDH("WMT US Equity","INC_DEC_IN_OT_OP_AST_LIAB_DETAIL","FQ3 2019","FQ3 2019","Currency=USD","Period=FQ","BEST_FPERIOD_OVERRIDE=FQ","FILING_STATUS=MR","SCALING_FORMAT=MLN","Sort=A","Dates=H","DateFormat=P","Fill=—","Direction=H","UseDPDF=Y")</f>
        <v>1939</v>
      </c>
      <c r="P16" s="12">
        <f>_xll.BDH("WMT US Equity","INC_DEC_IN_OT_OP_AST_LIAB_DETAIL","FQ4 2019","FQ4 2019","Currency=USD","Period=FQ","BEST_FPERIOD_OVERRIDE=FQ","FILING_STATUS=MR","SCALING_FORMAT=MLN","Sort=A","Dates=H","DateFormat=P","Fill=—","Direction=H","UseDPDF=Y")</f>
        <v>146</v>
      </c>
      <c r="Q16" s="12">
        <f>_xll.BDH("WMT US Equity","INC_DEC_IN_OT_OP_AST_LIAB_DETAIL","FQ1 2020","FQ1 2020","Currency=USD","Period=FQ","BEST_FPERIOD_OVERRIDE=FQ","FILING_STATUS=MR","SCALING_FORMAT=MLN","Sort=A","Dates=H","DateFormat=P","Fill=—","Direction=H","UseDPDF=Y")</f>
        <v>-1168</v>
      </c>
      <c r="R16" s="12">
        <f>_xll.BDH("WMT US Equity","INC_DEC_IN_OT_OP_AST_LIAB_DETAIL","FQ2 2020","FQ2 2020","Currency=USD","Period=FQ","BEST_FPERIOD_OVERRIDE=FQ","FILING_STATUS=MR","SCALING_FORMAT=MLN","Sort=A","Dates=H","DateFormat=P","Fill=—","Direction=H","UseDPDF=Y")</f>
        <v>-483</v>
      </c>
      <c r="S16" s="12">
        <f>_xll.BDH("WMT US Equity","INC_DEC_IN_OT_OP_AST_LIAB_DETAIL","FQ3 2020","FQ3 2020","Currency=USD","Period=FQ","BEST_FPERIOD_OVERRIDE=FQ","FILING_STATUS=MR","SCALING_FORMAT=MLN","Sort=A","Dates=H","DateFormat=P","Fill=—","Direction=H","UseDPDF=Y")</f>
        <v>496</v>
      </c>
      <c r="T16" s="12">
        <f>_xll.BDH("WMT US Equity","INC_DEC_IN_OT_OP_AST_LIAB_DETAIL","FQ4 2020","FQ4 2020","Currency=USD","Period=FQ","BEST_FPERIOD_OVERRIDE=FQ","FILING_STATUS=MR","SCALING_FORMAT=MLN","Sort=A","Dates=H","DateFormat=P","Fill=—","Direction=H","UseDPDF=Y")</f>
        <v>1248</v>
      </c>
      <c r="U16" s="12">
        <f>_xll.BDH("WMT US Equity","INC_DEC_IN_OT_OP_AST_LIAB_DETAIL","FQ1 2021","FQ1 2021","Currency=USD","Period=FQ","BEST_FPERIOD_OVERRIDE=FQ","FILING_STATUS=MR","SCALING_FORMAT=MLN","Sort=A","Dates=H","DateFormat=P","Fill=—","Direction=H","UseDPDF=Y")</f>
        <v>-1060</v>
      </c>
      <c r="V16" s="12">
        <f>_xll.BDH("WMT US Equity","INC_DEC_IN_OT_OP_AST_LIAB_DETAIL","FQ2 2021","FQ2 2021","Currency=USD","Period=FQ","BEST_FPERIOD_OVERRIDE=FQ","FILING_STATUS=MR","SCALING_FORMAT=MLN","Sort=A","Dates=H","DateFormat=P","Fill=—","Direction=H","UseDPDF=Y")</f>
        <v>2792</v>
      </c>
      <c r="W16" s="12">
        <f>_xll.BDH("WMT US Equity","INC_DEC_IN_OT_OP_AST_LIAB_DETAIL","FQ3 2021","FQ3 2021","Currency=USD","Period=FQ","BEST_FPERIOD_OVERRIDE=FQ","FILING_STATUS=MR","SCALING_FORMAT=MLN","Sort=A","Dates=H","DateFormat=P","Fill=—","Direction=H","UseDPDF=Y")</f>
        <v>322</v>
      </c>
      <c r="X16" s="12">
        <f>_xll.BDH("WMT US Equity","INC_DEC_IN_OT_OP_AST_LIAB_DETAIL","FQ4 2021","FQ4 2021","Currency=USD","Period=FQ","BEST_FPERIOD_OVERRIDE=FQ","FILING_STATUS=MR","SCALING_FORMAT=MLN","Sort=A","Dates=H","DateFormat=P","Fill=—","Direction=H","UseDPDF=Y")</f>
        <v>2433</v>
      </c>
      <c r="Y16" s="12">
        <f>_xll.BDH("WMT US Equity","INC_DEC_IN_OT_OP_AST_LIAB_DETAIL","FQ1 2022","FQ1 2022","Currency=USD","Period=FQ","BEST_FPERIOD_OVERRIDE=FQ","FILING_STATUS=MR","SCALING_FORMAT=MLN","Sort=A","Dates=H","DateFormat=P","Fill=—","Direction=H","UseDPDF=Y")</f>
        <v>-3576</v>
      </c>
      <c r="Z16" s="12">
        <f>_xll.BDH("WMT US Equity","INC_DEC_IN_OT_OP_AST_LIAB_DETAIL","FQ2 2022","FQ2 2022","Currency=USD","Period=FQ","BEST_FPERIOD_OVERRIDE=FQ","FILING_STATUS=MR","SCALING_FORMAT=MLN","Sort=A","Dates=H","DateFormat=P","Fill=—","Direction=H","UseDPDF=Y")</f>
        <v>2003</v>
      </c>
      <c r="AA16" s="12">
        <f>_xll.BDH("WMT US Equity","INC_DEC_IN_OT_OP_AST_LIAB_DETAIL","FQ3 2022","FQ3 2022","Currency=USD","Period=FQ","BEST_FPERIOD_OVERRIDE=FQ","FILING_STATUS=MR","SCALING_FORMAT=MLN","Sort=A","Dates=H","DateFormat=P","Fill=—","Direction=H","UseDPDF=Y")</f>
        <v>875</v>
      </c>
      <c r="AB16" s="12">
        <f>_xll.BDH("WMT US Equity","INC_DEC_IN_OT_OP_AST_LIAB_DETAIL","FQ4 2022","FQ4 2022","Currency=USD","Period=FQ","BEST_FPERIOD_OVERRIDE=FQ","FILING_STATUS=MR","SCALING_FORMAT=MLN","Sort=A","Dates=H","DateFormat=P","Fill=—","Direction=H","UseDPDF=Y")</f>
        <v>2141</v>
      </c>
      <c r="AC16" s="12">
        <f>_xll.BDH("WMT US Equity","INC_DEC_IN_OT_OP_AST_LIAB_DETAIL","FQ1 2023","FQ1 2023","Currency=USD","Period=FQ","BEST_FPERIOD_OVERRIDE=FQ","FILING_STATUS=MR","SCALING_FORMAT=MLN","Sort=A","Dates=H","DateFormat=P","Fill=—","Direction=H","UseDPDF=Y")</f>
        <v>-4900</v>
      </c>
      <c r="AD16" s="12">
        <f>_xll.BDH("WMT US Equity","INC_DEC_IN_OT_OP_AST_LIAB_DETAIL","FQ2 2023","FQ2 2023","Currency=USD","Period=FQ","BEST_FPERIOD_OVERRIDE=FQ","FILING_STATUS=MR","SCALING_FORMAT=MLN","Sort=A","Dates=H","DateFormat=P","Fill=—","Direction=H","UseDPDF=Y")</f>
        <v>2477</v>
      </c>
      <c r="AE16" s="12">
        <f>_xll.BDH("WMT US Equity","INC_DEC_IN_OT_OP_AST_LIAB_DETAIL","FQ3 2023","FQ3 2023","Currency=USD","Period=FQ","BEST_FPERIOD_OVERRIDE=FQ","FILING_STATUS=MR","SCALING_FORMAT=MLN","Sort=A","Dates=H","DateFormat=P","Fill=—","Direction=H","UseDPDF=Y")</f>
        <v>3828</v>
      </c>
      <c r="AF16" s="12">
        <f>_xll.BDH("WMT US Equity","INC_DEC_IN_OT_OP_AST_LIAB_DETAIL","FQ4 2023","FQ4 2023","Currency=USD","Period=FQ","BEST_FPERIOD_OVERRIDE=FQ","FILING_STATUS=MR","SCALING_FORMAT=MLN","Sort=A","Dates=H","DateFormat=P","Fill=—","Direction=H","UseDPDF=Y")</f>
        <v>2861</v>
      </c>
      <c r="AG16" s="12">
        <f>_xll.BDH("WMT US Equity","INC_DEC_IN_OT_OP_AST_LIAB_DETAIL","FQ1 2024","FQ1 2024","Currency=USD","Period=FQ","BEST_FPERIOD_OVERRIDE=FQ","FILING_STATUS=MR","SCALING_FORMAT=MLN","Sort=A","Dates=H","DateFormat=P","Fill=—","Direction=H","UseDPDF=Y")</f>
        <v>-3887</v>
      </c>
      <c r="AH16" s="12">
        <f>_xll.BDH("WMT US Equity","INC_DEC_IN_OT_OP_AST_LIAB_DETAIL","FQ2 2024","FQ2 2024","Currency=USD","Period=FQ","BEST_FPERIOD_OVERRIDE=FQ","FILING_STATUS=MR","SCALING_FORMAT=MLN","Sort=A","Dates=H","DateFormat=P","Fill=—","Direction=H","UseDPDF=Y")</f>
        <v>2541</v>
      </c>
      <c r="AI16" s="12">
        <f>_xll.BDH("WMT US Equity","INC_DEC_IN_OT_OP_AST_LIAB_DETAIL","FQ3 2024","FQ3 2024","Currency=USD","Period=FQ","BEST_FPERIOD_OVERRIDE=FQ","FILING_STATUS=MR","SCALING_FORMAT=MLN","Sort=A","Dates=H","DateFormat=P","Fill=—","Direction=H","UseDPDF=Y")</f>
        <v>-3093</v>
      </c>
      <c r="AJ16" s="12">
        <f>_xll.BDH("WMT US Equity","INC_DEC_IN_OT_OP_AST_LIAB_DETAIL","FQ4 2024","FQ4 2024","Currency=USD","Period=FQ","BEST_FPERIOD_OVERRIDE=FQ","FILING_STATUS=MR","SCALING_FORMAT=MLN","Sort=A","Dates=H","DateFormat=P","Fill=—","Direction=H","UseDPDF=Y")</f>
        <v>2647</v>
      </c>
      <c r="AK16" s="12">
        <f>_xll.BDH("WMT US Equity","INC_DEC_IN_OT_OP_AST_LIAB_DETAIL","FQ1 2025","FQ1 2025","Currency=USD","Period=FQ","BEST_FPERIOD_OVERRIDE=FQ","FILING_STATUS=MR","SCALING_FORMAT=MLN","Sort=A","Dates=H","DateFormat=P","Fill=—","Direction=H","UseDPDF=Y")</f>
        <v>-3686</v>
      </c>
      <c r="AL16" s="12">
        <f>_xll.BDH("WMT US Equity","INC_DEC_IN_OT_OP_AST_LIAB_DETAIL","FQ2 2025","FQ2 2025","Currency=USD","Period=FQ","BEST_FPERIOD_OVERRIDE=FQ","FILING_STATUS=MR","SCALING_FORMAT=MLN","Sort=A","Dates=H","DateFormat=P","Fill=—","Direction=H","UseDPDF=Y")</f>
        <v>2533</v>
      </c>
      <c r="AM16" s="12">
        <f>_xll.BDH("WMT US Equity","INC_DEC_IN_OT_OP_AST_LIAB_DETAIL","FQ3 2025","FQ3 2025","Currency=USD","Period=FQ","BEST_FPERIOD_OVERRIDE=FQ","FILING_STATUS=MR","SCALING_FORMAT=MLN","Sort=A","Dates=H","DateFormat=P","Fill=—","Direction=H","UseDPDF=Y")</f>
        <v>835</v>
      </c>
      <c r="AN16" s="12">
        <f>_xll.BDH("WMT US Equity","INC_DEC_IN_OT_OP_AST_LIAB_DETAIL","FQ4 2025","FQ4 2025","Currency=USD","Period=FQ","BEST_FPERIOD_OVERRIDE=FQ","FILING_STATUS=MR","SCALING_FORMAT=MLN","Sort=A","Dates=H","DateFormat=P","Fill=—","Direction=H","UseDPDF=Y")</f>
        <v>1132</v>
      </c>
      <c r="AO16" s="12">
        <f>_xll.BDH("WMT US Equity","INC_DEC_IN_OT_OP_AST_LIAB_DETAIL","FQ1 2026","FQ1 2026","Currency=USD","Period=FQ","BEST_FPERIOD_OVERRIDE=FQ","FILING_STATUS=MR","SCALING_FORMAT=MLN","Sort=A","Dates=H","DateFormat=P","Fill=—","Direction=H","UseDPDF=Y")</f>
        <v>-2724</v>
      </c>
      <c r="AP16" s="12">
        <f>_xll.BDH("WMT US Equity","INC_DEC_IN_OT_OP_AST_LIAB_DETAIL","FQ2 2026","FQ2 2026","Currency=USD","Period=FQ","BEST_FPERIOD_OVERRIDE=FQ","FILING_STATUS=MR","SCALING_FORMAT=MLN","Sort=A","Dates=H","DateFormat=P","Fill=—","Direction=H","UseDPDF=Y")</f>
        <v>1337</v>
      </c>
    </row>
    <row r="17" spans="1:42" x14ac:dyDescent="0.3">
      <c r="A17" s="10" t="s">
        <v>160</v>
      </c>
      <c r="B17" s="10" t="s">
        <v>95</v>
      </c>
      <c r="C17" s="12">
        <f>_xll.BDH("WMT US Equity","CF_NET_CASH_DISCONT_OPS_OPER","FQ3 2016","FQ3 2016","Currency=USD","Period=FQ","BEST_FPERIOD_OVERRIDE=FQ","FILING_STATUS=MR","SCALING_FORMAT=MLN","Sort=A","Dates=H","DateFormat=P","Fill=—","Direction=H","UseDPDF=Y")</f>
        <v>0</v>
      </c>
      <c r="D17" s="12">
        <f>_xll.BDH("WMT US Equity","CF_NET_CASH_DISCONT_OPS_OPER","FQ4 2016","FQ4 2016","Currency=USD","Period=FQ","BEST_FPERIOD_OVERRIDE=FQ","FILING_STATUS=MR","SCALING_FORMAT=MLN","Sort=A","Dates=H","DateFormat=P","Fill=—","Direction=H","UseDPDF=Y")</f>
        <v>0</v>
      </c>
      <c r="E17" s="12">
        <f>_xll.BDH("WMT US Equity","CF_NET_CASH_DISCONT_OPS_OPER","FQ1 2017","FQ1 2017","Currency=USD","Period=FQ","BEST_FPERIOD_OVERRIDE=FQ","FILING_STATUS=MR","SCALING_FORMAT=MLN","Sort=A","Dates=H","DateFormat=P","Fill=—","Direction=H","UseDPDF=Y")</f>
        <v>0</v>
      </c>
      <c r="F17" s="12">
        <f>_xll.BDH("WMT US Equity","CF_NET_CASH_DISCONT_OPS_OPER","FQ2 2017","FQ2 2017","Currency=USD","Period=FQ","BEST_FPERIOD_OVERRIDE=FQ","FILING_STATUS=MR","SCALING_FORMAT=MLN","Sort=A","Dates=H","DateFormat=P","Fill=—","Direction=H","UseDPDF=Y")</f>
        <v>0</v>
      </c>
      <c r="G17" s="12">
        <f>_xll.BDH("WMT US Equity","CF_NET_CASH_DISCONT_OPS_OPER","FQ3 2017","FQ3 2017","Currency=USD","Period=FQ","BEST_FPERIOD_OVERRIDE=FQ","FILING_STATUS=MR","SCALING_FORMAT=MLN","Sort=A","Dates=H","DateFormat=P","Fill=—","Direction=H","UseDPDF=Y")</f>
        <v>0</v>
      </c>
      <c r="H17" s="12">
        <f>_xll.BDH("WMT US Equity","CF_NET_CASH_DISCONT_OPS_OPER","FQ4 2017","FQ4 2017","Currency=USD","Period=FQ","BEST_FPERIOD_OVERRIDE=FQ","FILING_STATUS=MR","SCALING_FORMAT=MLN","Sort=A","Dates=H","DateFormat=P","Fill=—","Direction=H","UseDPDF=Y")</f>
        <v>0</v>
      </c>
      <c r="I17" s="12">
        <f>_xll.BDH("WMT US Equity","CF_NET_CASH_DISCONT_OPS_OPER","FQ1 2018","FQ1 2018","Currency=USD","Period=FQ","BEST_FPERIOD_OVERRIDE=FQ","FILING_STATUS=MR","SCALING_FORMAT=MLN","Sort=A","Dates=H","DateFormat=P","Fill=—","Direction=H","UseDPDF=Y")</f>
        <v>0</v>
      </c>
      <c r="J17" s="12">
        <f>_xll.BDH("WMT US Equity","CF_NET_CASH_DISCONT_OPS_OPER","FQ2 2018","FQ2 2018","Currency=USD","Period=FQ","BEST_FPERIOD_OVERRIDE=FQ","FILING_STATUS=MR","SCALING_FORMAT=MLN","Sort=A","Dates=H","DateFormat=P","Fill=—","Direction=H","UseDPDF=Y")</f>
        <v>0</v>
      </c>
      <c r="K17" s="12">
        <f>_xll.BDH("WMT US Equity","CF_NET_CASH_DISCONT_OPS_OPER","FQ3 2018","FQ3 2018","Currency=USD","Period=FQ","BEST_FPERIOD_OVERRIDE=FQ","FILING_STATUS=MR","SCALING_FORMAT=MLN","Sort=A","Dates=H","DateFormat=P","Fill=—","Direction=H","UseDPDF=Y")</f>
        <v>0</v>
      </c>
      <c r="L17" s="12">
        <f>_xll.BDH("WMT US Equity","CF_NET_CASH_DISCONT_OPS_OPER","FQ4 2018","FQ4 2018","Currency=USD","Period=FQ","BEST_FPERIOD_OVERRIDE=FQ","FILING_STATUS=MR","SCALING_FORMAT=MLN","Sort=A","Dates=H","DateFormat=P","Fill=—","Direction=H","UseDPDF=Y")</f>
        <v>0</v>
      </c>
      <c r="M17" s="12">
        <f>_xll.BDH("WMT US Equity","CF_NET_CASH_DISCONT_OPS_OPER","FQ1 2019","FQ1 2019","Currency=USD","Period=FQ","BEST_FPERIOD_OVERRIDE=FQ","FILING_STATUS=MR","SCALING_FORMAT=MLN","Sort=A","Dates=H","DateFormat=P","Fill=—","Direction=H","UseDPDF=Y")</f>
        <v>0</v>
      </c>
      <c r="N17" s="12">
        <f>_xll.BDH("WMT US Equity","CF_NET_CASH_DISCONT_OPS_OPER","FQ2 2019","FQ2 2019","Currency=USD","Period=FQ","BEST_FPERIOD_OVERRIDE=FQ","FILING_STATUS=MR","SCALING_FORMAT=MLN","Sort=A","Dates=H","DateFormat=P","Fill=—","Direction=H","UseDPDF=Y")</f>
        <v>0</v>
      </c>
      <c r="O17" s="12">
        <f>_xll.BDH("WMT US Equity","CF_NET_CASH_DISCONT_OPS_OPER","FQ3 2019","FQ3 2019","Currency=USD","Period=FQ","BEST_FPERIOD_OVERRIDE=FQ","FILING_STATUS=MR","SCALING_FORMAT=MLN","Sort=A","Dates=H","DateFormat=P","Fill=—","Direction=H","UseDPDF=Y")</f>
        <v>0</v>
      </c>
      <c r="P17" s="12">
        <f>_xll.BDH("WMT US Equity","CF_NET_CASH_DISCONT_OPS_OPER","FQ4 2019","FQ4 2019","Currency=USD","Period=FQ","BEST_FPERIOD_OVERRIDE=FQ","FILING_STATUS=MR","SCALING_FORMAT=MLN","Sort=A","Dates=H","DateFormat=P","Fill=—","Direction=H","UseDPDF=Y")</f>
        <v>0</v>
      </c>
      <c r="Q17" s="12">
        <f>_xll.BDH("WMT US Equity","CF_NET_CASH_DISCONT_OPS_OPER","FQ1 2020","FQ1 2020","Currency=USD","Period=FQ","BEST_FPERIOD_OVERRIDE=FQ","FILING_STATUS=MR","SCALING_FORMAT=MLN","Sort=A","Dates=H","DateFormat=P","Fill=—","Direction=H","UseDPDF=Y")</f>
        <v>0</v>
      </c>
      <c r="R17" s="12">
        <f>_xll.BDH("WMT US Equity","CF_NET_CASH_DISCONT_OPS_OPER","FQ2 2020","FQ2 2020","Currency=USD","Period=FQ","BEST_FPERIOD_OVERRIDE=FQ","FILING_STATUS=MR","SCALING_FORMAT=MLN","Sort=A","Dates=H","DateFormat=P","Fill=—","Direction=H","UseDPDF=Y")</f>
        <v>0</v>
      </c>
      <c r="S17" s="12">
        <f>_xll.BDH("WMT US Equity","CF_NET_CASH_DISCONT_OPS_OPER","FQ3 2020","FQ3 2020","Currency=USD","Period=FQ","BEST_FPERIOD_OVERRIDE=FQ","FILING_STATUS=MR","SCALING_FORMAT=MLN","Sort=A","Dates=H","DateFormat=P","Fill=—","Direction=H","UseDPDF=Y")</f>
        <v>0</v>
      </c>
      <c r="T17" s="12">
        <f>_xll.BDH("WMT US Equity","CF_NET_CASH_DISCONT_OPS_OPER","FQ4 2020","FQ4 2020","Currency=USD","Period=FQ","BEST_FPERIOD_OVERRIDE=FQ","FILING_STATUS=MR","SCALING_FORMAT=MLN","Sort=A","Dates=H","DateFormat=P","Fill=—","Direction=H","UseDPDF=Y")</f>
        <v>0</v>
      </c>
      <c r="U17" s="12">
        <f>_xll.BDH("WMT US Equity","CF_NET_CASH_DISCONT_OPS_OPER","FQ1 2021","FQ1 2021","Currency=USD","Period=FQ","BEST_FPERIOD_OVERRIDE=FQ","FILING_STATUS=MR","SCALING_FORMAT=MLN","Sort=A","Dates=H","DateFormat=P","Fill=—","Direction=H","UseDPDF=Y")</f>
        <v>0</v>
      </c>
      <c r="V17" s="12">
        <f>_xll.BDH("WMT US Equity","CF_NET_CASH_DISCONT_OPS_OPER","FQ2 2021","FQ2 2021","Currency=USD","Period=FQ","BEST_FPERIOD_OVERRIDE=FQ","FILING_STATUS=MR","SCALING_FORMAT=MLN","Sort=A","Dates=H","DateFormat=P","Fill=—","Direction=H","UseDPDF=Y")</f>
        <v>0</v>
      </c>
      <c r="W17" s="12">
        <f>_xll.BDH("WMT US Equity","CF_NET_CASH_DISCONT_OPS_OPER","FQ3 2021","FQ3 2021","Currency=USD","Period=FQ","BEST_FPERIOD_OVERRIDE=FQ","FILING_STATUS=MR","SCALING_FORMAT=MLN","Sort=A","Dates=H","DateFormat=P","Fill=—","Direction=H","UseDPDF=Y")</f>
        <v>0</v>
      </c>
      <c r="X17" s="12">
        <f>_xll.BDH("WMT US Equity","CF_NET_CASH_DISCONT_OPS_OPER","FQ4 2021","FQ4 2021","Currency=USD","Period=FQ","BEST_FPERIOD_OVERRIDE=FQ","FILING_STATUS=MR","SCALING_FORMAT=MLN","Sort=A","Dates=H","DateFormat=P","Fill=—","Direction=H","UseDPDF=Y")</f>
        <v>0</v>
      </c>
      <c r="Y17" s="12">
        <f>_xll.BDH("WMT US Equity","CF_NET_CASH_DISCONT_OPS_OPER","FQ1 2022","FQ1 2022","Currency=USD","Period=FQ","BEST_FPERIOD_OVERRIDE=FQ","FILING_STATUS=MR","SCALING_FORMAT=MLN","Sort=A","Dates=H","DateFormat=P","Fill=—","Direction=H","UseDPDF=Y")</f>
        <v>0</v>
      </c>
      <c r="Z17" s="12">
        <f>_xll.BDH("WMT US Equity","CF_NET_CASH_DISCONT_OPS_OPER","FQ2 2022","FQ2 2022","Currency=USD","Period=FQ","BEST_FPERIOD_OVERRIDE=FQ","FILING_STATUS=MR","SCALING_FORMAT=MLN","Sort=A","Dates=H","DateFormat=P","Fill=—","Direction=H","UseDPDF=Y")</f>
        <v>0</v>
      </c>
      <c r="AA17" s="12">
        <f>_xll.BDH("WMT US Equity","CF_NET_CASH_DISCONT_OPS_OPER","FQ3 2022","FQ3 2022","Currency=USD","Period=FQ","BEST_FPERIOD_OVERRIDE=FQ","FILING_STATUS=MR","SCALING_FORMAT=MLN","Sort=A","Dates=H","DateFormat=P","Fill=—","Direction=H","UseDPDF=Y")</f>
        <v>0</v>
      </c>
      <c r="AB17" s="12">
        <f>_xll.BDH("WMT US Equity","CF_NET_CASH_DISCONT_OPS_OPER","FQ4 2022","FQ4 2022","Currency=USD","Period=FQ","BEST_FPERIOD_OVERRIDE=FQ","FILING_STATUS=MR","SCALING_FORMAT=MLN","Sort=A","Dates=H","DateFormat=P","Fill=—","Direction=H","UseDPDF=Y")</f>
        <v>0</v>
      </c>
      <c r="AC17" s="12">
        <f>_xll.BDH("WMT US Equity","CF_NET_CASH_DISCONT_OPS_OPER","FQ1 2023","FQ1 2023","Currency=USD","Period=FQ","BEST_FPERIOD_OVERRIDE=FQ","FILING_STATUS=MR","SCALING_FORMAT=MLN","Sort=A","Dates=H","DateFormat=P","Fill=—","Direction=H","UseDPDF=Y")</f>
        <v>0</v>
      </c>
      <c r="AD17" s="12">
        <f>_xll.BDH("WMT US Equity","CF_NET_CASH_DISCONT_OPS_OPER","FQ2 2023","FQ2 2023","Currency=USD","Period=FQ","BEST_FPERIOD_OVERRIDE=FQ","FILING_STATUS=MR","SCALING_FORMAT=MLN","Sort=A","Dates=H","DateFormat=P","Fill=—","Direction=H","UseDPDF=Y")</f>
        <v>0</v>
      </c>
      <c r="AE17" s="12">
        <f>_xll.BDH("WMT US Equity","CF_NET_CASH_DISCONT_OPS_OPER","FQ3 2023","FQ3 2023","Currency=USD","Period=FQ","BEST_FPERIOD_OVERRIDE=FQ","FILING_STATUS=MR","SCALING_FORMAT=MLN","Sort=A","Dates=H","DateFormat=P","Fill=—","Direction=H","UseDPDF=Y")</f>
        <v>0</v>
      </c>
      <c r="AF17" s="12">
        <f>_xll.BDH("WMT US Equity","CF_NET_CASH_DISCONT_OPS_OPER","FQ4 2023","FQ4 2023","Currency=USD","Period=FQ","BEST_FPERIOD_OVERRIDE=FQ","FILING_STATUS=MR","SCALING_FORMAT=MLN","Sort=A","Dates=H","DateFormat=P","Fill=—","Direction=H","UseDPDF=Y")</f>
        <v>0</v>
      </c>
      <c r="AG17" s="12">
        <f>_xll.BDH("WMT US Equity","CF_NET_CASH_DISCONT_OPS_OPER","FQ1 2024","FQ1 2024","Currency=USD","Period=FQ","BEST_FPERIOD_OVERRIDE=FQ","FILING_STATUS=MR","SCALING_FORMAT=MLN","Sort=A","Dates=H","DateFormat=P","Fill=—","Direction=H","UseDPDF=Y")</f>
        <v>0</v>
      </c>
      <c r="AH17" s="12">
        <f>_xll.BDH("WMT US Equity","CF_NET_CASH_DISCONT_OPS_OPER","FQ2 2024","FQ2 2024","Currency=USD","Period=FQ","BEST_FPERIOD_OVERRIDE=FQ","FILING_STATUS=MR","SCALING_FORMAT=MLN","Sort=A","Dates=H","DateFormat=P","Fill=—","Direction=H","UseDPDF=Y")</f>
        <v>0</v>
      </c>
      <c r="AI17" s="12">
        <f>_xll.BDH("WMT US Equity","CF_NET_CASH_DISCONT_OPS_OPER","FQ3 2024","FQ3 2024","Currency=USD","Period=FQ","BEST_FPERIOD_OVERRIDE=FQ","FILING_STATUS=MR","SCALING_FORMAT=MLN","Sort=A","Dates=H","DateFormat=P","Fill=—","Direction=H","UseDPDF=Y")</f>
        <v>0</v>
      </c>
      <c r="AJ17" s="12">
        <f>_xll.BDH("WMT US Equity","CF_NET_CASH_DISCONT_OPS_OPER","FQ4 2024","FQ4 2024","Currency=USD","Period=FQ","BEST_FPERIOD_OVERRIDE=FQ","FILING_STATUS=MR","SCALING_FORMAT=MLN","Sort=A","Dates=H","DateFormat=P","Fill=—","Direction=H","UseDPDF=Y")</f>
        <v>0</v>
      </c>
      <c r="AK17" s="12">
        <f>_xll.BDH("WMT US Equity","CF_NET_CASH_DISCONT_OPS_OPER","FQ1 2025","FQ1 2025","Currency=USD","Period=FQ","BEST_FPERIOD_OVERRIDE=FQ","FILING_STATUS=MR","SCALING_FORMAT=MLN","Sort=A","Dates=H","DateFormat=P","Fill=—","Direction=H","UseDPDF=Y")</f>
        <v>0</v>
      </c>
      <c r="AL17" s="12">
        <f>_xll.BDH("WMT US Equity","CF_NET_CASH_DISCONT_OPS_OPER","FQ2 2025","FQ2 2025","Currency=USD","Period=FQ","BEST_FPERIOD_OVERRIDE=FQ","FILING_STATUS=MR","SCALING_FORMAT=MLN","Sort=A","Dates=H","DateFormat=P","Fill=—","Direction=H","UseDPDF=Y")</f>
        <v>0</v>
      </c>
      <c r="AM17" s="12">
        <f>_xll.BDH("WMT US Equity","CF_NET_CASH_DISCONT_OPS_OPER","FQ3 2025","FQ3 2025","Currency=USD","Period=FQ","BEST_FPERIOD_OVERRIDE=FQ","FILING_STATUS=MR","SCALING_FORMAT=MLN","Sort=A","Dates=H","DateFormat=P","Fill=—","Direction=H","UseDPDF=Y")</f>
        <v>0</v>
      </c>
      <c r="AN17" s="12">
        <f>_xll.BDH("WMT US Equity","CF_NET_CASH_DISCONT_OPS_OPER","FQ4 2025","FQ4 2025","Currency=USD","Period=FQ","BEST_FPERIOD_OVERRIDE=FQ","FILING_STATUS=MR","SCALING_FORMAT=MLN","Sort=A","Dates=H","DateFormat=P","Fill=—","Direction=H","UseDPDF=Y")</f>
        <v>0</v>
      </c>
      <c r="AO17" s="12">
        <f>_xll.BDH("WMT US Equity","CF_NET_CASH_DISCONT_OPS_OPER","FQ1 2026","FQ1 2026","Currency=USD","Period=FQ","BEST_FPERIOD_OVERRIDE=FQ","FILING_STATUS=MR","SCALING_FORMAT=MLN","Sort=A","Dates=H","DateFormat=P","Fill=—","Direction=H","UseDPDF=Y")</f>
        <v>0</v>
      </c>
      <c r="AP17" s="12">
        <f>_xll.BDH("WMT US Equity","CF_NET_CASH_DISCONT_OPS_OPER","FQ2 2026","FQ2 2026","Currency=USD","Period=FQ","BEST_FPERIOD_OVERRIDE=FQ","FILING_STATUS=MR","SCALING_FORMAT=MLN","Sort=A","Dates=H","DateFormat=P","Fill=—","Direction=H","UseDPDF=Y")</f>
        <v>0</v>
      </c>
    </row>
    <row r="18" spans="1:42" x14ac:dyDescent="0.3">
      <c r="A18" s="6" t="s">
        <v>84</v>
      </c>
      <c r="B18" s="6" t="s">
        <v>96</v>
      </c>
      <c r="C18" s="15">
        <f>_xll.BDH("WMT US Equity","CF_CASH_FROM_OPER","FQ3 2016","FQ3 2016","Currency=USD","Period=FQ","BEST_FPERIOD_OVERRIDE=FQ","FILING_STATUS=MR","SCALING_FORMAT=MLN","Sort=A","Dates=H","DateFormat=P","Fill=—","Direction=H","UseDPDF=Y")</f>
        <v>4903</v>
      </c>
      <c r="D18" s="15">
        <f>_xll.BDH("WMT US Equity","CF_CASH_FROM_OPER","FQ4 2016","FQ4 2016","Currency=USD","Period=FQ","BEST_FPERIOD_OVERRIDE=FQ","FILING_STATUS=MR","SCALING_FORMAT=MLN","Sort=A","Dates=H","DateFormat=P","Fill=—","Direction=H","UseDPDF=Y")</f>
        <v>12547</v>
      </c>
      <c r="E18" s="15">
        <f>_xll.BDH("WMT US Equity","CF_CASH_FROM_OPER","FQ1 2017","FQ1 2017","Currency=USD","Period=FQ","BEST_FPERIOD_OVERRIDE=FQ","FILING_STATUS=MR","SCALING_FORMAT=MLN","Sort=A","Dates=H","DateFormat=P","Fill=—","Direction=H","UseDPDF=Y")</f>
        <v>6193</v>
      </c>
      <c r="F18" s="15">
        <f>_xll.BDH("WMT US Equity","CF_CASH_FROM_OPER","FQ2 2017","FQ2 2017","Currency=USD","Period=FQ","BEST_FPERIOD_OVERRIDE=FQ","FILING_STATUS=MR","SCALING_FORMAT=MLN","Sort=A","Dates=H","DateFormat=P","Fill=—","Direction=H","UseDPDF=Y")</f>
        <v>8738</v>
      </c>
      <c r="G18" s="15">
        <f>_xll.BDH("WMT US Equity","CF_CASH_FROM_OPER","FQ3 2017","FQ3 2017","Currency=USD","Period=FQ","BEST_FPERIOD_OVERRIDE=FQ","FILING_STATUS=MR","SCALING_FORMAT=MLN","Sort=A","Dates=H","DateFormat=P","Fill=—","Direction=H","UseDPDF=Y")</f>
        <v>4850</v>
      </c>
      <c r="H18" s="15">
        <f>_xll.BDH("WMT US Equity","CF_CASH_FROM_OPER","FQ4 2017","FQ4 2017","Currency=USD","Period=FQ","BEST_FPERIOD_OVERRIDE=FQ","FILING_STATUS=MR","SCALING_FORMAT=MLN","Sort=A","Dates=H","DateFormat=P","Fill=—","Direction=H","UseDPDF=Y")</f>
        <v>11892</v>
      </c>
      <c r="I18" s="15">
        <f>_xll.BDH("WMT US Equity","CF_CASH_FROM_OPER","FQ1 2018","FQ1 2018","Currency=USD","Period=FQ","BEST_FPERIOD_OVERRIDE=FQ","FILING_STATUS=MR","SCALING_FORMAT=MLN","Sort=A","Dates=H","DateFormat=P","Fill=—","Direction=H","UseDPDF=Y")</f>
        <v>5385</v>
      </c>
      <c r="J18" s="15">
        <f>_xll.BDH("WMT US Equity","CF_CASH_FROM_OPER","FQ2 2018","FQ2 2018","Currency=USD","Period=FQ","BEST_FPERIOD_OVERRIDE=FQ","FILING_STATUS=MR","SCALING_FORMAT=MLN","Sort=A","Dates=H","DateFormat=P","Fill=—","Direction=H","UseDPDF=Y")</f>
        <v>5975</v>
      </c>
      <c r="K18" s="15">
        <f>_xll.BDH("WMT US Equity","CF_CASH_FROM_OPER","FQ3 2018","FQ3 2018","Currency=USD","Period=FQ","BEST_FPERIOD_OVERRIDE=FQ","FILING_STATUS=MR","SCALING_FORMAT=MLN","Sort=A","Dates=H","DateFormat=P","Fill=—","Direction=H","UseDPDF=Y")</f>
        <v>5700</v>
      </c>
      <c r="L18" s="15">
        <f>_xll.BDH("WMT US Equity","CF_CASH_FROM_OPER","FQ4 2018","FQ4 2018","Currency=USD","Period=FQ","BEST_FPERIOD_OVERRIDE=FQ","FILING_STATUS=MR","SCALING_FORMAT=MLN","Sort=A","Dates=H","DateFormat=P","Fill=—","Direction=H","UseDPDF=Y")</f>
        <v>11277</v>
      </c>
      <c r="M18" s="15">
        <f>_xll.BDH("WMT US Equity","CF_CASH_FROM_OPER","FQ1 2019","FQ1 2019","Currency=USD","Period=FQ","BEST_FPERIOD_OVERRIDE=FQ","FILING_STATUS=MR","SCALING_FORMAT=MLN","Sort=A","Dates=H","DateFormat=P","Fill=—","Direction=H","UseDPDF=Y")</f>
        <v>5161</v>
      </c>
      <c r="N18" s="15">
        <f>_xll.BDH("WMT US Equity","CF_CASH_FROM_OPER","FQ2 2019","FQ2 2019","Currency=USD","Period=FQ","BEST_FPERIOD_OVERRIDE=FQ","FILING_STATUS=MR","SCALING_FORMAT=MLN","Sort=A","Dates=H","DateFormat=P","Fill=—","Direction=H","UseDPDF=Y")</f>
        <v>5934</v>
      </c>
      <c r="O18" s="15">
        <f>_xll.BDH("WMT US Equity","CF_CASH_FROM_OPER","FQ3 2019","FQ3 2019","Currency=USD","Period=FQ","BEST_FPERIOD_OVERRIDE=FQ","FILING_STATUS=MR","SCALING_FORMAT=MLN","Sort=A","Dates=H","DateFormat=P","Fill=—","Direction=H","UseDPDF=Y")</f>
        <v>6213</v>
      </c>
      <c r="P18" s="15">
        <f>_xll.BDH("WMT US Equity","CF_CASH_FROM_OPER","FQ4 2019","FQ4 2019","Currency=USD","Period=FQ","BEST_FPERIOD_OVERRIDE=FQ","FILING_STATUS=MR","SCALING_FORMAT=MLN","Sort=A","Dates=H","DateFormat=P","Fill=—","Direction=H","UseDPDF=Y")</f>
        <v>10445</v>
      </c>
      <c r="Q18" s="15">
        <f>_xll.BDH("WMT US Equity","CF_CASH_FROM_OPER","FQ1 2020","FQ1 2020","Currency=USD","Period=FQ","BEST_FPERIOD_OVERRIDE=FQ","FILING_STATUS=MR","SCALING_FORMAT=MLN","Sort=A","Dates=H","DateFormat=P","Fill=—","Direction=H","UseDPDF=Y")</f>
        <v>3563</v>
      </c>
      <c r="R18" s="15">
        <f>_xll.BDH("WMT US Equity","CF_CASH_FROM_OPER","FQ2 2020","FQ2 2020","Currency=USD","Period=FQ","BEST_FPERIOD_OVERRIDE=FQ","FILING_STATUS=MR","SCALING_FORMAT=MLN","Sort=A","Dates=H","DateFormat=P","Fill=—","Direction=H","UseDPDF=Y")</f>
        <v>7622</v>
      </c>
      <c r="S18" s="15">
        <f>_xll.BDH("WMT US Equity","CF_CASH_FROM_OPER","FQ3 2020","FQ3 2020","Currency=USD","Period=FQ","BEST_FPERIOD_OVERRIDE=FQ","FILING_STATUS=MR","SCALING_FORMAT=MLN","Sort=A","Dates=H","DateFormat=P","Fill=—","Direction=H","UseDPDF=Y")</f>
        <v>3354</v>
      </c>
      <c r="T18" s="15">
        <f>_xll.BDH("WMT US Equity","CF_CASH_FROM_OPER","FQ4 2020","FQ4 2020","Currency=USD","Period=FQ","BEST_FPERIOD_OVERRIDE=FQ","FILING_STATUS=MR","SCALING_FORMAT=MLN","Sort=A","Dates=H","DateFormat=P","Fill=—","Direction=H","UseDPDF=Y")</f>
        <v>10716</v>
      </c>
      <c r="U18" s="15">
        <f>_xll.BDH("WMT US Equity","CF_CASH_FROM_OPER","FQ1 2021","FQ1 2021","Currency=USD","Period=FQ","BEST_FPERIOD_OVERRIDE=FQ","FILING_STATUS=MR","SCALING_FORMAT=MLN","Sort=A","Dates=H","DateFormat=P","Fill=—","Direction=H","UseDPDF=Y")</f>
        <v>7017</v>
      </c>
      <c r="V18" s="15">
        <f>_xll.BDH("WMT US Equity","CF_CASH_FROM_OPER","FQ2 2021","FQ2 2021","Currency=USD","Period=FQ","BEST_FPERIOD_OVERRIDE=FQ","FILING_STATUS=MR","SCALING_FORMAT=MLN","Sort=A","Dates=H","DateFormat=P","Fill=—","Direction=H","UseDPDF=Y")</f>
        <v>11939</v>
      </c>
      <c r="W18" s="15">
        <f>_xll.BDH("WMT US Equity","CF_CASH_FROM_OPER","FQ3 2021","FQ3 2021","Currency=USD","Period=FQ","BEST_FPERIOD_OVERRIDE=FQ","FILING_STATUS=MR","SCALING_FORMAT=MLN","Sort=A","Dates=H","DateFormat=P","Fill=—","Direction=H","UseDPDF=Y")</f>
        <v>3924</v>
      </c>
      <c r="X18" s="15">
        <f>_xll.BDH("WMT US Equity","CF_CASH_FROM_OPER","FQ4 2021","FQ4 2021","Currency=USD","Period=FQ","BEST_FPERIOD_OVERRIDE=FQ","FILING_STATUS=MR","SCALING_FORMAT=MLN","Sort=A","Dates=H","DateFormat=P","Fill=—","Direction=H","UseDPDF=Y")</f>
        <v>13194</v>
      </c>
      <c r="Y18" s="15">
        <f>_xll.BDH("WMT US Equity","CF_CASH_FROM_OPER","FQ1 2022","FQ1 2022","Currency=USD","Period=FQ","BEST_FPERIOD_OVERRIDE=FQ","FILING_STATUS=MR","SCALING_FORMAT=MLN","Sort=A","Dates=H","DateFormat=P","Fill=—","Direction=H","UseDPDF=Y")</f>
        <v>2858</v>
      </c>
      <c r="Z18" s="15">
        <f>_xll.BDH("WMT US Equity","CF_CASH_FROM_OPER","FQ2 2022","FQ2 2022","Currency=USD","Period=FQ","BEST_FPERIOD_OVERRIDE=FQ","FILING_STATUS=MR","SCALING_FORMAT=MLN","Sort=A","Dates=H","DateFormat=P","Fill=—","Direction=H","UseDPDF=Y")</f>
        <v>9565</v>
      </c>
      <c r="AA18" s="15">
        <f>_xll.BDH("WMT US Equity","CF_CASH_FROM_OPER","FQ3 2022","FQ3 2022","Currency=USD","Period=FQ","BEST_FPERIOD_OVERRIDE=FQ","FILING_STATUS=MR","SCALING_FORMAT=MLN","Sort=A","Dates=H","DateFormat=P","Fill=—","Direction=H","UseDPDF=Y")</f>
        <v>3868</v>
      </c>
      <c r="AB18" s="15">
        <f>_xll.BDH("WMT US Equity","CF_CASH_FROM_OPER","FQ4 2022","FQ4 2022","Currency=USD","Period=FQ","BEST_FPERIOD_OVERRIDE=FQ","FILING_STATUS=MR","SCALING_FORMAT=MLN","Sort=A","Dates=H","DateFormat=P","Fill=—","Direction=H","UseDPDF=Y")</f>
        <v>7890</v>
      </c>
      <c r="AC18" s="15">
        <f>_xll.BDH("WMT US Equity","CF_CASH_FROM_OPER","FQ1 2023","FQ1 2023","Currency=USD","Period=FQ","BEST_FPERIOD_OVERRIDE=FQ","FILING_STATUS=MR","SCALING_FORMAT=MLN","Sort=A","Dates=H","DateFormat=P","Fill=—","Direction=H","UseDPDF=Y")</f>
        <v>-3758</v>
      </c>
      <c r="AD18" s="15">
        <f>_xll.BDH("WMT US Equity","CF_CASH_FROM_OPER","FQ2 2023","FQ2 2023","Currency=USD","Period=FQ","BEST_FPERIOD_OVERRIDE=FQ","FILING_STATUS=MR","SCALING_FORMAT=MLN","Sort=A","Dates=H","DateFormat=P","Fill=—","Direction=H","UseDPDF=Y")</f>
        <v>12998</v>
      </c>
      <c r="AE18" s="15">
        <f>_xll.BDH("WMT US Equity","CF_CASH_FROM_OPER","FQ3 2023","FQ3 2023","Currency=USD","Period=FQ","BEST_FPERIOD_OVERRIDE=FQ","FILING_STATUS=MR","SCALING_FORMAT=MLN","Sort=A","Dates=H","DateFormat=P","Fill=—","Direction=H","UseDPDF=Y")</f>
        <v>6458</v>
      </c>
      <c r="AF18" s="15">
        <f>_xll.BDH("WMT US Equity","CF_CASH_FROM_OPER","FQ4 2023","FQ4 2023","Currency=USD","Period=FQ","BEST_FPERIOD_OVERRIDE=FQ","FILING_STATUS=MR","SCALING_FORMAT=MLN","Sort=A","Dates=H","DateFormat=P","Fill=—","Direction=H","UseDPDF=Y")</f>
        <v>13143</v>
      </c>
      <c r="AG18" s="15">
        <f>_xll.BDH("WMT US Equity","CF_CASH_FROM_OPER","FQ1 2024","FQ1 2024","Currency=USD","Period=FQ","BEST_FPERIOD_OVERRIDE=FQ","FILING_STATUS=MR","SCALING_FORMAT=MLN","Sort=A","Dates=H","DateFormat=P","Fill=—","Direction=H","UseDPDF=Y")</f>
        <v>4633</v>
      </c>
      <c r="AH18" s="15">
        <f>_xll.BDH("WMT US Equity","CF_CASH_FROM_OPER","FQ2 2024","FQ2 2024","Currency=USD","Period=FQ","BEST_FPERIOD_OVERRIDE=FQ","FILING_STATUS=MR","SCALING_FORMAT=MLN","Sort=A","Dates=H","DateFormat=P","Fill=—","Direction=H","UseDPDF=Y")</f>
        <v>13568</v>
      </c>
      <c r="AI18" s="15">
        <f>_xll.BDH("WMT US Equity","CF_CASH_FROM_OPER","FQ3 2024","FQ3 2024","Currency=USD","Period=FQ","BEST_FPERIOD_OVERRIDE=FQ","FILING_STATUS=MR","SCALING_FORMAT=MLN","Sort=A","Dates=H","DateFormat=P","Fill=—","Direction=H","UseDPDF=Y")</f>
        <v>813</v>
      </c>
      <c r="AJ18" s="15">
        <f>_xll.BDH("WMT US Equity","CF_CASH_FROM_OPER","FQ4 2024","FQ4 2024","Currency=USD","Period=FQ","BEST_FPERIOD_OVERRIDE=FQ","FILING_STATUS=MR","SCALING_FORMAT=MLN","Sort=A","Dates=H","DateFormat=P","Fill=—","Direction=H","UseDPDF=Y")</f>
        <v>16712</v>
      </c>
      <c r="AK18" s="15">
        <f>_xll.BDH("WMT US Equity","CF_CASH_FROM_OPER","FQ1 2025","FQ1 2025","Currency=USD","Period=FQ","BEST_FPERIOD_OVERRIDE=FQ","FILING_STATUS=MR","SCALING_FORMAT=MLN","Sort=A","Dates=H","DateFormat=P","Fill=—","Direction=H","UseDPDF=Y")</f>
        <v>4249</v>
      </c>
      <c r="AL18" s="15">
        <f>_xll.BDH("WMT US Equity","CF_CASH_FROM_OPER","FQ2 2025","FQ2 2025","Currency=USD","Period=FQ","BEST_FPERIOD_OVERRIDE=FQ","FILING_STATUS=MR","SCALING_FORMAT=MLN","Sort=A","Dates=H","DateFormat=P","Fill=—","Direction=H","UseDPDF=Y")</f>
        <v>12108</v>
      </c>
      <c r="AM18" s="15">
        <f>_xll.BDH("WMT US Equity","CF_CASH_FROM_OPER","FQ3 2025","FQ3 2025","Currency=USD","Period=FQ","BEST_FPERIOD_OVERRIDE=FQ","FILING_STATUS=MR","SCALING_FORMAT=MLN","Sort=A","Dates=H","DateFormat=P","Fill=—","Direction=H","UseDPDF=Y")</f>
        <v>6561</v>
      </c>
      <c r="AN18" s="15">
        <f>_xll.BDH("WMT US Equity","CF_CASH_FROM_OPER","FQ4 2025","FQ4 2025","Currency=USD","Period=FQ","BEST_FPERIOD_OVERRIDE=FQ","FILING_STATUS=MR","SCALING_FORMAT=MLN","Sort=A","Dates=H","DateFormat=P","Fill=—","Direction=H","UseDPDF=Y")</f>
        <v>13525</v>
      </c>
      <c r="AO18" s="15">
        <f>_xll.BDH("WMT US Equity","CF_CASH_FROM_OPER","FQ1 2026","FQ1 2026","Currency=USD","Period=FQ","BEST_FPERIOD_OVERRIDE=FQ","FILING_STATUS=MR","SCALING_FORMAT=MLN","Sort=A","Dates=H","DateFormat=P","Fill=—","Direction=H","UseDPDF=Y")</f>
        <v>5411</v>
      </c>
      <c r="AP18" s="15">
        <f>_xll.BDH("WMT US Equity","CF_CASH_FROM_OPER","FQ2 2026","FQ2 2026","Currency=USD","Period=FQ","BEST_FPERIOD_OVERRIDE=FQ","FILING_STATUS=MR","SCALING_FORMAT=MLN","Sort=A","Dates=H","DateFormat=P","Fill=—","Direction=H","UseDPDF=Y")</f>
        <v>12941</v>
      </c>
    </row>
    <row r="19" spans="1:42" x14ac:dyDescent="0.3">
      <c r="A19" s="6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</row>
    <row r="20" spans="1:42" x14ac:dyDescent="0.3">
      <c r="A20" s="6" t="s">
        <v>97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</row>
    <row r="21" spans="1:42" x14ac:dyDescent="0.3">
      <c r="A21" s="10" t="s">
        <v>161</v>
      </c>
      <c r="B21" s="10" t="s">
        <v>98</v>
      </c>
      <c r="C21" s="12">
        <f>_xll.BDH("WMT US Equity","FIXED_INTANG_ASST_CHANGE","FQ3 2016","FQ3 2016","Currency=USD","Period=FQ","BEST_FPERIOD_OVERRIDE=FQ","FILING_STATUS=MR","SCALING_FORMAT=MLN","Sort=A","Dates=H","DateFormat=P","Fill=—","Direction=H","UseDPDF=Y")</f>
        <v>-3104</v>
      </c>
      <c r="D21" s="12">
        <f>_xll.BDH("WMT US Equity","FIXED_INTANG_ASST_CHANGE","FQ4 2016","FQ4 2016","Currency=USD","Period=FQ","BEST_FPERIOD_OVERRIDE=FQ","FILING_STATUS=MR","SCALING_FORMAT=MLN","Sort=A","Dates=H","DateFormat=P","Fill=—","Direction=H","UseDPDF=Y")</f>
        <v>-2981</v>
      </c>
      <c r="E21" s="12">
        <f>_xll.BDH("WMT US Equity","FIXED_INTANG_ASST_CHANGE","FQ1 2017","FQ1 2017","Currency=USD","Period=FQ","BEST_FPERIOD_OVERRIDE=FQ","FILING_STATUS=MR","SCALING_FORMAT=MLN","Sort=A","Dates=H","DateFormat=P","Fill=—","Direction=H","UseDPDF=Y")</f>
        <v>-2120</v>
      </c>
      <c r="F21" s="12">
        <f>_xll.BDH("WMT US Equity","FIXED_INTANG_ASST_CHANGE","FQ2 2017","FQ2 2017","Currency=USD","Period=FQ","BEST_FPERIOD_OVERRIDE=FQ","FILING_STATUS=MR","SCALING_FORMAT=MLN","Sort=A","Dates=H","DateFormat=P","Fill=—","Direction=H","UseDPDF=Y")</f>
        <v>-2239</v>
      </c>
      <c r="G21" s="12">
        <f>_xll.BDH("WMT US Equity","FIXED_INTANG_ASST_CHANGE","FQ3 2017","FQ3 2017","Currency=USD","Period=FQ","BEST_FPERIOD_OVERRIDE=FQ","FILING_STATUS=MR","SCALING_FORMAT=MLN","Sort=A","Dates=H","DateFormat=P","Fill=—","Direction=H","UseDPDF=Y")</f>
        <v>-2317</v>
      </c>
      <c r="H21" s="12">
        <f>_xll.BDH("WMT US Equity","FIXED_INTANG_ASST_CHANGE","FQ4 2017","FQ4 2017","Currency=USD","Period=FQ","BEST_FPERIOD_OVERRIDE=FQ","FILING_STATUS=MR","SCALING_FORMAT=MLN","Sort=A","Dates=H","DateFormat=P","Fill=—","Direction=H","UseDPDF=Y")</f>
        <v>-3487</v>
      </c>
      <c r="I21" s="12">
        <f>_xll.BDH("WMT US Equity","FIXED_INTANG_ASST_CHANGE","FQ1 2018","FQ1 2018","Currency=USD","Period=FQ","BEST_FPERIOD_OVERRIDE=FQ","FILING_STATUS=MR","SCALING_FORMAT=MLN","Sort=A","Dates=H","DateFormat=P","Fill=—","Direction=H","UseDPDF=Y")</f>
        <v>-1794</v>
      </c>
      <c r="J21" s="12">
        <f>_xll.BDH("WMT US Equity","FIXED_INTANG_ASST_CHANGE","FQ2 2018","FQ2 2018","Currency=USD","Period=FQ","BEST_FPERIOD_OVERRIDE=FQ","FILING_STATUS=MR","SCALING_FORMAT=MLN","Sort=A","Dates=H","DateFormat=P","Fill=—","Direction=H","UseDPDF=Y")</f>
        <v>-2417</v>
      </c>
      <c r="K21" s="12">
        <f>_xll.BDH("WMT US Equity","FIXED_INTANG_ASST_CHANGE","FQ3 2018","FQ3 2018","Currency=USD","Period=FQ","BEST_FPERIOD_OVERRIDE=FQ","FILING_STATUS=MR","SCALING_FORMAT=MLN","Sort=A","Dates=H","DateFormat=P","Fill=—","Direction=H","UseDPDF=Y")</f>
        <v>-2396</v>
      </c>
      <c r="L21" s="12">
        <f>_xll.BDH("WMT US Equity","FIXED_INTANG_ASST_CHANGE","FQ4 2018","FQ4 2018","Currency=USD","Period=FQ","BEST_FPERIOD_OVERRIDE=FQ","FILING_STATUS=MR","SCALING_FORMAT=MLN","Sort=A","Dates=H","DateFormat=P","Fill=—","Direction=H","UseDPDF=Y")</f>
        <v>-3066</v>
      </c>
      <c r="M21" s="12">
        <f>_xll.BDH("WMT US Equity","FIXED_INTANG_ASST_CHANGE","FQ1 2019","FQ1 2019","Currency=USD","Period=FQ","BEST_FPERIOD_OVERRIDE=FQ","FILING_STATUS=MR","SCALING_FORMAT=MLN","Sort=A","Dates=H","DateFormat=P","Fill=—","Direction=H","UseDPDF=Y")</f>
        <v>-1620</v>
      </c>
      <c r="N21" s="12">
        <f>_xll.BDH("WMT US Equity","FIXED_INTANG_ASST_CHANGE","FQ2 2019","FQ2 2019","Currency=USD","Period=FQ","BEST_FPERIOD_OVERRIDE=FQ","FILING_STATUS=MR","SCALING_FORMAT=MLN","Sort=A","Dates=H","DateFormat=P","Fill=—","Direction=H","UseDPDF=Y")</f>
        <v>-2457</v>
      </c>
      <c r="O21" s="12">
        <f>_xll.BDH("WMT US Equity","FIXED_INTANG_ASST_CHANGE","FQ3 2019","FQ3 2019","Currency=USD","Period=FQ","BEST_FPERIOD_OVERRIDE=FQ","FILING_STATUS=MR","SCALING_FORMAT=MLN","Sort=A","Dates=H","DateFormat=P","Fill=—","Direction=H","UseDPDF=Y")</f>
        <v>-2629</v>
      </c>
      <c r="P21" s="12">
        <f>_xll.BDH("WMT US Equity","FIXED_INTANG_ASST_CHANGE","FQ4 2019","FQ4 2019","Currency=USD","Period=FQ","BEST_FPERIOD_OVERRIDE=FQ","FILING_STATUS=MR","SCALING_FORMAT=MLN","Sort=A","Dates=H","DateFormat=P","Fill=—","Direction=H","UseDPDF=Y")</f>
        <v>-3119</v>
      </c>
      <c r="Q21" s="12">
        <f>_xll.BDH("WMT US Equity","FIXED_INTANG_ASST_CHANGE","FQ1 2020","FQ1 2020","Currency=USD","Period=FQ","BEST_FPERIOD_OVERRIDE=FQ","FILING_STATUS=MR","SCALING_FORMAT=MLN","Sort=A","Dates=H","DateFormat=P","Fill=—","Direction=H","UseDPDF=Y")</f>
        <v>-2163</v>
      </c>
      <c r="R21" s="12">
        <f>_xll.BDH("WMT US Equity","FIXED_INTANG_ASST_CHANGE","FQ2 2020","FQ2 2020","Currency=USD","Period=FQ","BEST_FPERIOD_OVERRIDE=FQ","FILING_STATUS=MR","SCALING_FORMAT=MLN","Sort=A","Dates=H","DateFormat=P","Fill=—","Direction=H","UseDPDF=Y")</f>
        <v>-2580</v>
      </c>
      <c r="S21" s="12">
        <f>_xll.BDH("WMT US Equity","FIXED_INTANG_ASST_CHANGE","FQ3 2020","FQ3 2020","Currency=USD","Period=FQ","BEST_FPERIOD_OVERRIDE=FQ","FILING_STATUS=MR","SCALING_FORMAT=MLN","Sort=A","Dates=H","DateFormat=P","Fill=—","Direction=H","UseDPDF=Y")</f>
        <v>-2804</v>
      </c>
      <c r="T21" s="12">
        <f>_xll.BDH("WMT US Equity","FIXED_INTANG_ASST_CHANGE","FQ4 2020","FQ4 2020","Currency=USD","Period=FQ","BEST_FPERIOD_OVERRIDE=FQ","FILING_STATUS=MR","SCALING_FORMAT=MLN","Sort=A","Dates=H","DateFormat=P","Fill=—","Direction=H","UseDPDF=Y")</f>
        <v>-2837</v>
      </c>
      <c r="U21" s="12">
        <f>_xll.BDH("WMT US Equity","FIXED_INTANG_ASST_CHANGE","FQ1 2021","FQ1 2021","Currency=USD","Period=FQ","BEST_FPERIOD_OVERRIDE=FQ","FILING_STATUS=MR","SCALING_FORMAT=MLN","Sort=A","Dates=H","DateFormat=P","Fill=—","Direction=H","UseDPDF=Y")</f>
        <v>-1692</v>
      </c>
      <c r="V21" s="12">
        <f>_xll.BDH("WMT US Equity","FIXED_INTANG_ASST_CHANGE","FQ2 2021","FQ2 2021","Currency=USD","Period=FQ","BEST_FPERIOD_OVERRIDE=FQ","FILING_STATUS=MR","SCALING_FORMAT=MLN","Sort=A","Dates=H","DateFormat=P","Fill=—","Direction=H","UseDPDF=Y")</f>
        <v>-1794</v>
      </c>
      <c r="W21" s="12">
        <f>_xll.BDH("WMT US Equity","FIXED_INTANG_ASST_CHANGE","FQ3 2021","FQ3 2021","Currency=USD","Period=FQ","BEST_FPERIOD_OVERRIDE=FQ","FILING_STATUS=MR","SCALING_FORMAT=MLN","Sort=A","Dates=H","DateFormat=P","Fill=—","Direction=H","UseDPDF=Y")</f>
        <v>-2853</v>
      </c>
      <c r="X21" s="12">
        <f>_xll.BDH("WMT US Equity","FIXED_INTANG_ASST_CHANGE","FQ4 2021","FQ4 2021","Currency=USD","Period=FQ","BEST_FPERIOD_OVERRIDE=FQ","FILING_STATUS=MR","SCALING_FORMAT=MLN","Sort=A","Dates=H","DateFormat=P","Fill=—","Direction=H","UseDPDF=Y")</f>
        <v>-3710</v>
      </c>
      <c r="Y21" s="12">
        <f>_xll.BDH("WMT US Equity","FIXED_INTANG_ASST_CHANGE","FQ1 2022","FQ1 2022","Currency=USD","Period=FQ","BEST_FPERIOD_OVERRIDE=FQ","FILING_STATUS=MR","SCALING_FORMAT=MLN","Sort=A","Dates=H","DateFormat=P","Fill=—","Direction=H","UseDPDF=Y")</f>
        <v>-2142</v>
      </c>
      <c r="Z21" s="12">
        <f>_xll.BDH("WMT US Equity","FIXED_INTANG_ASST_CHANGE","FQ2 2022","FQ2 2022","Currency=USD","Period=FQ","BEST_FPERIOD_OVERRIDE=FQ","FILING_STATUS=MR","SCALING_FORMAT=MLN","Sort=A","Dates=H","DateFormat=P","Fill=—","Direction=H","UseDPDF=Y")</f>
        <v>-2701</v>
      </c>
      <c r="AA21" s="12">
        <f>_xll.BDH("WMT US Equity","FIXED_INTANG_ASST_CHANGE","FQ3 2022","FQ3 2022","Currency=USD","Period=FQ","BEST_FPERIOD_OVERRIDE=FQ","FILING_STATUS=MR","SCALING_FORMAT=MLN","Sort=A","Dates=H","DateFormat=P","Fill=—","Direction=H","UseDPDF=Y")</f>
        <v>-3455</v>
      </c>
      <c r="AB21" s="12">
        <f>_xll.BDH("WMT US Equity","FIXED_INTANG_ASST_CHANGE","FQ4 2022","FQ4 2022","Currency=USD","Period=FQ","BEST_FPERIOD_OVERRIDE=FQ","FILING_STATUS=MR","SCALING_FORMAT=MLN","Sort=A","Dates=H","DateFormat=P","Fill=—","Direction=H","UseDPDF=Y")</f>
        <v>-4414</v>
      </c>
      <c r="AC21" s="12">
        <f>_xll.BDH("WMT US Equity","FIXED_INTANG_ASST_CHANGE","FQ1 2023","FQ1 2023","Currency=USD","Period=FQ","BEST_FPERIOD_OVERRIDE=FQ","FILING_STATUS=MR","SCALING_FORMAT=MLN","Sort=A","Dates=H","DateFormat=P","Fill=—","Direction=H","UseDPDF=Y")</f>
        <v>-3504</v>
      </c>
      <c r="AD21" s="12">
        <f>_xll.BDH("WMT US Equity","FIXED_INTANG_ASST_CHANGE","FQ2 2023","FQ2 2023","Currency=USD","Period=FQ","BEST_FPERIOD_OVERRIDE=FQ","FILING_STATUS=MR","SCALING_FORMAT=MLN","Sort=A","Dates=H","DateFormat=P","Fill=—","Direction=H","UseDPDF=Y")</f>
        <v>-3916</v>
      </c>
      <c r="AE21" s="12">
        <f>_xll.BDH("WMT US Equity","FIXED_INTANG_ASST_CHANGE","FQ3 2023","FQ3 2023","Currency=USD","Period=FQ","BEST_FPERIOD_OVERRIDE=FQ","FILING_STATUS=MR","SCALING_FORMAT=MLN","Sort=A","Dates=H","DateFormat=P","Fill=—","Direction=H","UseDPDF=Y")</f>
        <v>-4515</v>
      </c>
      <c r="AF21" s="12">
        <f>_xll.BDH("WMT US Equity","FIXED_INTANG_ASST_CHANGE","FQ4 2023","FQ4 2023","Currency=USD","Period=FQ","BEST_FPERIOD_OVERRIDE=FQ","FILING_STATUS=MR","SCALING_FORMAT=MLN","Sort=A","Dates=H","DateFormat=P","Fill=—","Direction=H","UseDPDF=Y")</f>
        <v>-4752</v>
      </c>
      <c r="AG21" s="12">
        <f>_xll.BDH("WMT US Equity","FIXED_INTANG_ASST_CHANGE","FQ1 2024","FQ1 2024","Currency=USD","Period=FQ","BEST_FPERIOD_OVERRIDE=FQ","FILING_STATUS=MR","SCALING_FORMAT=MLN","Sort=A","Dates=H","DateFormat=P","Fill=—","Direction=H","UseDPDF=Y")</f>
        <v>-4382</v>
      </c>
      <c r="AH21" s="12">
        <f>_xll.BDH("WMT US Equity","FIXED_INTANG_ASST_CHANGE","FQ2 2024","FQ2 2024","Currency=USD","Period=FQ","BEST_FPERIOD_OVERRIDE=FQ","FILING_STATUS=MR","SCALING_FORMAT=MLN","Sort=A","Dates=H","DateFormat=P","Fill=—","Direction=H","UseDPDF=Y")</f>
        <v>-4701</v>
      </c>
      <c r="AI21" s="12">
        <f>_xll.BDH("WMT US Equity","FIXED_INTANG_ASST_CHANGE","FQ3 2024","FQ3 2024","Currency=USD","Period=FQ","BEST_FPERIOD_OVERRIDE=FQ","FILING_STATUS=MR","SCALING_FORMAT=MLN","Sort=A","Dates=H","DateFormat=P","Fill=—","Direction=H","UseDPDF=Y")</f>
        <v>-5428</v>
      </c>
      <c r="AJ21" s="12">
        <f>_xll.BDH("WMT US Equity","FIXED_INTANG_ASST_CHANGE","FQ4 2024","FQ4 2024","Currency=USD","Period=FQ","BEST_FPERIOD_OVERRIDE=FQ","FILING_STATUS=MR","SCALING_FORMAT=MLN","Sort=A","Dates=H","DateFormat=P","Fill=—","Direction=H","UseDPDF=Y")</f>
        <v>-5845</v>
      </c>
      <c r="AK21" s="12">
        <f>_xll.BDH("WMT US Equity","FIXED_INTANG_ASST_CHANGE","FQ1 2025","FQ1 2025","Currency=USD","Period=FQ","BEST_FPERIOD_OVERRIDE=FQ","FILING_STATUS=MR","SCALING_FORMAT=MLN","Sort=A","Dates=H","DateFormat=P","Fill=—","Direction=H","UseDPDF=Y")</f>
        <v>-4604</v>
      </c>
      <c r="AL21" s="12">
        <f>_xll.BDH("WMT US Equity","FIXED_INTANG_ASST_CHANGE","FQ2 2025","FQ2 2025","Currency=USD","Period=FQ","BEST_FPERIOD_OVERRIDE=FQ","FILING_STATUS=MR","SCALING_FORMAT=MLN","Sort=A","Dates=H","DateFormat=P","Fill=—","Direction=H","UseDPDF=Y")</f>
        <v>-5611</v>
      </c>
      <c r="AM21" s="12">
        <f>_xll.BDH("WMT US Equity","FIXED_INTANG_ASST_CHANGE","FQ3 2025","FQ3 2025","Currency=USD","Period=FQ","BEST_FPERIOD_OVERRIDE=FQ","FILING_STATUS=MR","SCALING_FORMAT=MLN","Sort=A","Dates=H","DateFormat=P","Fill=—","Direction=H","UseDPDF=Y")</f>
        <v>-6123</v>
      </c>
      <c r="AN21" s="12">
        <f>_xll.BDH("WMT US Equity","FIXED_INTANG_ASST_CHANGE","FQ4 2025","FQ4 2025","Currency=USD","Period=FQ","BEST_FPERIOD_OVERRIDE=FQ","FILING_STATUS=MR","SCALING_FORMAT=MLN","Sort=A","Dates=H","DateFormat=P","Fill=—","Direction=H","UseDPDF=Y")</f>
        <v>-7013</v>
      </c>
      <c r="AO21" s="12">
        <f>_xll.BDH("WMT US Equity","FIXED_INTANG_ASST_CHANGE","FQ1 2026","FQ1 2026","Currency=USD","Period=FQ","BEST_FPERIOD_OVERRIDE=FQ","FILING_STATUS=MR","SCALING_FORMAT=MLN","Sort=A","Dates=H","DateFormat=P","Fill=—","Direction=H","UseDPDF=Y")</f>
        <v>-4961</v>
      </c>
      <c r="AP21" s="12">
        <f>_xll.BDH("WMT US Equity","FIXED_INTANG_ASST_CHANGE","FQ2 2026","FQ2 2026","Currency=USD","Period=FQ","BEST_FPERIOD_OVERRIDE=FQ","FILING_STATUS=MR","SCALING_FORMAT=MLN","Sort=A","Dates=H","DateFormat=P","Fill=—","Direction=H","UseDPDF=Y")</f>
        <v>-6407</v>
      </c>
    </row>
    <row r="22" spans="1:42" x14ac:dyDescent="0.3">
      <c r="A22" s="10" t="s">
        <v>162</v>
      </c>
      <c r="B22" s="10" t="s">
        <v>99</v>
      </c>
      <c r="C22" s="12">
        <f>_xll.BDH("WMT US Equity","DISPOSAL_OF_FIXED_INTANG","FQ3 2016","FQ3 2016","Currency=USD","Period=FQ","BEST_FPERIOD_OVERRIDE=FQ","FILING_STATUS=MR","SCALING_FORMAT=MLN","Sort=A","Dates=H","DateFormat=P","Fill=—","Direction=H","UseDPDF=Y")</f>
        <v>75</v>
      </c>
      <c r="D22" s="12">
        <f>_xll.BDH("WMT US Equity","DISPOSAL_OF_FIXED_INTANG","FQ4 2016","FQ4 2016","Currency=USD","Period=FQ","BEST_FPERIOD_OVERRIDE=FQ","FILING_STATUS=MR","SCALING_FORMAT=MLN","Sort=A","Dates=H","DateFormat=P","Fill=—","Direction=H","UseDPDF=Y")</f>
        <v>273</v>
      </c>
      <c r="E22" s="12">
        <f>_xll.BDH("WMT US Equity","DISPOSAL_OF_FIXED_INTANG","FQ1 2017","FQ1 2017","Currency=USD","Period=FQ","BEST_FPERIOD_OVERRIDE=FQ","FILING_STATUS=MR","SCALING_FORMAT=MLN","Sort=A","Dates=H","DateFormat=P","Fill=—","Direction=H","UseDPDF=Y")</f>
        <v>89</v>
      </c>
      <c r="F22" s="12">
        <f>_xll.BDH("WMT US Equity","DISPOSAL_OF_FIXED_INTANG","FQ2 2017","FQ2 2017","Currency=USD","Period=FQ","BEST_FPERIOD_OVERRIDE=FQ","FILING_STATUS=MR","SCALING_FORMAT=MLN","Sort=A","Dates=H","DateFormat=P","Fill=—","Direction=H","UseDPDF=Y")</f>
        <v>171</v>
      </c>
      <c r="G22" s="12">
        <f>_xll.BDH("WMT US Equity","DISPOSAL_OF_FIXED_INTANG","FQ3 2017","FQ3 2017","Currency=USD","Period=FQ","BEST_FPERIOD_OVERRIDE=FQ","FILING_STATUS=MR","SCALING_FORMAT=MLN","Sort=A","Dates=H","DateFormat=P","Fill=—","Direction=H","UseDPDF=Y")</f>
        <v>523</v>
      </c>
      <c r="H22" s="12">
        <f>_xll.BDH("WMT US Equity","DISPOSAL_OF_FIXED_INTANG","FQ4 2017","FQ4 2017","Currency=USD","Period=FQ","BEST_FPERIOD_OVERRIDE=FQ","FILING_STATUS=MR","SCALING_FORMAT=MLN","Sort=A","Dates=H","DateFormat=P","Fill=—","Direction=H","UseDPDF=Y")</f>
        <v>0</v>
      </c>
      <c r="I22" s="12">
        <f>_xll.BDH("WMT US Equity","DISPOSAL_OF_FIXED_INTANG","FQ1 2018","FQ1 2018","Currency=USD","Period=FQ","BEST_FPERIOD_OVERRIDE=FQ","FILING_STATUS=MR","SCALING_FORMAT=MLN","Sort=A","Dates=H","DateFormat=P","Fill=—","Direction=H","UseDPDF=Y")</f>
        <v>196</v>
      </c>
      <c r="J22" s="12">
        <f>_xll.BDH("WMT US Equity","DISPOSAL_OF_FIXED_INTANG","FQ2 2018","FQ2 2018","Currency=USD","Period=FQ","BEST_FPERIOD_OVERRIDE=FQ","FILING_STATUS=MR","SCALING_FORMAT=MLN","Sort=A","Dates=H","DateFormat=P","Fill=—","Direction=H","UseDPDF=Y")</f>
        <v>16</v>
      </c>
      <c r="K22" s="12">
        <f>_xll.BDH("WMT US Equity","DISPOSAL_OF_FIXED_INTANG","FQ3 2018","FQ3 2018","Currency=USD","Period=FQ","BEST_FPERIOD_OVERRIDE=FQ","FILING_STATUS=MR","SCALING_FORMAT=MLN","Sort=A","Dates=H","DateFormat=P","Fill=—","Direction=H","UseDPDF=Y")</f>
        <v>89</v>
      </c>
      <c r="L22" s="12">
        <f>_xll.BDH("WMT US Equity","DISPOSAL_OF_FIXED_INTANG","FQ4 2018","FQ4 2018","Currency=USD","Period=FQ","BEST_FPERIOD_OVERRIDE=FQ","FILING_STATUS=MR","SCALING_FORMAT=MLN","Sort=A","Dates=H","DateFormat=P","Fill=—","Direction=H","UseDPDF=Y")</f>
        <v>77</v>
      </c>
      <c r="M22" s="12">
        <f>_xll.BDH("WMT US Equity","DISPOSAL_OF_FIXED_INTANG","FQ1 2019","FQ1 2019","Currency=USD","Period=FQ","BEST_FPERIOD_OVERRIDE=FQ","FILING_STATUS=MR","SCALING_FORMAT=MLN","Sort=A","Dates=H","DateFormat=P","Fill=—","Direction=H","UseDPDF=Y")</f>
        <v>198</v>
      </c>
      <c r="N22" s="12">
        <f>_xll.BDH("WMT US Equity","DISPOSAL_OF_FIXED_INTANG","FQ2 2019","FQ2 2019","Currency=USD","Period=FQ","BEST_FPERIOD_OVERRIDE=FQ","FILING_STATUS=MR","SCALING_FORMAT=MLN","Sort=A","Dates=H","DateFormat=P","Fill=—","Direction=H","UseDPDF=Y")</f>
        <v>7</v>
      </c>
      <c r="O22" s="12">
        <f>_xll.BDH("WMT US Equity","DISPOSAL_OF_FIXED_INTANG","FQ3 2019","FQ3 2019","Currency=USD","Period=FQ","BEST_FPERIOD_OVERRIDE=FQ","FILING_STATUS=MR","SCALING_FORMAT=MLN","Sort=A","Dates=H","DateFormat=P","Fill=—","Direction=H","UseDPDF=Y")</f>
        <v>103</v>
      </c>
      <c r="P22" s="12">
        <f>_xll.BDH("WMT US Equity","DISPOSAL_OF_FIXED_INTANG","FQ4 2019","FQ4 2019","Currency=USD","Period=FQ","BEST_FPERIOD_OVERRIDE=FQ","FILING_STATUS=MR","SCALING_FORMAT=MLN","Sort=A","Dates=H","DateFormat=P","Fill=—","Direction=H","UseDPDF=Y")</f>
        <v>211</v>
      </c>
      <c r="Q22" s="12">
        <f>_xll.BDH("WMT US Equity","DISPOSAL_OF_FIXED_INTANG","FQ1 2020","FQ1 2020","Currency=USD","Period=FQ","BEST_FPERIOD_OVERRIDE=FQ","FILING_STATUS=MR","SCALING_FORMAT=MLN","Sort=A","Dates=H","DateFormat=P","Fill=—","Direction=H","UseDPDF=Y")</f>
        <v>42</v>
      </c>
      <c r="R22" s="12">
        <f>_xll.BDH("WMT US Equity","DISPOSAL_OF_FIXED_INTANG","FQ2 2020","FQ2 2020","Currency=USD","Period=FQ","BEST_FPERIOD_OVERRIDE=FQ","FILING_STATUS=MR","SCALING_FORMAT=MLN","Sort=A","Dates=H","DateFormat=P","Fill=—","Direction=H","UseDPDF=Y")</f>
        <v>86</v>
      </c>
      <c r="S22" s="12">
        <f>_xll.BDH("WMT US Equity","DISPOSAL_OF_FIXED_INTANG","FQ3 2020","FQ3 2020","Currency=USD","Period=FQ","BEST_FPERIOD_OVERRIDE=FQ","FILING_STATUS=MR","SCALING_FORMAT=MLN","Sort=A","Dates=H","DateFormat=P","Fill=—","Direction=H","UseDPDF=Y")</f>
        <v>90</v>
      </c>
      <c r="T22" s="12">
        <f>_xll.BDH("WMT US Equity","DISPOSAL_OF_FIXED_INTANG","FQ4 2020","FQ4 2020","Currency=USD","Period=FQ","BEST_FPERIOD_OVERRIDE=FQ","FILING_STATUS=MR","SCALING_FORMAT=MLN","Sort=A","Dates=H","DateFormat=P","Fill=—","Direction=H","UseDPDF=Y")</f>
        <v>103</v>
      </c>
      <c r="U22" s="12">
        <f>_xll.BDH("WMT US Equity","DISPOSAL_OF_FIXED_INTANG","FQ1 2021","FQ1 2021","Currency=USD","Period=FQ","BEST_FPERIOD_OVERRIDE=FQ","FILING_STATUS=MR","SCALING_FORMAT=MLN","Sort=A","Dates=H","DateFormat=P","Fill=—","Direction=H","UseDPDF=Y")</f>
        <v>60</v>
      </c>
      <c r="V22" s="12">
        <f>_xll.BDH("WMT US Equity","DISPOSAL_OF_FIXED_INTANG","FQ2 2021","FQ2 2021","Currency=USD","Period=FQ","BEST_FPERIOD_OVERRIDE=FQ","FILING_STATUS=MR","SCALING_FORMAT=MLN","Sort=A","Dates=H","DateFormat=P","Fill=—","Direction=H","UseDPDF=Y")</f>
        <v>23</v>
      </c>
      <c r="W22" s="12">
        <f>_xll.BDH("WMT US Equity","DISPOSAL_OF_FIXED_INTANG","FQ3 2021","FQ3 2021","Currency=USD","Period=FQ","BEST_FPERIOD_OVERRIDE=FQ","FILING_STATUS=MR","SCALING_FORMAT=MLN","Sort=A","Dates=H","DateFormat=P","Fill=—","Direction=H","UseDPDF=Y")</f>
        <v>16</v>
      </c>
      <c r="X22" s="12">
        <f>_xll.BDH("WMT US Equity","DISPOSAL_OF_FIXED_INTANG","FQ4 2021","FQ4 2021","Currency=USD","Period=FQ","BEST_FPERIOD_OVERRIDE=FQ","FILING_STATUS=MR","SCALING_FORMAT=MLN","Sort=A","Dates=H","DateFormat=P","Fill=—","Direction=H","UseDPDF=Y")</f>
        <v>116</v>
      </c>
      <c r="Y22" s="12">
        <f>_xll.BDH("WMT US Equity","DISPOSAL_OF_FIXED_INTANG","FQ1 2022","FQ1 2022","Currency=USD","Period=FQ","BEST_FPERIOD_OVERRIDE=FQ","FILING_STATUS=MR","SCALING_FORMAT=MLN","Sort=A","Dates=H","DateFormat=P","Fill=—","Direction=H","UseDPDF=Y")</f>
        <v>72</v>
      </c>
      <c r="Z22" s="12">
        <f>_xll.BDH("WMT US Equity","DISPOSAL_OF_FIXED_INTANG","FQ2 2022","FQ2 2022","Currency=USD","Period=FQ","BEST_FPERIOD_OVERRIDE=FQ","FILING_STATUS=MR","SCALING_FORMAT=MLN","Sort=A","Dates=H","DateFormat=P","Fill=—","Direction=H","UseDPDF=Y")</f>
        <v>104</v>
      </c>
      <c r="AA22" s="12">
        <f>_xll.BDH("WMT US Equity","DISPOSAL_OF_FIXED_INTANG","FQ3 2022","FQ3 2022","Currency=USD","Period=FQ","BEST_FPERIOD_OVERRIDE=FQ","FILING_STATUS=MR","SCALING_FORMAT=MLN","Sort=A","Dates=H","DateFormat=P","Fill=—","Direction=H","UseDPDF=Y")</f>
        <v>114</v>
      </c>
      <c r="AB22" s="12">
        <f>_xll.BDH("WMT US Equity","DISPOSAL_OF_FIXED_INTANG","FQ4 2022","FQ4 2022","Currency=USD","Period=FQ","BEST_FPERIOD_OVERRIDE=FQ","FILING_STATUS=MR","SCALING_FORMAT=MLN","Sort=A","Dates=H","DateFormat=P","Fill=—","Direction=H","UseDPDF=Y")</f>
        <v>104</v>
      </c>
      <c r="AC22" s="12">
        <f>_xll.BDH("WMT US Equity","DISPOSAL_OF_FIXED_INTANG","FQ1 2023","FQ1 2023","Currency=USD","Period=FQ","BEST_FPERIOD_OVERRIDE=FQ","FILING_STATUS=MR","SCALING_FORMAT=MLN","Sort=A","Dates=H","DateFormat=P","Fill=—","Direction=H","UseDPDF=Y")</f>
        <v>35</v>
      </c>
      <c r="AD22" s="12">
        <f>_xll.BDH("WMT US Equity","DISPOSAL_OF_FIXED_INTANG","FQ2 2023","FQ2 2023","Currency=USD","Period=FQ","BEST_FPERIOD_OVERRIDE=FQ","FILING_STATUS=MR","SCALING_FORMAT=MLN","Sort=A","Dates=H","DateFormat=P","Fill=—","Direction=H","UseDPDF=Y")</f>
        <v>37</v>
      </c>
      <c r="AE22" s="12">
        <f>_xll.BDH("WMT US Equity","DISPOSAL_OF_FIXED_INTANG","FQ3 2023","FQ3 2023","Currency=USD","Period=FQ","BEST_FPERIOD_OVERRIDE=FQ","FILING_STATUS=MR","SCALING_FORMAT=MLN","Sort=A","Dates=H","DateFormat=P","Fill=—","Direction=H","UseDPDF=Y")</f>
        <v>54</v>
      </c>
      <c r="AF22" s="12">
        <f>_xll.BDH("WMT US Equity","DISPOSAL_OF_FIXED_INTANG","FQ4 2023","FQ4 2023","Currency=USD","Period=FQ","BEST_FPERIOD_OVERRIDE=FQ","FILING_STATUS=MR","SCALING_FORMAT=MLN","Sort=A","Dates=H","DateFormat=P","Fill=—","Direction=H","UseDPDF=Y")</f>
        <v>44</v>
      </c>
      <c r="AG22" s="12">
        <f>_xll.BDH("WMT US Equity","DISPOSAL_OF_FIXED_INTANG","FQ1 2024","FQ1 2024","Currency=USD","Period=FQ","BEST_FPERIOD_OVERRIDE=FQ","FILING_STATUS=MR","SCALING_FORMAT=MLN","Sort=A","Dates=H","DateFormat=P","Fill=—","Direction=H","UseDPDF=Y")</f>
        <v>47</v>
      </c>
      <c r="AH22" s="12">
        <f>_xll.BDH("WMT US Equity","DISPOSAL_OF_FIXED_INTANG","FQ2 2024","FQ2 2024","Currency=USD","Period=FQ","BEST_FPERIOD_OVERRIDE=FQ","FILING_STATUS=MR","SCALING_FORMAT=MLN","Sort=A","Dates=H","DateFormat=P","Fill=—","Direction=H","UseDPDF=Y")</f>
        <v>86</v>
      </c>
      <c r="AI22" s="12">
        <f>_xll.BDH("WMT US Equity","DISPOSAL_OF_FIXED_INTANG","FQ3 2024","FQ3 2024","Currency=USD","Period=FQ","BEST_FPERIOD_OVERRIDE=FQ","FILING_STATUS=MR","SCALING_FORMAT=MLN","Sort=A","Dates=H","DateFormat=P","Fill=—","Direction=H","UseDPDF=Y")</f>
        <v>30</v>
      </c>
      <c r="AJ22" s="12">
        <f>_xll.BDH("WMT US Equity","DISPOSAL_OF_FIXED_INTANG","FQ4 2024","FQ4 2024","Currency=USD","Period=FQ","BEST_FPERIOD_OVERRIDE=FQ","FILING_STATUS=MR","SCALING_FORMAT=MLN","Sort=A","Dates=H","DateFormat=P","Fill=—","Direction=H","UseDPDF=Y")</f>
        <v>87</v>
      </c>
      <c r="AK22" s="12">
        <f>_xll.BDH("WMT US Equity","DISPOSAL_OF_FIXED_INTANG","FQ1 2025","FQ1 2025","Currency=USD","Period=FQ","BEST_FPERIOD_OVERRIDE=FQ","FILING_STATUS=MR","SCALING_FORMAT=MLN","Sort=A","Dates=H","DateFormat=P","Fill=—","Direction=H","UseDPDF=Y")</f>
        <v>72</v>
      </c>
      <c r="AL22" s="12">
        <f>_xll.BDH("WMT US Equity","DISPOSAL_OF_FIXED_INTANG","FQ2 2025","FQ2 2025","Currency=USD","Period=FQ","BEST_FPERIOD_OVERRIDE=FQ","FILING_STATUS=MR","SCALING_FORMAT=MLN","Sort=A","Dates=H","DateFormat=P","Fill=—","Direction=H","UseDPDF=Y")</f>
        <v>220</v>
      </c>
      <c r="AM22" s="12">
        <f>_xll.BDH("WMT US Equity","DISPOSAL_OF_FIXED_INTANG","FQ3 2025","FQ3 2025","Currency=USD","Period=FQ","BEST_FPERIOD_OVERRIDE=FQ","FILING_STATUS=MR","SCALING_FORMAT=MLN","Sort=A","Dates=H","DateFormat=P","Fill=—","Direction=H","UseDPDF=Y")</f>
        <v>66</v>
      </c>
      <c r="AN22" s="12">
        <f>_xll.BDH("WMT US Equity","DISPOSAL_OF_FIXED_INTANG","FQ4 2025","FQ4 2025","Currency=USD","Period=FQ","BEST_FPERIOD_OVERRIDE=FQ","FILING_STATUS=MR","SCALING_FORMAT=MLN","Sort=A","Dates=H","DateFormat=P","Fill=—","Direction=H","UseDPDF=Y")</f>
        <v>74</v>
      </c>
      <c r="AO22" s="12">
        <f>_xll.BDH("WMT US Equity","DISPOSAL_OF_FIXED_INTANG","FQ1 2026","FQ1 2026","Currency=USD","Period=FQ","BEST_FPERIOD_OVERRIDE=FQ","FILING_STATUS=MR","SCALING_FORMAT=MLN","Sort=A","Dates=H","DateFormat=P","Fill=—","Direction=H","UseDPDF=Y")</f>
        <v>25</v>
      </c>
      <c r="AP22" s="12">
        <f>_xll.BDH("WMT US Equity","DISPOSAL_OF_FIXED_INTANG","FQ2 2026","FQ2 2026","Currency=USD","Period=FQ","BEST_FPERIOD_OVERRIDE=FQ","FILING_STATUS=MR","SCALING_FORMAT=MLN","Sort=A","Dates=H","DateFormat=P","Fill=—","Direction=H","UseDPDF=Y")</f>
        <v>16</v>
      </c>
    </row>
    <row r="23" spans="1:42" x14ac:dyDescent="0.3">
      <c r="A23" s="11" t="s">
        <v>163</v>
      </c>
      <c r="B23" s="11" t="s">
        <v>100</v>
      </c>
      <c r="C23" s="16">
        <f>_xll.BDH("WMT US Equity","CF_DISPOSAL_OF_FIXED_PROD_ASSETS","FQ3 2016","FQ3 2016","Currency=USD","Period=FQ","BEST_FPERIOD_OVERRIDE=FQ","FILING_STATUS=MR","SCALING_FORMAT=MLN","Sort=A","Dates=H","DateFormat=P","Fill=—","Direction=H","UseDPDF=Y")</f>
        <v>75</v>
      </c>
      <c r="D23" s="16">
        <f>_xll.BDH("WMT US Equity","CF_DISPOSAL_OF_FIXED_PROD_ASSETS","FQ4 2016","FQ4 2016","Currency=USD","Period=FQ","BEST_FPERIOD_OVERRIDE=FQ","FILING_STATUS=MR","SCALING_FORMAT=MLN","Sort=A","Dates=H","DateFormat=P","Fill=—","Direction=H","UseDPDF=Y")</f>
        <v>273</v>
      </c>
      <c r="E23" s="16">
        <f>_xll.BDH("WMT US Equity","CF_DISPOSAL_OF_FIXED_PROD_ASSETS","FQ1 2017","FQ1 2017","Currency=USD","Period=FQ","BEST_FPERIOD_OVERRIDE=FQ","FILING_STATUS=MR","SCALING_FORMAT=MLN","Sort=A","Dates=H","DateFormat=P","Fill=—","Direction=H","UseDPDF=Y")</f>
        <v>89</v>
      </c>
      <c r="F23" s="16">
        <f>_xll.BDH("WMT US Equity","CF_DISPOSAL_OF_FIXED_PROD_ASSETS","FQ2 2017","FQ2 2017","Currency=USD","Period=FQ","BEST_FPERIOD_OVERRIDE=FQ","FILING_STATUS=MR","SCALING_FORMAT=MLN","Sort=A","Dates=H","DateFormat=P","Fill=—","Direction=H","UseDPDF=Y")</f>
        <v>171</v>
      </c>
      <c r="G23" s="16">
        <f>_xll.BDH("WMT US Equity","CF_DISPOSAL_OF_FIXED_PROD_ASSETS","FQ3 2017","FQ3 2017","Currency=USD","Period=FQ","BEST_FPERIOD_OVERRIDE=FQ","FILING_STATUS=MR","SCALING_FORMAT=MLN","Sort=A","Dates=H","DateFormat=P","Fill=—","Direction=H","UseDPDF=Y")</f>
        <v>523</v>
      </c>
      <c r="H23" s="16">
        <f>_xll.BDH("WMT US Equity","CF_DISPOSAL_OF_FIXED_PROD_ASSETS","FQ4 2017","FQ4 2017","Currency=USD","Period=FQ","BEST_FPERIOD_OVERRIDE=FQ","FILING_STATUS=MR","SCALING_FORMAT=MLN","Sort=A","Dates=H","DateFormat=P","Fill=—","Direction=H","UseDPDF=Y")</f>
        <v>0</v>
      </c>
      <c r="I23" s="16">
        <f>_xll.BDH("WMT US Equity","CF_DISPOSAL_OF_FIXED_PROD_ASSETS","FQ1 2018","FQ1 2018","Currency=USD","Period=FQ","BEST_FPERIOD_OVERRIDE=FQ","FILING_STATUS=MR","SCALING_FORMAT=MLN","Sort=A","Dates=H","DateFormat=P","Fill=—","Direction=H","UseDPDF=Y")</f>
        <v>196</v>
      </c>
      <c r="J23" s="16">
        <f>_xll.BDH("WMT US Equity","CF_DISPOSAL_OF_FIXED_PROD_ASSETS","FQ2 2018","FQ2 2018","Currency=USD","Period=FQ","BEST_FPERIOD_OVERRIDE=FQ","FILING_STATUS=MR","SCALING_FORMAT=MLN","Sort=A","Dates=H","DateFormat=P","Fill=—","Direction=H","UseDPDF=Y")</f>
        <v>16</v>
      </c>
      <c r="K23" s="16">
        <f>_xll.BDH("WMT US Equity","CF_DISPOSAL_OF_FIXED_PROD_ASSETS","FQ3 2018","FQ3 2018","Currency=USD","Period=FQ","BEST_FPERIOD_OVERRIDE=FQ","FILING_STATUS=MR","SCALING_FORMAT=MLN","Sort=A","Dates=H","DateFormat=P","Fill=—","Direction=H","UseDPDF=Y")</f>
        <v>89</v>
      </c>
      <c r="L23" s="16">
        <f>_xll.BDH("WMT US Equity","CF_DISPOSAL_OF_FIXED_PROD_ASSETS","FQ4 2018","FQ4 2018","Currency=USD","Period=FQ","BEST_FPERIOD_OVERRIDE=FQ","FILING_STATUS=MR","SCALING_FORMAT=MLN","Sort=A","Dates=H","DateFormat=P","Fill=—","Direction=H","UseDPDF=Y")</f>
        <v>77</v>
      </c>
      <c r="M23" s="16">
        <f>_xll.BDH("WMT US Equity","CF_DISPOSAL_OF_FIXED_PROD_ASSETS","FQ1 2019","FQ1 2019","Currency=USD","Period=FQ","BEST_FPERIOD_OVERRIDE=FQ","FILING_STATUS=MR","SCALING_FORMAT=MLN","Sort=A","Dates=H","DateFormat=P","Fill=—","Direction=H","UseDPDF=Y")</f>
        <v>198</v>
      </c>
      <c r="N23" s="16">
        <f>_xll.BDH("WMT US Equity","CF_DISPOSAL_OF_FIXED_PROD_ASSETS","FQ2 2019","FQ2 2019","Currency=USD","Period=FQ","BEST_FPERIOD_OVERRIDE=FQ","FILING_STATUS=MR","SCALING_FORMAT=MLN","Sort=A","Dates=H","DateFormat=P","Fill=—","Direction=H","UseDPDF=Y")</f>
        <v>7</v>
      </c>
      <c r="O23" s="16">
        <f>_xll.BDH("WMT US Equity","CF_DISPOSAL_OF_FIXED_PROD_ASSETS","FQ3 2019","FQ3 2019","Currency=USD","Period=FQ","BEST_FPERIOD_OVERRIDE=FQ","FILING_STATUS=MR","SCALING_FORMAT=MLN","Sort=A","Dates=H","DateFormat=P","Fill=—","Direction=H","UseDPDF=Y")</f>
        <v>103</v>
      </c>
      <c r="P23" s="16">
        <f>_xll.BDH("WMT US Equity","CF_DISPOSAL_OF_FIXED_PROD_ASSETS","FQ4 2019","FQ4 2019","Currency=USD","Period=FQ","BEST_FPERIOD_OVERRIDE=FQ","FILING_STATUS=MR","SCALING_FORMAT=MLN","Sort=A","Dates=H","DateFormat=P","Fill=—","Direction=H","UseDPDF=Y")</f>
        <v>211</v>
      </c>
      <c r="Q23" s="16">
        <f>_xll.BDH("WMT US Equity","CF_DISPOSAL_OF_FIXED_PROD_ASSETS","FQ1 2020","FQ1 2020","Currency=USD","Period=FQ","BEST_FPERIOD_OVERRIDE=FQ","FILING_STATUS=MR","SCALING_FORMAT=MLN","Sort=A","Dates=H","DateFormat=P","Fill=—","Direction=H","UseDPDF=Y")</f>
        <v>42</v>
      </c>
      <c r="R23" s="16">
        <f>_xll.BDH("WMT US Equity","CF_DISPOSAL_OF_FIXED_PROD_ASSETS","FQ2 2020","FQ2 2020","Currency=USD","Period=FQ","BEST_FPERIOD_OVERRIDE=FQ","FILING_STATUS=MR","SCALING_FORMAT=MLN","Sort=A","Dates=H","DateFormat=P","Fill=—","Direction=H","UseDPDF=Y")</f>
        <v>86</v>
      </c>
      <c r="S23" s="16">
        <f>_xll.BDH("WMT US Equity","CF_DISPOSAL_OF_FIXED_PROD_ASSETS","FQ3 2020","FQ3 2020","Currency=USD","Period=FQ","BEST_FPERIOD_OVERRIDE=FQ","FILING_STATUS=MR","SCALING_FORMAT=MLN","Sort=A","Dates=H","DateFormat=P","Fill=—","Direction=H","UseDPDF=Y")</f>
        <v>90</v>
      </c>
      <c r="T23" s="16">
        <f>_xll.BDH("WMT US Equity","CF_DISPOSAL_OF_FIXED_PROD_ASSETS","FQ4 2020","FQ4 2020","Currency=USD","Period=FQ","BEST_FPERIOD_OVERRIDE=FQ","FILING_STATUS=MR","SCALING_FORMAT=MLN","Sort=A","Dates=H","DateFormat=P","Fill=—","Direction=H","UseDPDF=Y")</f>
        <v>103</v>
      </c>
      <c r="U23" s="16">
        <f>_xll.BDH("WMT US Equity","CF_DISPOSAL_OF_FIXED_PROD_ASSETS","FQ1 2021","FQ1 2021","Currency=USD","Period=FQ","BEST_FPERIOD_OVERRIDE=FQ","FILING_STATUS=MR","SCALING_FORMAT=MLN","Sort=A","Dates=H","DateFormat=P","Fill=—","Direction=H","UseDPDF=Y")</f>
        <v>60</v>
      </c>
      <c r="V23" s="16">
        <f>_xll.BDH("WMT US Equity","CF_DISPOSAL_OF_FIXED_PROD_ASSETS","FQ2 2021","FQ2 2021","Currency=USD","Period=FQ","BEST_FPERIOD_OVERRIDE=FQ","FILING_STATUS=MR","SCALING_FORMAT=MLN","Sort=A","Dates=H","DateFormat=P","Fill=—","Direction=H","UseDPDF=Y")</f>
        <v>23</v>
      </c>
      <c r="W23" s="16">
        <f>_xll.BDH("WMT US Equity","CF_DISPOSAL_OF_FIXED_PROD_ASSETS","FQ3 2021","FQ3 2021","Currency=USD","Period=FQ","BEST_FPERIOD_OVERRIDE=FQ","FILING_STATUS=MR","SCALING_FORMAT=MLN","Sort=A","Dates=H","DateFormat=P","Fill=—","Direction=H","UseDPDF=Y")</f>
        <v>16</v>
      </c>
      <c r="X23" s="16">
        <f>_xll.BDH("WMT US Equity","CF_DISPOSAL_OF_FIXED_PROD_ASSETS","FQ4 2021","FQ4 2021","Currency=USD","Period=FQ","BEST_FPERIOD_OVERRIDE=FQ","FILING_STATUS=MR","SCALING_FORMAT=MLN","Sort=A","Dates=H","DateFormat=P","Fill=—","Direction=H","UseDPDF=Y")</f>
        <v>116</v>
      </c>
      <c r="Y23" s="16">
        <f>_xll.BDH("WMT US Equity","CF_DISPOSAL_OF_FIXED_PROD_ASSETS","FQ1 2022","FQ1 2022","Currency=USD","Period=FQ","BEST_FPERIOD_OVERRIDE=FQ","FILING_STATUS=MR","SCALING_FORMAT=MLN","Sort=A","Dates=H","DateFormat=P","Fill=—","Direction=H","UseDPDF=Y")</f>
        <v>72</v>
      </c>
      <c r="Z23" s="16">
        <f>_xll.BDH("WMT US Equity","CF_DISPOSAL_OF_FIXED_PROD_ASSETS","FQ2 2022","FQ2 2022","Currency=USD","Period=FQ","BEST_FPERIOD_OVERRIDE=FQ","FILING_STATUS=MR","SCALING_FORMAT=MLN","Sort=A","Dates=H","DateFormat=P","Fill=—","Direction=H","UseDPDF=Y")</f>
        <v>104</v>
      </c>
      <c r="AA23" s="16">
        <f>_xll.BDH("WMT US Equity","CF_DISPOSAL_OF_FIXED_PROD_ASSETS","FQ3 2022","FQ3 2022","Currency=USD","Period=FQ","BEST_FPERIOD_OVERRIDE=FQ","FILING_STATUS=MR","SCALING_FORMAT=MLN","Sort=A","Dates=H","DateFormat=P","Fill=—","Direction=H","UseDPDF=Y")</f>
        <v>114</v>
      </c>
      <c r="AB23" s="16">
        <f>_xll.BDH("WMT US Equity","CF_DISPOSAL_OF_FIXED_PROD_ASSETS","FQ4 2022","FQ4 2022","Currency=USD","Period=FQ","BEST_FPERIOD_OVERRIDE=FQ","FILING_STATUS=MR","SCALING_FORMAT=MLN","Sort=A","Dates=H","DateFormat=P","Fill=—","Direction=H","UseDPDF=Y")</f>
        <v>104</v>
      </c>
      <c r="AC23" s="16">
        <f>_xll.BDH("WMT US Equity","CF_DISPOSAL_OF_FIXED_PROD_ASSETS","FQ1 2023","FQ1 2023","Currency=USD","Period=FQ","BEST_FPERIOD_OVERRIDE=FQ","FILING_STATUS=MR","SCALING_FORMAT=MLN","Sort=A","Dates=H","DateFormat=P","Fill=—","Direction=H","UseDPDF=Y")</f>
        <v>35</v>
      </c>
      <c r="AD23" s="16">
        <f>_xll.BDH("WMT US Equity","CF_DISPOSAL_OF_FIXED_PROD_ASSETS","FQ2 2023","FQ2 2023","Currency=USD","Period=FQ","BEST_FPERIOD_OVERRIDE=FQ","FILING_STATUS=MR","SCALING_FORMAT=MLN","Sort=A","Dates=H","DateFormat=P","Fill=—","Direction=H","UseDPDF=Y")</f>
        <v>37</v>
      </c>
      <c r="AE23" s="16">
        <f>_xll.BDH("WMT US Equity","CF_DISPOSAL_OF_FIXED_PROD_ASSETS","FQ3 2023","FQ3 2023","Currency=USD","Period=FQ","BEST_FPERIOD_OVERRIDE=FQ","FILING_STATUS=MR","SCALING_FORMAT=MLN","Sort=A","Dates=H","DateFormat=P","Fill=—","Direction=H","UseDPDF=Y")</f>
        <v>54</v>
      </c>
      <c r="AF23" s="16">
        <f>_xll.BDH("WMT US Equity","CF_DISPOSAL_OF_FIXED_PROD_ASSETS","FQ4 2023","FQ4 2023","Currency=USD","Period=FQ","BEST_FPERIOD_OVERRIDE=FQ","FILING_STATUS=MR","SCALING_FORMAT=MLN","Sort=A","Dates=H","DateFormat=P","Fill=—","Direction=H","UseDPDF=Y")</f>
        <v>44</v>
      </c>
      <c r="AG23" s="16">
        <f>_xll.BDH("WMT US Equity","CF_DISPOSAL_OF_FIXED_PROD_ASSETS","FQ1 2024","FQ1 2024","Currency=USD","Period=FQ","BEST_FPERIOD_OVERRIDE=FQ","FILING_STATUS=MR","SCALING_FORMAT=MLN","Sort=A","Dates=H","DateFormat=P","Fill=—","Direction=H","UseDPDF=Y")</f>
        <v>47</v>
      </c>
      <c r="AH23" s="16">
        <f>_xll.BDH("WMT US Equity","CF_DISPOSAL_OF_FIXED_PROD_ASSETS","FQ2 2024","FQ2 2024","Currency=USD","Period=FQ","BEST_FPERIOD_OVERRIDE=FQ","FILING_STATUS=MR","SCALING_FORMAT=MLN","Sort=A","Dates=H","DateFormat=P","Fill=—","Direction=H","UseDPDF=Y")</f>
        <v>86</v>
      </c>
      <c r="AI23" s="16">
        <f>_xll.BDH("WMT US Equity","CF_DISPOSAL_OF_FIXED_PROD_ASSETS","FQ3 2024","FQ3 2024","Currency=USD","Period=FQ","BEST_FPERIOD_OVERRIDE=FQ","FILING_STATUS=MR","SCALING_FORMAT=MLN","Sort=A","Dates=H","DateFormat=P","Fill=—","Direction=H","UseDPDF=Y")</f>
        <v>30</v>
      </c>
      <c r="AJ23" s="16">
        <f>_xll.BDH("WMT US Equity","CF_DISPOSAL_OF_FIXED_PROD_ASSETS","FQ4 2024","FQ4 2024","Currency=USD","Period=FQ","BEST_FPERIOD_OVERRIDE=FQ","FILING_STATUS=MR","SCALING_FORMAT=MLN","Sort=A","Dates=H","DateFormat=P","Fill=—","Direction=H","UseDPDF=Y")</f>
        <v>87</v>
      </c>
      <c r="AK23" s="16">
        <f>_xll.BDH("WMT US Equity","CF_DISPOSAL_OF_FIXED_PROD_ASSETS","FQ1 2025","FQ1 2025","Currency=USD","Period=FQ","BEST_FPERIOD_OVERRIDE=FQ","FILING_STATUS=MR","SCALING_FORMAT=MLN","Sort=A","Dates=H","DateFormat=P","Fill=—","Direction=H","UseDPDF=Y")</f>
        <v>72</v>
      </c>
      <c r="AL23" s="16">
        <f>_xll.BDH("WMT US Equity","CF_DISPOSAL_OF_FIXED_PROD_ASSETS","FQ2 2025","FQ2 2025","Currency=USD","Period=FQ","BEST_FPERIOD_OVERRIDE=FQ","FILING_STATUS=MR","SCALING_FORMAT=MLN","Sort=A","Dates=H","DateFormat=P","Fill=—","Direction=H","UseDPDF=Y")</f>
        <v>220</v>
      </c>
      <c r="AM23" s="16">
        <f>_xll.BDH("WMT US Equity","CF_DISPOSAL_OF_FIXED_PROD_ASSETS","FQ3 2025","FQ3 2025","Currency=USD","Period=FQ","BEST_FPERIOD_OVERRIDE=FQ","FILING_STATUS=MR","SCALING_FORMAT=MLN","Sort=A","Dates=H","DateFormat=P","Fill=—","Direction=H","UseDPDF=Y")</f>
        <v>66</v>
      </c>
      <c r="AN23" s="16">
        <f>_xll.BDH("WMT US Equity","CF_DISPOSAL_OF_FIXED_PROD_ASSETS","FQ4 2025","FQ4 2025","Currency=USD","Period=FQ","BEST_FPERIOD_OVERRIDE=FQ","FILING_STATUS=MR","SCALING_FORMAT=MLN","Sort=A","Dates=H","DateFormat=P","Fill=—","Direction=H","UseDPDF=Y")</f>
        <v>74</v>
      </c>
      <c r="AO23" s="16">
        <f>_xll.BDH("WMT US Equity","CF_DISPOSAL_OF_FIXED_PROD_ASSETS","FQ1 2026","FQ1 2026","Currency=USD","Period=FQ","BEST_FPERIOD_OVERRIDE=FQ","FILING_STATUS=MR","SCALING_FORMAT=MLN","Sort=A","Dates=H","DateFormat=P","Fill=—","Direction=H","UseDPDF=Y")</f>
        <v>25</v>
      </c>
      <c r="AP23" s="16">
        <f>_xll.BDH("WMT US Equity","CF_DISPOSAL_OF_FIXED_PROD_ASSETS","FQ2 2026","FQ2 2026","Currency=USD","Period=FQ","BEST_FPERIOD_OVERRIDE=FQ","FILING_STATUS=MR","SCALING_FORMAT=MLN","Sort=A","Dates=H","DateFormat=P","Fill=—","Direction=H","UseDPDF=Y")</f>
        <v>16</v>
      </c>
    </row>
    <row r="24" spans="1:42" x14ac:dyDescent="0.3">
      <c r="A24" s="11" t="s">
        <v>164</v>
      </c>
      <c r="B24" s="11" t="s">
        <v>101</v>
      </c>
      <c r="C24" s="16">
        <f>_xll.BDH("WMT US Equity","CF_DISPOSAL_OF_INTANGIBLE_ASSETS","FQ3 2016","FQ3 2016","Currency=USD","Period=FQ","BEST_FPERIOD_OVERRIDE=FQ","FILING_STATUS=MR","SCALING_FORMAT=MLN","Sort=A","Dates=H","DateFormat=P","Fill=—","Direction=H","UseDPDF=Y")</f>
        <v>0</v>
      </c>
      <c r="D24" s="16">
        <f>_xll.BDH("WMT US Equity","CF_DISPOSAL_OF_INTANGIBLE_ASSETS","FQ4 2016","FQ4 2016","Currency=USD","Period=FQ","BEST_FPERIOD_OVERRIDE=FQ","FILING_STATUS=MR","SCALING_FORMAT=MLN","Sort=A","Dates=H","DateFormat=P","Fill=—","Direction=H","UseDPDF=Y")</f>
        <v>0</v>
      </c>
      <c r="E24" s="16">
        <f>_xll.BDH("WMT US Equity","CF_DISPOSAL_OF_INTANGIBLE_ASSETS","FQ1 2017","FQ1 2017","Currency=USD","Period=FQ","BEST_FPERIOD_OVERRIDE=FQ","FILING_STATUS=MR","SCALING_FORMAT=MLN","Sort=A","Dates=H","DateFormat=P","Fill=—","Direction=H","UseDPDF=Y")</f>
        <v>0</v>
      </c>
      <c r="F24" s="16">
        <f>_xll.BDH("WMT US Equity","CF_DISPOSAL_OF_INTANGIBLE_ASSETS","FQ2 2017","FQ2 2017","Currency=USD","Period=FQ","BEST_FPERIOD_OVERRIDE=FQ","FILING_STATUS=MR","SCALING_FORMAT=MLN","Sort=A","Dates=H","DateFormat=P","Fill=—","Direction=H","UseDPDF=Y")</f>
        <v>0</v>
      </c>
      <c r="G24" s="16">
        <f>_xll.BDH("WMT US Equity","CF_DISPOSAL_OF_INTANGIBLE_ASSETS","FQ3 2017","FQ3 2017","Currency=USD","Period=FQ","BEST_FPERIOD_OVERRIDE=FQ","FILING_STATUS=MR","SCALING_FORMAT=MLN","Sort=A","Dates=H","DateFormat=P","Fill=—","Direction=H","UseDPDF=Y")</f>
        <v>0</v>
      </c>
      <c r="H24" s="16">
        <f>_xll.BDH("WMT US Equity","CF_DISPOSAL_OF_INTANGIBLE_ASSETS","FQ4 2017","FQ4 2017","Currency=USD","Period=FQ","BEST_FPERIOD_OVERRIDE=FQ","FILING_STATUS=MR","SCALING_FORMAT=MLN","Sort=A","Dates=H","DateFormat=P","Fill=—","Direction=H","UseDPDF=Y")</f>
        <v>0</v>
      </c>
      <c r="I24" s="16">
        <f>_xll.BDH("WMT US Equity","CF_DISPOSAL_OF_INTANGIBLE_ASSETS","FQ1 2018","FQ1 2018","Currency=USD","Period=FQ","BEST_FPERIOD_OVERRIDE=FQ","FILING_STATUS=MR","SCALING_FORMAT=MLN","Sort=A","Dates=H","DateFormat=P","Fill=—","Direction=H","UseDPDF=Y")</f>
        <v>0</v>
      </c>
      <c r="J24" s="16">
        <f>_xll.BDH("WMT US Equity","CF_DISPOSAL_OF_INTANGIBLE_ASSETS","FQ2 2018","FQ2 2018","Currency=USD","Period=FQ","BEST_FPERIOD_OVERRIDE=FQ","FILING_STATUS=MR","SCALING_FORMAT=MLN","Sort=A","Dates=H","DateFormat=P","Fill=—","Direction=H","UseDPDF=Y")</f>
        <v>0</v>
      </c>
      <c r="K24" s="16">
        <f>_xll.BDH("WMT US Equity","CF_DISPOSAL_OF_INTANGIBLE_ASSETS","FQ3 2018","FQ3 2018","Currency=USD","Period=FQ","BEST_FPERIOD_OVERRIDE=FQ","FILING_STATUS=MR","SCALING_FORMAT=MLN","Sort=A","Dates=H","DateFormat=P","Fill=—","Direction=H","UseDPDF=Y")</f>
        <v>0</v>
      </c>
      <c r="L24" s="16">
        <f>_xll.BDH("WMT US Equity","CF_DISPOSAL_OF_INTANGIBLE_ASSETS","FQ4 2018","FQ4 2018","Currency=USD","Period=FQ","BEST_FPERIOD_OVERRIDE=FQ","FILING_STATUS=MR","SCALING_FORMAT=MLN","Sort=A","Dates=H","DateFormat=P","Fill=—","Direction=H","UseDPDF=Y")</f>
        <v>0</v>
      </c>
      <c r="M24" s="16">
        <f>_xll.BDH("WMT US Equity","CF_DISPOSAL_OF_INTANGIBLE_ASSETS","FQ1 2019","FQ1 2019","Currency=USD","Period=FQ","BEST_FPERIOD_OVERRIDE=FQ","FILING_STATUS=MR","SCALING_FORMAT=MLN","Sort=A","Dates=H","DateFormat=P","Fill=—","Direction=H","UseDPDF=Y")</f>
        <v>0</v>
      </c>
      <c r="N24" s="16">
        <f>_xll.BDH("WMT US Equity","CF_DISPOSAL_OF_INTANGIBLE_ASSETS","FQ2 2019","FQ2 2019","Currency=USD","Period=FQ","BEST_FPERIOD_OVERRIDE=FQ","FILING_STATUS=MR","SCALING_FORMAT=MLN","Sort=A","Dates=H","DateFormat=P","Fill=—","Direction=H","UseDPDF=Y")</f>
        <v>0</v>
      </c>
      <c r="O24" s="16">
        <f>_xll.BDH("WMT US Equity","CF_DISPOSAL_OF_INTANGIBLE_ASSETS","FQ3 2019","FQ3 2019","Currency=USD","Period=FQ","BEST_FPERIOD_OVERRIDE=FQ","FILING_STATUS=MR","SCALING_FORMAT=MLN","Sort=A","Dates=H","DateFormat=P","Fill=—","Direction=H","UseDPDF=Y")</f>
        <v>0</v>
      </c>
      <c r="P24" s="16">
        <f>_xll.BDH("WMT US Equity","CF_DISPOSAL_OF_INTANGIBLE_ASSETS","FQ4 2019","FQ4 2019","Currency=USD","Period=FQ","BEST_FPERIOD_OVERRIDE=FQ","FILING_STATUS=MR","SCALING_FORMAT=MLN","Sort=A","Dates=H","DateFormat=P","Fill=—","Direction=H","UseDPDF=Y")</f>
        <v>0</v>
      </c>
      <c r="Q24" s="16">
        <f>_xll.BDH("WMT US Equity","CF_DISPOSAL_OF_INTANGIBLE_ASSETS","FQ1 2020","FQ1 2020","Currency=USD","Period=FQ","BEST_FPERIOD_OVERRIDE=FQ","FILING_STATUS=MR","SCALING_FORMAT=MLN","Sort=A","Dates=H","DateFormat=P","Fill=—","Direction=H","UseDPDF=Y")</f>
        <v>0</v>
      </c>
      <c r="R24" s="16">
        <f>_xll.BDH("WMT US Equity","CF_DISPOSAL_OF_INTANGIBLE_ASSETS","FQ2 2020","FQ2 2020","Currency=USD","Period=FQ","BEST_FPERIOD_OVERRIDE=FQ","FILING_STATUS=MR","SCALING_FORMAT=MLN","Sort=A","Dates=H","DateFormat=P","Fill=—","Direction=H","UseDPDF=Y")</f>
        <v>0</v>
      </c>
      <c r="S24" s="16">
        <f>_xll.BDH("WMT US Equity","CF_DISPOSAL_OF_INTANGIBLE_ASSETS","FQ3 2020","FQ3 2020","Currency=USD","Period=FQ","BEST_FPERIOD_OVERRIDE=FQ","FILING_STATUS=MR","SCALING_FORMAT=MLN","Sort=A","Dates=H","DateFormat=P","Fill=—","Direction=H","UseDPDF=Y")</f>
        <v>0</v>
      </c>
      <c r="T24" s="16">
        <f>_xll.BDH("WMT US Equity","CF_DISPOSAL_OF_INTANGIBLE_ASSETS","FQ4 2020","FQ4 2020","Currency=USD","Period=FQ","BEST_FPERIOD_OVERRIDE=FQ","FILING_STATUS=MR","SCALING_FORMAT=MLN","Sort=A","Dates=H","DateFormat=P","Fill=—","Direction=H","UseDPDF=Y")</f>
        <v>0</v>
      </c>
      <c r="U24" s="16">
        <f>_xll.BDH("WMT US Equity","CF_DISPOSAL_OF_INTANGIBLE_ASSETS","FQ1 2021","FQ1 2021","Currency=USD","Period=FQ","BEST_FPERIOD_OVERRIDE=FQ","FILING_STATUS=MR","SCALING_FORMAT=MLN","Sort=A","Dates=H","DateFormat=P","Fill=—","Direction=H","UseDPDF=Y")</f>
        <v>0</v>
      </c>
      <c r="V24" s="16">
        <f>_xll.BDH("WMT US Equity","CF_DISPOSAL_OF_INTANGIBLE_ASSETS","FQ2 2021","FQ2 2021","Currency=USD","Period=FQ","BEST_FPERIOD_OVERRIDE=FQ","FILING_STATUS=MR","SCALING_FORMAT=MLN","Sort=A","Dates=H","DateFormat=P","Fill=—","Direction=H","UseDPDF=Y")</f>
        <v>0</v>
      </c>
      <c r="W24" s="16">
        <f>_xll.BDH("WMT US Equity","CF_DISPOSAL_OF_INTANGIBLE_ASSETS","FQ3 2021","FQ3 2021","Currency=USD","Period=FQ","BEST_FPERIOD_OVERRIDE=FQ","FILING_STATUS=MR","SCALING_FORMAT=MLN","Sort=A","Dates=H","DateFormat=P","Fill=—","Direction=H","UseDPDF=Y")</f>
        <v>0</v>
      </c>
      <c r="X24" s="16">
        <f>_xll.BDH("WMT US Equity","CF_DISPOSAL_OF_INTANGIBLE_ASSETS","FQ4 2021","FQ4 2021","Currency=USD","Period=FQ","BEST_FPERIOD_OVERRIDE=FQ","FILING_STATUS=MR","SCALING_FORMAT=MLN","Sort=A","Dates=H","DateFormat=P","Fill=—","Direction=H","UseDPDF=Y")</f>
        <v>0</v>
      </c>
      <c r="Y24" s="16">
        <f>_xll.BDH("WMT US Equity","CF_DISPOSAL_OF_INTANGIBLE_ASSETS","FQ1 2022","FQ1 2022","Currency=USD","Period=FQ","BEST_FPERIOD_OVERRIDE=FQ","FILING_STATUS=MR","SCALING_FORMAT=MLN","Sort=A","Dates=H","DateFormat=P","Fill=—","Direction=H","UseDPDF=Y")</f>
        <v>0</v>
      </c>
      <c r="Z24" s="16">
        <f>_xll.BDH("WMT US Equity","CF_DISPOSAL_OF_INTANGIBLE_ASSETS","FQ2 2022","FQ2 2022","Currency=USD","Period=FQ","BEST_FPERIOD_OVERRIDE=FQ","FILING_STATUS=MR","SCALING_FORMAT=MLN","Sort=A","Dates=H","DateFormat=P","Fill=—","Direction=H","UseDPDF=Y")</f>
        <v>0</v>
      </c>
      <c r="AA24" s="16">
        <f>_xll.BDH("WMT US Equity","CF_DISPOSAL_OF_INTANGIBLE_ASSETS","FQ3 2022","FQ3 2022","Currency=USD","Period=FQ","BEST_FPERIOD_OVERRIDE=FQ","FILING_STATUS=MR","SCALING_FORMAT=MLN","Sort=A","Dates=H","DateFormat=P","Fill=—","Direction=H","UseDPDF=Y")</f>
        <v>0</v>
      </c>
      <c r="AB24" s="16">
        <f>_xll.BDH("WMT US Equity","CF_DISPOSAL_OF_INTANGIBLE_ASSETS","FQ4 2022","FQ4 2022","Currency=USD","Period=FQ","BEST_FPERIOD_OVERRIDE=FQ","FILING_STATUS=MR","SCALING_FORMAT=MLN","Sort=A","Dates=H","DateFormat=P","Fill=—","Direction=H","UseDPDF=Y")</f>
        <v>0</v>
      </c>
      <c r="AC24" s="16">
        <f>_xll.BDH("WMT US Equity","CF_DISPOSAL_OF_INTANGIBLE_ASSETS","FQ1 2023","FQ1 2023","Currency=USD","Period=FQ","BEST_FPERIOD_OVERRIDE=FQ","FILING_STATUS=MR","SCALING_FORMAT=MLN","Sort=A","Dates=H","DateFormat=P","Fill=—","Direction=H","UseDPDF=Y")</f>
        <v>0</v>
      </c>
      <c r="AD24" s="16">
        <f>_xll.BDH("WMT US Equity","CF_DISPOSAL_OF_INTANGIBLE_ASSETS","FQ2 2023","FQ2 2023","Currency=USD","Period=FQ","BEST_FPERIOD_OVERRIDE=FQ","FILING_STATUS=MR","SCALING_FORMAT=MLN","Sort=A","Dates=H","DateFormat=P","Fill=—","Direction=H","UseDPDF=Y")</f>
        <v>0</v>
      </c>
      <c r="AE24" s="16">
        <f>_xll.BDH("WMT US Equity","CF_DISPOSAL_OF_INTANGIBLE_ASSETS","FQ3 2023","FQ3 2023","Currency=USD","Period=FQ","BEST_FPERIOD_OVERRIDE=FQ","FILING_STATUS=MR","SCALING_FORMAT=MLN","Sort=A","Dates=H","DateFormat=P","Fill=—","Direction=H","UseDPDF=Y")</f>
        <v>0</v>
      </c>
      <c r="AF24" s="16">
        <f>_xll.BDH("WMT US Equity","CF_DISPOSAL_OF_INTANGIBLE_ASSETS","FQ4 2023","FQ4 2023","Currency=USD","Period=FQ","BEST_FPERIOD_OVERRIDE=FQ","FILING_STATUS=MR","SCALING_FORMAT=MLN","Sort=A","Dates=H","DateFormat=P","Fill=—","Direction=H","UseDPDF=Y")</f>
        <v>0</v>
      </c>
      <c r="AG24" s="16">
        <f>_xll.BDH("WMT US Equity","CF_DISPOSAL_OF_INTANGIBLE_ASSETS","FQ1 2024","FQ1 2024","Currency=USD","Period=FQ","BEST_FPERIOD_OVERRIDE=FQ","FILING_STATUS=MR","SCALING_FORMAT=MLN","Sort=A","Dates=H","DateFormat=P","Fill=—","Direction=H","UseDPDF=Y")</f>
        <v>0</v>
      </c>
      <c r="AH24" s="16">
        <f>_xll.BDH("WMT US Equity","CF_DISPOSAL_OF_INTANGIBLE_ASSETS","FQ2 2024","FQ2 2024","Currency=USD","Period=FQ","BEST_FPERIOD_OVERRIDE=FQ","FILING_STATUS=MR","SCALING_FORMAT=MLN","Sort=A","Dates=H","DateFormat=P","Fill=—","Direction=H","UseDPDF=Y")</f>
        <v>0</v>
      </c>
      <c r="AI24" s="16">
        <f>_xll.BDH("WMT US Equity","CF_DISPOSAL_OF_INTANGIBLE_ASSETS","FQ3 2024","FQ3 2024","Currency=USD","Period=FQ","BEST_FPERIOD_OVERRIDE=FQ","FILING_STATUS=MR","SCALING_FORMAT=MLN","Sort=A","Dates=H","DateFormat=P","Fill=—","Direction=H","UseDPDF=Y")</f>
        <v>0</v>
      </c>
      <c r="AJ24" s="16">
        <f>_xll.BDH("WMT US Equity","CF_DISPOSAL_OF_INTANGIBLE_ASSETS","FQ4 2024","FQ4 2024","Currency=USD","Period=FQ","BEST_FPERIOD_OVERRIDE=FQ","FILING_STATUS=MR","SCALING_FORMAT=MLN","Sort=A","Dates=H","DateFormat=P","Fill=—","Direction=H","UseDPDF=Y")</f>
        <v>0</v>
      </c>
      <c r="AK24" s="16">
        <f>_xll.BDH("WMT US Equity","CF_DISPOSAL_OF_INTANGIBLE_ASSETS","FQ1 2025","FQ1 2025","Currency=USD","Period=FQ","BEST_FPERIOD_OVERRIDE=FQ","FILING_STATUS=MR","SCALING_FORMAT=MLN","Sort=A","Dates=H","DateFormat=P","Fill=—","Direction=H","UseDPDF=Y")</f>
        <v>0</v>
      </c>
      <c r="AL24" s="16">
        <f>_xll.BDH("WMT US Equity","CF_DISPOSAL_OF_INTANGIBLE_ASSETS","FQ2 2025","FQ2 2025","Currency=USD","Period=FQ","BEST_FPERIOD_OVERRIDE=FQ","FILING_STATUS=MR","SCALING_FORMAT=MLN","Sort=A","Dates=H","DateFormat=P","Fill=—","Direction=H","UseDPDF=Y")</f>
        <v>0</v>
      </c>
      <c r="AM24" s="16">
        <f>_xll.BDH("WMT US Equity","CF_DISPOSAL_OF_INTANGIBLE_ASSETS","FQ3 2025","FQ3 2025","Currency=USD","Period=FQ","BEST_FPERIOD_OVERRIDE=FQ","FILING_STATUS=MR","SCALING_FORMAT=MLN","Sort=A","Dates=H","DateFormat=P","Fill=—","Direction=H","UseDPDF=Y")</f>
        <v>0</v>
      </c>
      <c r="AN24" s="16">
        <f>_xll.BDH("WMT US Equity","CF_DISPOSAL_OF_INTANGIBLE_ASSETS","FQ4 2025","FQ4 2025","Currency=USD","Period=FQ","BEST_FPERIOD_OVERRIDE=FQ","FILING_STATUS=MR","SCALING_FORMAT=MLN","Sort=A","Dates=H","DateFormat=P","Fill=—","Direction=H","UseDPDF=Y")</f>
        <v>0</v>
      </c>
      <c r="AO24" s="16">
        <f>_xll.BDH("WMT US Equity","CF_DISPOSAL_OF_INTANGIBLE_ASSETS","FQ1 2026","FQ1 2026","Currency=USD","Period=FQ","BEST_FPERIOD_OVERRIDE=FQ","FILING_STATUS=MR","SCALING_FORMAT=MLN","Sort=A","Dates=H","DateFormat=P","Fill=—","Direction=H","UseDPDF=Y")</f>
        <v>0</v>
      </c>
      <c r="AP24" s="16">
        <f>_xll.BDH("WMT US Equity","CF_DISPOSAL_OF_INTANGIBLE_ASSETS","FQ2 2026","FQ2 2026","Currency=USD","Period=FQ","BEST_FPERIOD_OVERRIDE=FQ","FILING_STATUS=MR","SCALING_FORMAT=MLN","Sort=A","Dates=H","DateFormat=P","Fill=—","Direction=H","UseDPDF=Y")</f>
        <v>0</v>
      </c>
    </row>
    <row r="25" spans="1:42" x14ac:dyDescent="0.3">
      <c r="A25" s="10" t="s">
        <v>165</v>
      </c>
      <c r="B25" s="10" t="s">
        <v>102</v>
      </c>
      <c r="C25" s="12">
        <f>_xll.BDH("WMT US Equity","ACQUIS_OF_FIXED_INTANG","FQ3 2016","FQ3 2016","Currency=USD","Period=FQ","BEST_FPERIOD_OVERRIDE=FQ","FILING_STATUS=MR","SCALING_FORMAT=MLN","Sort=A","Dates=H","DateFormat=P","Fill=—","Direction=H","UseDPDF=Y")</f>
        <v>-3179</v>
      </c>
      <c r="D25" s="12">
        <f>_xll.BDH("WMT US Equity","ACQUIS_OF_FIXED_INTANG","FQ4 2016","FQ4 2016","Currency=USD","Period=FQ","BEST_FPERIOD_OVERRIDE=FQ","FILING_STATUS=MR","SCALING_FORMAT=MLN","Sort=A","Dates=H","DateFormat=P","Fill=—","Direction=H","UseDPDF=Y")</f>
        <v>-3254</v>
      </c>
      <c r="E25" s="12">
        <f>_xll.BDH("WMT US Equity","ACQUIS_OF_FIXED_INTANG","FQ1 2017","FQ1 2017","Currency=USD","Period=FQ","BEST_FPERIOD_OVERRIDE=FQ","FILING_STATUS=MR","SCALING_FORMAT=MLN","Sort=A","Dates=H","DateFormat=P","Fill=—","Direction=H","UseDPDF=Y")</f>
        <v>-2209</v>
      </c>
      <c r="F25" s="12">
        <f>_xll.BDH("WMT US Equity","ACQUIS_OF_FIXED_INTANG","FQ2 2017","FQ2 2017","Currency=USD","Period=FQ","BEST_FPERIOD_OVERRIDE=FQ","FILING_STATUS=MR","SCALING_FORMAT=MLN","Sort=A","Dates=H","DateFormat=P","Fill=—","Direction=H","UseDPDF=Y")</f>
        <v>-2410</v>
      </c>
      <c r="G25" s="12">
        <f>_xll.BDH("WMT US Equity","ACQUIS_OF_FIXED_INTANG","FQ3 2017","FQ3 2017","Currency=USD","Period=FQ","BEST_FPERIOD_OVERRIDE=FQ","FILING_STATUS=MR","SCALING_FORMAT=MLN","Sort=A","Dates=H","DateFormat=P","Fill=—","Direction=H","UseDPDF=Y")</f>
        <v>-2840</v>
      </c>
      <c r="H25" s="12">
        <f>_xll.BDH("WMT US Equity","ACQUIS_OF_FIXED_INTANG","FQ4 2017","FQ4 2017","Currency=USD","Period=FQ","BEST_FPERIOD_OVERRIDE=FQ","FILING_STATUS=MR","SCALING_FORMAT=MLN","Sort=A","Dates=H","DateFormat=P","Fill=—","Direction=H","UseDPDF=Y")</f>
        <v>-3487</v>
      </c>
      <c r="I25" s="12">
        <f>_xll.BDH("WMT US Equity","ACQUIS_OF_FIXED_INTANG","FQ1 2018","FQ1 2018","Currency=USD","Period=FQ","BEST_FPERIOD_OVERRIDE=FQ","FILING_STATUS=MR","SCALING_FORMAT=MLN","Sort=A","Dates=H","DateFormat=P","Fill=—","Direction=H","UseDPDF=Y")</f>
        <v>-1990</v>
      </c>
      <c r="J25" s="12">
        <f>_xll.BDH("WMT US Equity","ACQUIS_OF_FIXED_INTANG","FQ2 2018","FQ2 2018","Currency=USD","Period=FQ","BEST_FPERIOD_OVERRIDE=FQ","FILING_STATUS=MR","SCALING_FORMAT=MLN","Sort=A","Dates=H","DateFormat=P","Fill=—","Direction=H","UseDPDF=Y")</f>
        <v>-2433</v>
      </c>
      <c r="K25" s="12">
        <f>_xll.BDH("WMT US Equity","ACQUIS_OF_FIXED_INTANG","FQ3 2018","FQ3 2018","Currency=USD","Period=FQ","BEST_FPERIOD_OVERRIDE=FQ","FILING_STATUS=MR","SCALING_FORMAT=MLN","Sort=A","Dates=H","DateFormat=P","Fill=—","Direction=H","UseDPDF=Y")</f>
        <v>-2485</v>
      </c>
      <c r="L25" s="12">
        <f>_xll.BDH("WMT US Equity","ACQUIS_OF_FIXED_INTANG","FQ4 2018","FQ4 2018","Currency=USD","Period=FQ","BEST_FPERIOD_OVERRIDE=FQ","FILING_STATUS=MR","SCALING_FORMAT=MLN","Sort=A","Dates=H","DateFormat=P","Fill=—","Direction=H","UseDPDF=Y")</f>
        <v>-3143</v>
      </c>
      <c r="M25" s="12">
        <f>_xll.BDH("WMT US Equity","ACQUIS_OF_FIXED_INTANG","FQ1 2019","FQ1 2019","Currency=USD","Period=FQ","BEST_FPERIOD_OVERRIDE=FQ","FILING_STATUS=MR","SCALING_FORMAT=MLN","Sort=A","Dates=H","DateFormat=P","Fill=—","Direction=H","UseDPDF=Y")</f>
        <v>-1818</v>
      </c>
      <c r="N25" s="12">
        <f>_xll.BDH("WMT US Equity","ACQUIS_OF_FIXED_INTANG","FQ2 2019","FQ2 2019","Currency=USD","Period=FQ","BEST_FPERIOD_OVERRIDE=FQ","FILING_STATUS=MR","SCALING_FORMAT=MLN","Sort=A","Dates=H","DateFormat=P","Fill=—","Direction=H","UseDPDF=Y")</f>
        <v>-2464</v>
      </c>
      <c r="O25" s="12">
        <f>_xll.BDH("WMT US Equity","ACQUIS_OF_FIXED_INTANG","FQ3 2019","FQ3 2019","Currency=USD","Period=FQ","BEST_FPERIOD_OVERRIDE=FQ","FILING_STATUS=MR","SCALING_FORMAT=MLN","Sort=A","Dates=H","DateFormat=P","Fill=—","Direction=H","UseDPDF=Y")</f>
        <v>-2732</v>
      </c>
      <c r="P25" s="12">
        <f>_xll.BDH("WMT US Equity","ACQUIS_OF_FIXED_INTANG","FQ4 2019","FQ4 2019","Currency=USD","Period=FQ","BEST_FPERIOD_OVERRIDE=FQ","FILING_STATUS=MR","SCALING_FORMAT=MLN","Sort=A","Dates=H","DateFormat=P","Fill=—","Direction=H","UseDPDF=Y")</f>
        <v>-3330</v>
      </c>
      <c r="Q25" s="12">
        <f>_xll.BDH("WMT US Equity","ACQUIS_OF_FIXED_INTANG","FQ1 2020","FQ1 2020","Currency=USD","Period=FQ","BEST_FPERIOD_OVERRIDE=FQ","FILING_STATUS=MR","SCALING_FORMAT=MLN","Sort=A","Dates=H","DateFormat=P","Fill=—","Direction=H","UseDPDF=Y")</f>
        <v>-2205</v>
      </c>
      <c r="R25" s="12">
        <f>_xll.BDH("WMT US Equity","ACQUIS_OF_FIXED_INTANG","FQ2 2020","FQ2 2020","Currency=USD","Period=FQ","BEST_FPERIOD_OVERRIDE=FQ","FILING_STATUS=MR","SCALING_FORMAT=MLN","Sort=A","Dates=H","DateFormat=P","Fill=—","Direction=H","UseDPDF=Y")</f>
        <v>-2666</v>
      </c>
      <c r="S25" s="12">
        <f>_xll.BDH("WMT US Equity","ACQUIS_OF_FIXED_INTANG","FQ3 2020","FQ3 2020","Currency=USD","Period=FQ","BEST_FPERIOD_OVERRIDE=FQ","FILING_STATUS=MR","SCALING_FORMAT=MLN","Sort=A","Dates=H","DateFormat=P","Fill=—","Direction=H","UseDPDF=Y")</f>
        <v>-2894</v>
      </c>
      <c r="T25" s="12">
        <f>_xll.BDH("WMT US Equity","ACQUIS_OF_FIXED_INTANG","FQ4 2020","FQ4 2020","Currency=USD","Period=FQ","BEST_FPERIOD_OVERRIDE=FQ","FILING_STATUS=MR","SCALING_FORMAT=MLN","Sort=A","Dates=H","DateFormat=P","Fill=—","Direction=H","UseDPDF=Y")</f>
        <v>-2940</v>
      </c>
      <c r="U25" s="12">
        <f>_xll.BDH("WMT US Equity","ACQUIS_OF_FIXED_INTANG","FQ1 2021","FQ1 2021","Currency=USD","Period=FQ","BEST_FPERIOD_OVERRIDE=FQ","FILING_STATUS=MR","SCALING_FORMAT=MLN","Sort=A","Dates=H","DateFormat=P","Fill=—","Direction=H","UseDPDF=Y")</f>
        <v>-1752</v>
      </c>
      <c r="V25" s="12">
        <f>_xll.BDH("WMT US Equity","ACQUIS_OF_FIXED_INTANG","FQ2 2021","FQ2 2021","Currency=USD","Period=FQ","BEST_FPERIOD_OVERRIDE=FQ","FILING_STATUS=MR","SCALING_FORMAT=MLN","Sort=A","Dates=H","DateFormat=P","Fill=—","Direction=H","UseDPDF=Y")</f>
        <v>-1817</v>
      </c>
      <c r="W25" s="12">
        <f>_xll.BDH("WMT US Equity","ACQUIS_OF_FIXED_INTANG","FQ3 2021","FQ3 2021","Currency=USD","Period=FQ","BEST_FPERIOD_OVERRIDE=FQ","FILING_STATUS=MR","SCALING_FORMAT=MLN","Sort=A","Dates=H","DateFormat=P","Fill=—","Direction=H","UseDPDF=Y")</f>
        <v>-2869</v>
      </c>
      <c r="X25" s="12">
        <f>_xll.BDH("WMT US Equity","ACQUIS_OF_FIXED_INTANG","FQ4 2021","FQ4 2021","Currency=USD","Period=FQ","BEST_FPERIOD_OVERRIDE=FQ","FILING_STATUS=MR","SCALING_FORMAT=MLN","Sort=A","Dates=H","DateFormat=P","Fill=—","Direction=H","UseDPDF=Y")</f>
        <v>-3826</v>
      </c>
      <c r="Y25" s="12">
        <f>_xll.BDH("WMT US Equity","ACQUIS_OF_FIXED_INTANG","FQ1 2022","FQ1 2022","Currency=USD","Period=FQ","BEST_FPERIOD_OVERRIDE=FQ","FILING_STATUS=MR","SCALING_FORMAT=MLN","Sort=A","Dates=H","DateFormat=P","Fill=—","Direction=H","UseDPDF=Y")</f>
        <v>-2214</v>
      </c>
      <c r="Z25" s="12">
        <f>_xll.BDH("WMT US Equity","ACQUIS_OF_FIXED_INTANG","FQ2 2022","FQ2 2022","Currency=USD","Period=FQ","BEST_FPERIOD_OVERRIDE=FQ","FILING_STATUS=MR","SCALING_FORMAT=MLN","Sort=A","Dates=H","DateFormat=P","Fill=—","Direction=H","UseDPDF=Y")</f>
        <v>-2805</v>
      </c>
      <c r="AA25" s="12">
        <f>_xll.BDH("WMT US Equity","ACQUIS_OF_FIXED_INTANG","FQ3 2022","FQ3 2022","Currency=USD","Period=FQ","BEST_FPERIOD_OVERRIDE=FQ","FILING_STATUS=MR","SCALING_FORMAT=MLN","Sort=A","Dates=H","DateFormat=P","Fill=—","Direction=H","UseDPDF=Y")</f>
        <v>-3569</v>
      </c>
      <c r="AB25" s="12">
        <f>_xll.BDH("WMT US Equity","ACQUIS_OF_FIXED_INTANG","FQ4 2022","FQ4 2022","Currency=USD","Period=FQ","BEST_FPERIOD_OVERRIDE=FQ","FILING_STATUS=MR","SCALING_FORMAT=MLN","Sort=A","Dates=H","DateFormat=P","Fill=—","Direction=H","UseDPDF=Y")</f>
        <v>-4518</v>
      </c>
      <c r="AC25" s="12">
        <f>_xll.BDH("WMT US Equity","ACQUIS_OF_FIXED_INTANG","FQ1 2023","FQ1 2023","Currency=USD","Period=FQ","BEST_FPERIOD_OVERRIDE=FQ","FILING_STATUS=MR","SCALING_FORMAT=MLN","Sort=A","Dates=H","DateFormat=P","Fill=—","Direction=H","UseDPDF=Y")</f>
        <v>-3539</v>
      </c>
      <c r="AD25" s="12">
        <f>_xll.BDH("WMT US Equity","ACQUIS_OF_FIXED_INTANG","FQ2 2023","FQ2 2023","Currency=USD","Period=FQ","BEST_FPERIOD_OVERRIDE=FQ","FILING_STATUS=MR","SCALING_FORMAT=MLN","Sort=A","Dates=H","DateFormat=P","Fill=—","Direction=H","UseDPDF=Y")</f>
        <v>-3953</v>
      </c>
      <c r="AE25" s="12">
        <f>_xll.BDH("WMT US Equity","ACQUIS_OF_FIXED_INTANG","FQ3 2023","FQ3 2023","Currency=USD","Period=FQ","BEST_FPERIOD_OVERRIDE=FQ","FILING_STATUS=MR","SCALING_FORMAT=MLN","Sort=A","Dates=H","DateFormat=P","Fill=—","Direction=H","UseDPDF=Y")</f>
        <v>-4569</v>
      </c>
      <c r="AF25" s="12">
        <f>_xll.BDH("WMT US Equity","ACQUIS_OF_FIXED_INTANG","FQ4 2023","FQ4 2023","Currency=USD","Period=FQ","BEST_FPERIOD_OVERRIDE=FQ","FILING_STATUS=MR","SCALING_FORMAT=MLN","Sort=A","Dates=H","DateFormat=P","Fill=—","Direction=H","UseDPDF=Y")</f>
        <v>-4796</v>
      </c>
      <c r="AG25" s="12">
        <f>_xll.BDH("WMT US Equity","ACQUIS_OF_FIXED_INTANG","FQ1 2024","FQ1 2024","Currency=USD","Period=FQ","BEST_FPERIOD_OVERRIDE=FQ","FILING_STATUS=MR","SCALING_FORMAT=MLN","Sort=A","Dates=H","DateFormat=P","Fill=—","Direction=H","UseDPDF=Y")</f>
        <v>-4429</v>
      </c>
      <c r="AH25" s="12">
        <f>_xll.BDH("WMT US Equity","ACQUIS_OF_FIXED_INTANG","FQ2 2024","FQ2 2024","Currency=USD","Period=FQ","BEST_FPERIOD_OVERRIDE=FQ","FILING_STATUS=MR","SCALING_FORMAT=MLN","Sort=A","Dates=H","DateFormat=P","Fill=—","Direction=H","UseDPDF=Y")</f>
        <v>-4787</v>
      </c>
      <c r="AI25" s="12">
        <f>_xll.BDH("WMT US Equity","ACQUIS_OF_FIXED_INTANG","FQ3 2024","FQ3 2024","Currency=USD","Period=FQ","BEST_FPERIOD_OVERRIDE=FQ","FILING_STATUS=MR","SCALING_FORMAT=MLN","Sort=A","Dates=H","DateFormat=P","Fill=—","Direction=H","UseDPDF=Y")</f>
        <v>-5458</v>
      </c>
      <c r="AJ25" s="12">
        <f>_xll.BDH("WMT US Equity","ACQUIS_OF_FIXED_INTANG","FQ4 2024","FQ4 2024","Currency=USD","Period=FQ","BEST_FPERIOD_OVERRIDE=FQ","FILING_STATUS=MR","SCALING_FORMAT=MLN","Sort=A","Dates=H","DateFormat=P","Fill=—","Direction=H","UseDPDF=Y")</f>
        <v>-5932</v>
      </c>
      <c r="AK25" s="12">
        <f>_xll.BDH("WMT US Equity","ACQUIS_OF_FIXED_INTANG","FQ1 2025","FQ1 2025","Currency=USD","Period=FQ","BEST_FPERIOD_OVERRIDE=FQ","FILING_STATUS=MR","SCALING_FORMAT=MLN","Sort=A","Dates=H","DateFormat=P","Fill=—","Direction=H","UseDPDF=Y")</f>
        <v>-4676</v>
      </c>
      <c r="AL25" s="12">
        <f>_xll.BDH("WMT US Equity","ACQUIS_OF_FIXED_INTANG","FQ2 2025","FQ2 2025","Currency=USD","Period=FQ","BEST_FPERIOD_OVERRIDE=FQ","FILING_STATUS=MR","SCALING_FORMAT=MLN","Sort=A","Dates=H","DateFormat=P","Fill=—","Direction=H","UseDPDF=Y")</f>
        <v>-5831</v>
      </c>
      <c r="AM25" s="12">
        <f>_xll.BDH("WMT US Equity","ACQUIS_OF_FIXED_INTANG","FQ3 2025","FQ3 2025","Currency=USD","Period=FQ","BEST_FPERIOD_OVERRIDE=FQ","FILING_STATUS=MR","SCALING_FORMAT=MLN","Sort=A","Dates=H","DateFormat=P","Fill=—","Direction=H","UseDPDF=Y")</f>
        <v>-6189</v>
      </c>
      <c r="AN25" s="12">
        <f>_xll.BDH("WMT US Equity","ACQUIS_OF_FIXED_INTANG","FQ4 2025","FQ4 2025","Currency=USD","Period=FQ","BEST_FPERIOD_OVERRIDE=FQ","FILING_STATUS=MR","SCALING_FORMAT=MLN","Sort=A","Dates=H","DateFormat=P","Fill=—","Direction=H","UseDPDF=Y")</f>
        <v>-7087</v>
      </c>
      <c r="AO25" s="12">
        <f>_xll.BDH("WMT US Equity","ACQUIS_OF_FIXED_INTANG","FQ1 2026","FQ1 2026","Currency=USD","Period=FQ","BEST_FPERIOD_OVERRIDE=FQ","FILING_STATUS=MR","SCALING_FORMAT=MLN","Sort=A","Dates=H","DateFormat=P","Fill=—","Direction=H","UseDPDF=Y")</f>
        <v>-4986</v>
      </c>
      <c r="AP25" s="12">
        <f>_xll.BDH("WMT US Equity","ACQUIS_OF_FIXED_INTANG","FQ2 2026","FQ2 2026","Currency=USD","Period=FQ","BEST_FPERIOD_OVERRIDE=FQ","FILING_STATUS=MR","SCALING_FORMAT=MLN","Sort=A","Dates=H","DateFormat=P","Fill=—","Direction=H","UseDPDF=Y")</f>
        <v>-6423</v>
      </c>
    </row>
    <row r="26" spans="1:42" x14ac:dyDescent="0.3">
      <c r="A26" s="11" t="s">
        <v>166</v>
      </c>
      <c r="B26" s="11" t="s">
        <v>103</v>
      </c>
      <c r="C26" s="16">
        <f>_xll.BDH("WMT US Equity","CF_PURCHASE_OF_FIXED_PROD_ASSETS","FQ3 2016","FQ3 2016","Currency=USD","Period=FQ","BEST_FPERIOD_OVERRIDE=FQ","FILING_STATUS=MR","SCALING_FORMAT=MLN","Sort=A","Dates=H","DateFormat=P","Fill=—","Direction=H","UseDPDF=Y")</f>
        <v>-3179</v>
      </c>
      <c r="D26" s="16">
        <f>_xll.BDH("WMT US Equity","CF_PURCHASE_OF_FIXED_PROD_ASSETS","FQ4 2016","FQ4 2016","Currency=USD","Period=FQ","BEST_FPERIOD_OVERRIDE=FQ","FILING_STATUS=MR","SCALING_FORMAT=MLN","Sort=A","Dates=H","DateFormat=P","Fill=—","Direction=H","UseDPDF=Y")</f>
        <v>-3254</v>
      </c>
      <c r="E26" s="16">
        <f>_xll.BDH("WMT US Equity","CF_PURCHASE_OF_FIXED_PROD_ASSETS","FQ1 2017","FQ1 2017","Currency=USD","Period=FQ","BEST_FPERIOD_OVERRIDE=FQ","FILING_STATUS=MR","SCALING_FORMAT=MLN","Sort=A","Dates=H","DateFormat=P","Fill=—","Direction=H","UseDPDF=Y")</f>
        <v>-2209</v>
      </c>
      <c r="F26" s="16">
        <f>_xll.BDH("WMT US Equity","CF_PURCHASE_OF_FIXED_PROD_ASSETS","FQ2 2017","FQ2 2017","Currency=USD","Period=FQ","BEST_FPERIOD_OVERRIDE=FQ","FILING_STATUS=MR","SCALING_FORMAT=MLN","Sort=A","Dates=H","DateFormat=P","Fill=—","Direction=H","UseDPDF=Y")</f>
        <v>-2410</v>
      </c>
      <c r="G26" s="16">
        <f>_xll.BDH("WMT US Equity","CF_PURCHASE_OF_FIXED_PROD_ASSETS","FQ3 2017","FQ3 2017","Currency=USD","Period=FQ","BEST_FPERIOD_OVERRIDE=FQ","FILING_STATUS=MR","SCALING_FORMAT=MLN","Sort=A","Dates=H","DateFormat=P","Fill=—","Direction=H","UseDPDF=Y")</f>
        <v>-2840</v>
      </c>
      <c r="H26" s="16">
        <f>_xll.BDH("WMT US Equity","CF_PURCHASE_OF_FIXED_PROD_ASSETS","FQ4 2017","FQ4 2017","Currency=USD","Period=FQ","BEST_FPERIOD_OVERRIDE=FQ","FILING_STATUS=MR","SCALING_FORMAT=MLN","Sort=A","Dates=H","DateFormat=P","Fill=—","Direction=H","UseDPDF=Y")</f>
        <v>-3487</v>
      </c>
      <c r="I26" s="16">
        <f>_xll.BDH("WMT US Equity","CF_PURCHASE_OF_FIXED_PROD_ASSETS","FQ1 2018","FQ1 2018","Currency=USD","Period=FQ","BEST_FPERIOD_OVERRIDE=FQ","FILING_STATUS=MR","SCALING_FORMAT=MLN","Sort=A","Dates=H","DateFormat=P","Fill=—","Direction=H","UseDPDF=Y")</f>
        <v>-1990</v>
      </c>
      <c r="J26" s="16">
        <f>_xll.BDH("WMT US Equity","CF_PURCHASE_OF_FIXED_PROD_ASSETS","FQ2 2018","FQ2 2018","Currency=USD","Period=FQ","BEST_FPERIOD_OVERRIDE=FQ","FILING_STATUS=MR","SCALING_FORMAT=MLN","Sort=A","Dates=H","DateFormat=P","Fill=—","Direction=H","UseDPDF=Y")</f>
        <v>-2433</v>
      </c>
      <c r="K26" s="16">
        <f>_xll.BDH("WMT US Equity","CF_PURCHASE_OF_FIXED_PROD_ASSETS","FQ3 2018","FQ3 2018","Currency=USD","Period=FQ","BEST_FPERIOD_OVERRIDE=FQ","FILING_STATUS=MR","SCALING_FORMAT=MLN","Sort=A","Dates=H","DateFormat=P","Fill=—","Direction=H","UseDPDF=Y")</f>
        <v>-2485</v>
      </c>
      <c r="L26" s="16">
        <f>_xll.BDH("WMT US Equity","CF_PURCHASE_OF_FIXED_PROD_ASSETS","FQ4 2018","FQ4 2018","Currency=USD","Period=FQ","BEST_FPERIOD_OVERRIDE=FQ","FILING_STATUS=MR","SCALING_FORMAT=MLN","Sort=A","Dates=H","DateFormat=P","Fill=—","Direction=H","UseDPDF=Y")</f>
        <v>-3143</v>
      </c>
      <c r="M26" s="16">
        <f>_xll.BDH("WMT US Equity","CF_PURCHASE_OF_FIXED_PROD_ASSETS","FQ1 2019","FQ1 2019","Currency=USD","Period=FQ","BEST_FPERIOD_OVERRIDE=FQ","FILING_STATUS=MR","SCALING_FORMAT=MLN","Sort=A","Dates=H","DateFormat=P","Fill=—","Direction=H","UseDPDF=Y")</f>
        <v>-1818</v>
      </c>
      <c r="N26" s="16">
        <f>_xll.BDH("WMT US Equity","CF_PURCHASE_OF_FIXED_PROD_ASSETS","FQ2 2019","FQ2 2019","Currency=USD","Period=FQ","BEST_FPERIOD_OVERRIDE=FQ","FILING_STATUS=MR","SCALING_FORMAT=MLN","Sort=A","Dates=H","DateFormat=P","Fill=—","Direction=H","UseDPDF=Y")</f>
        <v>-2464</v>
      </c>
      <c r="O26" s="16">
        <f>_xll.BDH("WMT US Equity","CF_PURCHASE_OF_FIXED_PROD_ASSETS","FQ3 2019","FQ3 2019","Currency=USD","Period=FQ","BEST_FPERIOD_OVERRIDE=FQ","FILING_STATUS=MR","SCALING_FORMAT=MLN","Sort=A","Dates=H","DateFormat=P","Fill=—","Direction=H","UseDPDF=Y")</f>
        <v>-2732</v>
      </c>
      <c r="P26" s="16">
        <f>_xll.BDH("WMT US Equity","CF_PURCHASE_OF_FIXED_PROD_ASSETS","FQ4 2019","FQ4 2019","Currency=USD","Period=FQ","BEST_FPERIOD_OVERRIDE=FQ","FILING_STATUS=MR","SCALING_FORMAT=MLN","Sort=A","Dates=H","DateFormat=P","Fill=—","Direction=H","UseDPDF=Y")</f>
        <v>-3330</v>
      </c>
      <c r="Q26" s="16">
        <f>_xll.BDH("WMT US Equity","CF_PURCHASE_OF_FIXED_PROD_ASSETS","FQ1 2020","FQ1 2020","Currency=USD","Period=FQ","BEST_FPERIOD_OVERRIDE=FQ","FILING_STATUS=MR","SCALING_FORMAT=MLN","Sort=A","Dates=H","DateFormat=P","Fill=—","Direction=H","UseDPDF=Y")</f>
        <v>-2205</v>
      </c>
      <c r="R26" s="16">
        <f>_xll.BDH("WMT US Equity","CF_PURCHASE_OF_FIXED_PROD_ASSETS","FQ2 2020","FQ2 2020","Currency=USD","Period=FQ","BEST_FPERIOD_OVERRIDE=FQ","FILING_STATUS=MR","SCALING_FORMAT=MLN","Sort=A","Dates=H","DateFormat=P","Fill=—","Direction=H","UseDPDF=Y")</f>
        <v>-2666</v>
      </c>
      <c r="S26" s="16">
        <f>_xll.BDH("WMT US Equity","CF_PURCHASE_OF_FIXED_PROD_ASSETS","FQ3 2020","FQ3 2020","Currency=USD","Period=FQ","BEST_FPERIOD_OVERRIDE=FQ","FILING_STATUS=MR","SCALING_FORMAT=MLN","Sort=A","Dates=H","DateFormat=P","Fill=—","Direction=H","UseDPDF=Y")</f>
        <v>-2894</v>
      </c>
      <c r="T26" s="16">
        <f>_xll.BDH("WMT US Equity","CF_PURCHASE_OF_FIXED_PROD_ASSETS","FQ4 2020","FQ4 2020","Currency=USD","Period=FQ","BEST_FPERIOD_OVERRIDE=FQ","FILING_STATUS=MR","SCALING_FORMAT=MLN","Sort=A","Dates=H","DateFormat=P","Fill=—","Direction=H","UseDPDF=Y")</f>
        <v>-2940</v>
      </c>
      <c r="U26" s="16">
        <f>_xll.BDH("WMT US Equity","CF_PURCHASE_OF_FIXED_PROD_ASSETS","FQ1 2021","FQ1 2021","Currency=USD","Period=FQ","BEST_FPERIOD_OVERRIDE=FQ","FILING_STATUS=MR","SCALING_FORMAT=MLN","Sort=A","Dates=H","DateFormat=P","Fill=—","Direction=H","UseDPDF=Y")</f>
        <v>-1752</v>
      </c>
      <c r="V26" s="16">
        <f>_xll.BDH("WMT US Equity","CF_PURCHASE_OF_FIXED_PROD_ASSETS","FQ2 2021","FQ2 2021","Currency=USD","Period=FQ","BEST_FPERIOD_OVERRIDE=FQ","FILING_STATUS=MR","SCALING_FORMAT=MLN","Sort=A","Dates=H","DateFormat=P","Fill=—","Direction=H","UseDPDF=Y")</f>
        <v>-1817</v>
      </c>
      <c r="W26" s="16">
        <f>_xll.BDH("WMT US Equity","CF_PURCHASE_OF_FIXED_PROD_ASSETS","FQ3 2021","FQ3 2021","Currency=USD","Period=FQ","BEST_FPERIOD_OVERRIDE=FQ","FILING_STATUS=MR","SCALING_FORMAT=MLN","Sort=A","Dates=H","DateFormat=P","Fill=—","Direction=H","UseDPDF=Y")</f>
        <v>-2869</v>
      </c>
      <c r="X26" s="16">
        <f>_xll.BDH("WMT US Equity","CF_PURCHASE_OF_FIXED_PROD_ASSETS","FQ4 2021","FQ4 2021","Currency=USD","Period=FQ","BEST_FPERIOD_OVERRIDE=FQ","FILING_STATUS=MR","SCALING_FORMAT=MLN","Sort=A","Dates=H","DateFormat=P","Fill=—","Direction=H","UseDPDF=Y")</f>
        <v>-3826</v>
      </c>
      <c r="Y26" s="16">
        <f>_xll.BDH("WMT US Equity","CF_PURCHASE_OF_FIXED_PROD_ASSETS","FQ1 2022","FQ1 2022","Currency=USD","Period=FQ","BEST_FPERIOD_OVERRIDE=FQ","FILING_STATUS=MR","SCALING_FORMAT=MLN","Sort=A","Dates=H","DateFormat=P","Fill=—","Direction=H","UseDPDF=Y")</f>
        <v>-2214</v>
      </c>
      <c r="Z26" s="16">
        <f>_xll.BDH("WMT US Equity","CF_PURCHASE_OF_FIXED_PROD_ASSETS","FQ2 2022","FQ2 2022","Currency=USD","Period=FQ","BEST_FPERIOD_OVERRIDE=FQ","FILING_STATUS=MR","SCALING_FORMAT=MLN","Sort=A","Dates=H","DateFormat=P","Fill=—","Direction=H","UseDPDF=Y")</f>
        <v>-2805</v>
      </c>
      <c r="AA26" s="16">
        <f>_xll.BDH("WMT US Equity","CF_PURCHASE_OF_FIXED_PROD_ASSETS","FQ3 2022","FQ3 2022","Currency=USD","Period=FQ","BEST_FPERIOD_OVERRIDE=FQ","FILING_STATUS=MR","SCALING_FORMAT=MLN","Sort=A","Dates=H","DateFormat=P","Fill=—","Direction=H","UseDPDF=Y")</f>
        <v>-3569</v>
      </c>
      <c r="AB26" s="16">
        <f>_xll.BDH("WMT US Equity","CF_PURCHASE_OF_FIXED_PROD_ASSETS","FQ4 2022","FQ4 2022","Currency=USD","Period=FQ","BEST_FPERIOD_OVERRIDE=FQ","FILING_STATUS=MR","SCALING_FORMAT=MLN","Sort=A","Dates=H","DateFormat=P","Fill=—","Direction=H","UseDPDF=Y")</f>
        <v>-4518</v>
      </c>
      <c r="AC26" s="16">
        <f>_xll.BDH("WMT US Equity","CF_PURCHASE_OF_FIXED_PROD_ASSETS","FQ1 2023","FQ1 2023","Currency=USD","Period=FQ","BEST_FPERIOD_OVERRIDE=FQ","FILING_STATUS=MR","SCALING_FORMAT=MLN","Sort=A","Dates=H","DateFormat=P","Fill=—","Direction=H","UseDPDF=Y")</f>
        <v>-3539</v>
      </c>
      <c r="AD26" s="16">
        <f>_xll.BDH("WMT US Equity","CF_PURCHASE_OF_FIXED_PROD_ASSETS","FQ2 2023","FQ2 2023","Currency=USD","Period=FQ","BEST_FPERIOD_OVERRIDE=FQ","FILING_STATUS=MR","SCALING_FORMAT=MLN","Sort=A","Dates=H","DateFormat=P","Fill=—","Direction=H","UseDPDF=Y")</f>
        <v>-3953</v>
      </c>
      <c r="AE26" s="16">
        <f>_xll.BDH("WMT US Equity","CF_PURCHASE_OF_FIXED_PROD_ASSETS","FQ3 2023","FQ3 2023","Currency=USD","Period=FQ","BEST_FPERIOD_OVERRIDE=FQ","FILING_STATUS=MR","SCALING_FORMAT=MLN","Sort=A","Dates=H","DateFormat=P","Fill=—","Direction=H","UseDPDF=Y")</f>
        <v>-4569</v>
      </c>
      <c r="AF26" s="16">
        <f>_xll.BDH("WMT US Equity","CF_PURCHASE_OF_FIXED_PROD_ASSETS","FQ4 2023","FQ4 2023","Currency=USD","Period=FQ","BEST_FPERIOD_OVERRIDE=FQ","FILING_STATUS=MR","SCALING_FORMAT=MLN","Sort=A","Dates=H","DateFormat=P","Fill=—","Direction=H","UseDPDF=Y")</f>
        <v>-4796</v>
      </c>
      <c r="AG26" s="16">
        <f>_xll.BDH("WMT US Equity","CF_PURCHASE_OF_FIXED_PROD_ASSETS","FQ1 2024","FQ1 2024","Currency=USD","Period=FQ","BEST_FPERIOD_OVERRIDE=FQ","FILING_STATUS=MR","SCALING_FORMAT=MLN","Sort=A","Dates=H","DateFormat=P","Fill=—","Direction=H","UseDPDF=Y")</f>
        <v>-4429</v>
      </c>
      <c r="AH26" s="16">
        <f>_xll.BDH("WMT US Equity","CF_PURCHASE_OF_FIXED_PROD_ASSETS","FQ2 2024","FQ2 2024","Currency=USD","Period=FQ","BEST_FPERIOD_OVERRIDE=FQ","FILING_STATUS=MR","SCALING_FORMAT=MLN","Sort=A","Dates=H","DateFormat=P","Fill=—","Direction=H","UseDPDF=Y")</f>
        <v>-4787</v>
      </c>
      <c r="AI26" s="16">
        <f>_xll.BDH("WMT US Equity","CF_PURCHASE_OF_FIXED_PROD_ASSETS","FQ3 2024","FQ3 2024","Currency=USD","Period=FQ","BEST_FPERIOD_OVERRIDE=FQ","FILING_STATUS=MR","SCALING_FORMAT=MLN","Sort=A","Dates=H","DateFormat=P","Fill=—","Direction=H","UseDPDF=Y")</f>
        <v>-5458</v>
      </c>
      <c r="AJ26" s="16">
        <f>_xll.BDH("WMT US Equity","CF_PURCHASE_OF_FIXED_PROD_ASSETS","FQ4 2024","FQ4 2024","Currency=USD","Period=FQ","BEST_FPERIOD_OVERRIDE=FQ","FILING_STATUS=MR","SCALING_FORMAT=MLN","Sort=A","Dates=H","DateFormat=P","Fill=—","Direction=H","UseDPDF=Y")</f>
        <v>-5932</v>
      </c>
      <c r="AK26" s="16">
        <f>_xll.BDH("WMT US Equity","CF_PURCHASE_OF_FIXED_PROD_ASSETS","FQ1 2025","FQ1 2025","Currency=USD","Period=FQ","BEST_FPERIOD_OVERRIDE=FQ","FILING_STATUS=MR","SCALING_FORMAT=MLN","Sort=A","Dates=H","DateFormat=P","Fill=—","Direction=H","UseDPDF=Y")</f>
        <v>-4676</v>
      </c>
      <c r="AL26" s="16">
        <f>_xll.BDH("WMT US Equity","CF_PURCHASE_OF_FIXED_PROD_ASSETS","FQ2 2025","FQ2 2025","Currency=USD","Period=FQ","BEST_FPERIOD_OVERRIDE=FQ","FILING_STATUS=MR","SCALING_FORMAT=MLN","Sort=A","Dates=H","DateFormat=P","Fill=—","Direction=H","UseDPDF=Y")</f>
        <v>-5831</v>
      </c>
      <c r="AM26" s="16">
        <f>_xll.BDH("WMT US Equity","CF_PURCHASE_OF_FIXED_PROD_ASSETS","FQ3 2025","FQ3 2025","Currency=USD","Period=FQ","BEST_FPERIOD_OVERRIDE=FQ","FILING_STATUS=MR","SCALING_FORMAT=MLN","Sort=A","Dates=H","DateFormat=P","Fill=—","Direction=H","UseDPDF=Y")</f>
        <v>-6189</v>
      </c>
      <c r="AN26" s="16">
        <f>_xll.BDH("WMT US Equity","CF_PURCHASE_OF_FIXED_PROD_ASSETS","FQ4 2025","FQ4 2025","Currency=USD","Period=FQ","BEST_FPERIOD_OVERRIDE=FQ","FILING_STATUS=MR","SCALING_FORMAT=MLN","Sort=A","Dates=H","DateFormat=P","Fill=—","Direction=H","UseDPDF=Y")</f>
        <v>-7087</v>
      </c>
      <c r="AO26" s="16">
        <f>_xll.BDH("WMT US Equity","CF_PURCHASE_OF_FIXED_PROD_ASSETS","FQ1 2026","FQ1 2026","Currency=USD","Period=FQ","BEST_FPERIOD_OVERRIDE=FQ","FILING_STATUS=MR","SCALING_FORMAT=MLN","Sort=A","Dates=H","DateFormat=P","Fill=—","Direction=H","UseDPDF=Y")</f>
        <v>-4986</v>
      </c>
      <c r="AP26" s="16">
        <f>_xll.BDH("WMT US Equity","CF_PURCHASE_OF_FIXED_PROD_ASSETS","FQ2 2026","FQ2 2026","Currency=USD","Period=FQ","BEST_FPERIOD_OVERRIDE=FQ","FILING_STATUS=MR","SCALING_FORMAT=MLN","Sort=A","Dates=H","DateFormat=P","Fill=—","Direction=H","UseDPDF=Y")</f>
        <v>-6423</v>
      </c>
    </row>
    <row r="27" spans="1:42" x14ac:dyDescent="0.3">
      <c r="A27" s="11" t="s">
        <v>167</v>
      </c>
      <c r="B27" s="11" t="s">
        <v>104</v>
      </c>
      <c r="C27" s="16">
        <f>_xll.BDH("WMT US Equity","CF_ACQUISITION_OF_INTANG_ASSETS","FQ3 2016","FQ3 2016","Currency=USD","Period=FQ","BEST_FPERIOD_OVERRIDE=FQ","FILING_STATUS=MR","SCALING_FORMAT=MLN","Sort=A","Dates=H","DateFormat=P","Fill=—","Direction=H","UseDPDF=Y")</f>
        <v>0</v>
      </c>
      <c r="D27" s="16">
        <f>_xll.BDH("WMT US Equity","CF_ACQUISITION_OF_INTANG_ASSETS","FQ4 2016","FQ4 2016","Currency=USD","Period=FQ","BEST_FPERIOD_OVERRIDE=FQ","FILING_STATUS=MR","SCALING_FORMAT=MLN","Sort=A","Dates=H","DateFormat=P","Fill=—","Direction=H","UseDPDF=Y")</f>
        <v>0</v>
      </c>
      <c r="E27" s="16">
        <f>_xll.BDH("WMT US Equity","CF_ACQUISITION_OF_INTANG_ASSETS","FQ1 2017","FQ1 2017","Currency=USD","Period=FQ","BEST_FPERIOD_OVERRIDE=FQ","FILING_STATUS=MR","SCALING_FORMAT=MLN","Sort=A","Dates=H","DateFormat=P","Fill=—","Direction=H","UseDPDF=Y")</f>
        <v>0</v>
      </c>
      <c r="F27" s="16">
        <f>_xll.BDH("WMT US Equity","CF_ACQUISITION_OF_INTANG_ASSETS","FQ2 2017","FQ2 2017","Currency=USD","Period=FQ","BEST_FPERIOD_OVERRIDE=FQ","FILING_STATUS=MR","SCALING_FORMAT=MLN","Sort=A","Dates=H","DateFormat=P","Fill=—","Direction=H","UseDPDF=Y")</f>
        <v>0</v>
      </c>
      <c r="G27" s="16">
        <f>_xll.BDH("WMT US Equity","CF_ACQUISITION_OF_INTANG_ASSETS","FQ3 2017","FQ3 2017","Currency=USD","Period=FQ","BEST_FPERIOD_OVERRIDE=FQ","FILING_STATUS=MR","SCALING_FORMAT=MLN","Sort=A","Dates=H","DateFormat=P","Fill=—","Direction=H","UseDPDF=Y")</f>
        <v>0</v>
      </c>
      <c r="H27" s="16">
        <f>_xll.BDH("WMT US Equity","CF_ACQUISITION_OF_INTANG_ASSETS","FQ4 2017","FQ4 2017","Currency=USD","Period=FQ","BEST_FPERIOD_OVERRIDE=FQ","FILING_STATUS=MR","SCALING_FORMAT=MLN","Sort=A","Dates=H","DateFormat=P","Fill=—","Direction=H","UseDPDF=Y")</f>
        <v>0</v>
      </c>
      <c r="I27" s="16">
        <f>_xll.BDH("WMT US Equity","CF_ACQUISITION_OF_INTANG_ASSETS","FQ1 2018","FQ1 2018","Currency=USD","Period=FQ","BEST_FPERIOD_OVERRIDE=FQ","FILING_STATUS=MR","SCALING_FORMAT=MLN","Sort=A","Dates=H","DateFormat=P","Fill=—","Direction=H","UseDPDF=Y")</f>
        <v>0</v>
      </c>
      <c r="J27" s="16">
        <f>_xll.BDH("WMT US Equity","CF_ACQUISITION_OF_INTANG_ASSETS","FQ2 2018","FQ2 2018","Currency=USD","Period=FQ","BEST_FPERIOD_OVERRIDE=FQ","FILING_STATUS=MR","SCALING_FORMAT=MLN","Sort=A","Dates=H","DateFormat=P","Fill=—","Direction=H","UseDPDF=Y")</f>
        <v>0</v>
      </c>
      <c r="K27" s="16">
        <f>_xll.BDH("WMT US Equity","CF_ACQUISITION_OF_INTANG_ASSETS","FQ3 2018","FQ3 2018","Currency=USD","Period=FQ","BEST_FPERIOD_OVERRIDE=FQ","FILING_STATUS=MR","SCALING_FORMAT=MLN","Sort=A","Dates=H","DateFormat=P","Fill=—","Direction=H","UseDPDF=Y")</f>
        <v>0</v>
      </c>
      <c r="L27" s="16">
        <f>_xll.BDH("WMT US Equity","CF_ACQUISITION_OF_INTANG_ASSETS","FQ4 2018","FQ4 2018","Currency=USD","Period=FQ","BEST_FPERIOD_OVERRIDE=FQ","FILING_STATUS=MR","SCALING_FORMAT=MLN","Sort=A","Dates=H","DateFormat=P","Fill=—","Direction=H","UseDPDF=Y")</f>
        <v>0</v>
      </c>
      <c r="M27" s="16">
        <f>_xll.BDH("WMT US Equity","CF_ACQUISITION_OF_INTANG_ASSETS","FQ1 2019","FQ1 2019","Currency=USD","Period=FQ","BEST_FPERIOD_OVERRIDE=FQ","FILING_STATUS=MR","SCALING_FORMAT=MLN","Sort=A","Dates=H","DateFormat=P","Fill=—","Direction=H","UseDPDF=Y")</f>
        <v>0</v>
      </c>
      <c r="N27" s="16">
        <f>_xll.BDH("WMT US Equity","CF_ACQUISITION_OF_INTANG_ASSETS","FQ2 2019","FQ2 2019","Currency=USD","Period=FQ","BEST_FPERIOD_OVERRIDE=FQ","FILING_STATUS=MR","SCALING_FORMAT=MLN","Sort=A","Dates=H","DateFormat=P","Fill=—","Direction=H","UseDPDF=Y")</f>
        <v>0</v>
      </c>
      <c r="O27" s="16">
        <f>_xll.BDH("WMT US Equity","CF_ACQUISITION_OF_INTANG_ASSETS","FQ3 2019","FQ3 2019","Currency=USD","Period=FQ","BEST_FPERIOD_OVERRIDE=FQ","FILING_STATUS=MR","SCALING_FORMAT=MLN","Sort=A","Dates=H","DateFormat=P","Fill=—","Direction=H","UseDPDF=Y")</f>
        <v>0</v>
      </c>
      <c r="P27" s="16">
        <f>_xll.BDH("WMT US Equity","CF_ACQUISITION_OF_INTANG_ASSETS","FQ4 2019","FQ4 2019","Currency=USD","Period=FQ","BEST_FPERIOD_OVERRIDE=FQ","FILING_STATUS=MR","SCALING_FORMAT=MLN","Sort=A","Dates=H","DateFormat=P","Fill=—","Direction=H","UseDPDF=Y")</f>
        <v>0</v>
      </c>
      <c r="Q27" s="16">
        <f>_xll.BDH("WMT US Equity","CF_ACQUISITION_OF_INTANG_ASSETS","FQ1 2020","FQ1 2020","Currency=USD","Period=FQ","BEST_FPERIOD_OVERRIDE=FQ","FILING_STATUS=MR","SCALING_FORMAT=MLN","Sort=A","Dates=H","DateFormat=P","Fill=—","Direction=H","UseDPDF=Y")</f>
        <v>0</v>
      </c>
      <c r="R27" s="16">
        <f>_xll.BDH("WMT US Equity","CF_ACQUISITION_OF_INTANG_ASSETS","FQ2 2020","FQ2 2020","Currency=USD","Period=FQ","BEST_FPERIOD_OVERRIDE=FQ","FILING_STATUS=MR","SCALING_FORMAT=MLN","Sort=A","Dates=H","DateFormat=P","Fill=—","Direction=H","UseDPDF=Y")</f>
        <v>0</v>
      </c>
      <c r="S27" s="16">
        <f>_xll.BDH("WMT US Equity","CF_ACQUISITION_OF_INTANG_ASSETS","FQ3 2020","FQ3 2020","Currency=USD","Period=FQ","BEST_FPERIOD_OVERRIDE=FQ","FILING_STATUS=MR","SCALING_FORMAT=MLN","Sort=A","Dates=H","DateFormat=P","Fill=—","Direction=H","UseDPDF=Y")</f>
        <v>0</v>
      </c>
      <c r="T27" s="16">
        <f>_xll.BDH("WMT US Equity","CF_ACQUISITION_OF_INTANG_ASSETS","FQ4 2020","FQ4 2020","Currency=USD","Period=FQ","BEST_FPERIOD_OVERRIDE=FQ","FILING_STATUS=MR","SCALING_FORMAT=MLN","Sort=A","Dates=H","DateFormat=P","Fill=—","Direction=H","UseDPDF=Y")</f>
        <v>0</v>
      </c>
      <c r="U27" s="16">
        <f>_xll.BDH("WMT US Equity","CF_ACQUISITION_OF_INTANG_ASSETS","FQ1 2021","FQ1 2021","Currency=USD","Period=FQ","BEST_FPERIOD_OVERRIDE=FQ","FILING_STATUS=MR","SCALING_FORMAT=MLN","Sort=A","Dates=H","DateFormat=P","Fill=—","Direction=H","UseDPDF=Y")</f>
        <v>0</v>
      </c>
      <c r="V27" s="16">
        <f>_xll.BDH("WMT US Equity","CF_ACQUISITION_OF_INTANG_ASSETS","FQ2 2021","FQ2 2021","Currency=USD","Period=FQ","BEST_FPERIOD_OVERRIDE=FQ","FILING_STATUS=MR","SCALING_FORMAT=MLN","Sort=A","Dates=H","DateFormat=P","Fill=—","Direction=H","UseDPDF=Y")</f>
        <v>0</v>
      </c>
      <c r="W27" s="16">
        <f>_xll.BDH("WMT US Equity","CF_ACQUISITION_OF_INTANG_ASSETS","FQ3 2021","FQ3 2021","Currency=USD","Period=FQ","BEST_FPERIOD_OVERRIDE=FQ","FILING_STATUS=MR","SCALING_FORMAT=MLN","Sort=A","Dates=H","DateFormat=P","Fill=—","Direction=H","UseDPDF=Y")</f>
        <v>0</v>
      </c>
      <c r="X27" s="16">
        <f>_xll.BDH("WMT US Equity","CF_ACQUISITION_OF_INTANG_ASSETS","FQ4 2021","FQ4 2021","Currency=USD","Period=FQ","BEST_FPERIOD_OVERRIDE=FQ","FILING_STATUS=MR","SCALING_FORMAT=MLN","Sort=A","Dates=H","DateFormat=P","Fill=—","Direction=H","UseDPDF=Y")</f>
        <v>0</v>
      </c>
      <c r="Y27" s="16">
        <f>_xll.BDH("WMT US Equity","CF_ACQUISITION_OF_INTANG_ASSETS","FQ1 2022","FQ1 2022","Currency=USD","Period=FQ","BEST_FPERIOD_OVERRIDE=FQ","FILING_STATUS=MR","SCALING_FORMAT=MLN","Sort=A","Dates=H","DateFormat=P","Fill=—","Direction=H","UseDPDF=Y")</f>
        <v>0</v>
      </c>
      <c r="Z27" s="16">
        <f>_xll.BDH("WMT US Equity","CF_ACQUISITION_OF_INTANG_ASSETS","FQ2 2022","FQ2 2022","Currency=USD","Period=FQ","BEST_FPERIOD_OVERRIDE=FQ","FILING_STATUS=MR","SCALING_FORMAT=MLN","Sort=A","Dates=H","DateFormat=P","Fill=—","Direction=H","UseDPDF=Y")</f>
        <v>0</v>
      </c>
      <c r="AA27" s="16">
        <f>_xll.BDH("WMT US Equity","CF_ACQUISITION_OF_INTANG_ASSETS","FQ3 2022","FQ3 2022","Currency=USD","Period=FQ","BEST_FPERIOD_OVERRIDE=FQ","FILING_STATUS=MR","SCALING_FORMAT=MLN","Sort=A","Dates=H","DateFormat=P","Fill=—","Direction=H","UseDPDF=Y")</f>
        <v>0</v>
      </c>
      <c r="AB27" s="16">
        <f>_xll.BDH("WMT US Equity","CF_ACQUISITION_OF_INTANG_ASSETS","FQ4 2022","FQ4 2022","Currency=USD","Period=FQ","BEST_FPERIOD_OVERRIDE=FQ","FILING_STATUS=MR","SCALING_FORMAT=MLN","Sort=A","Dates=H","DateFormat=P","Fill=—","Direction=H","UseDPDF=Y")</f>
        <v>0</v>
      </c>
      <c r="AC27" s="16">
        <f>_xll.BDH("WMT US Equity","CF_ACQUISITION_OF_INTANG_ASSETS","FQ1 2023","FQ1 2023","Currency=USD","Period=FQ","BEST_FPERIOD_OVERRIDE=FQ","FILING_STATUS=MR","SCALING_FORMAT=MLN","Sort=A","Dates=H","DateFormat=P","Fill=—","Direction=H","UseDPDF=Y")</f>
        <v>0</v>
      </c>
      <c r="AD27" s="16">
        <f>_xll.BDH("WMT US Equity","CF_ACQUISITION_OF_INTANG_ASSETS","FQ2 2023","FQ2 2023","Currency=USD","Period=FQ","BEST_FPERIOD_OVERRIDE=FQ","FILING_STATUS=MR","SCALING_FORMAT=MLN","Sort=A","Dates=H","DateFormat=P","Fill=—","Direction=H","UseDPDF=Y")</f>
        <v>0</v>
      </c>
      <c r="AE27" s="16">
        <f>_xll.BDH("WMT US Equity","CF_ACQUISITION_OF_INTANG_ASSETS","FQ3 2023","FQ3 2023","Currency=USD","Period=FQ","BEST_FPERIOD_OVERRIDE=FQ","FILING_STATUS=MR","SCALING_FORMAT=MLN","Sort=A","Dates=H","DateFormat=P","Fill=—","Direction=H","UseDPDF=Y")</f>
        <v>0</v>
      </c>
      <c r="AF27" s="16">
        <f>_xll.BDH("WMT US Equity","CF_ACQUISITION_OF_INTANG_ASSETS","FQ4 2023","FQ4 2023","Currency=USD","Period=FQ","BEST_FPERIOD_OVERRIDE=FQ","FILING_STATUS=MR","SCALING_FORMAT=MLN","Sort=A","Dates=H","DateFormat=P","Fill=—","Direction=H","UseDPDF=Y")</f>
        <v>0</v>
      </c>
      <c r="AG27" s="16">
        <f>_xll.BDH("WMT US Equity","CF_ACQUISITION_OF_INTANG_ASSETS","FQ1 2024","FQ1 2024","Currency=USD","Period=FQ","BEST_FPERIOD_OVERRIDE=FQ","FILING_STATUS=MR","SCALING_FORMAT=MLN","Sort=A","Dates=H","DateFormat=P","Fill=—","Direction=H","UseDPDF=Y")</f>
        <v>0</v>
      </c>
      <c r="AH27" s="16">
        <f>_xll.BDH("WMT US Equity","CF_ACQUISITION_OF_INTANG_ASSETS","FQ2 2024","FQ2 2024","Currency=USD","Period=FQ","BEST_FPERIOD_OVERRIDE=FQ","FILING_STATUS=MR","SCALING_FORMAT=MLN","Sort=A","Dates=H","DateFormat=P","Fill=—","Direction=H","UseDPDF=Y")</f>
        <v>0</v>
      </c>
      <c r="AI27" s="16">
        <f>_xll.BDH("WMT US Equity","CF_ACQUISITION_OF_INTANG_ASSETS","FQ3 2024","FQ3 2024","Currency=USD","Period=FQ","BEST_FPERIOD_OVERRIDE=FQ","FILING_STATUS=MR","SCALING_FORMAT=MLN","Sort=A","Dates=H","DateFormat=P","Fill=—","Direction=H","UseDPDF=Y")</f>
        <v>0</v>
      </c>
      <c r="AJ27" s="16">
        <f>_xll.BDH("WMT US Equity","CF_ACQUISITION_OF_INTANG_ASSETS","FQ4 2024","FQ4 2024","Currency=USD","Period=FQ","BEST_FPERIOD_OVERRIDE=FQ","FILING_STATUS=MR","SCALING_FORMAT=MLN","Sort=A","Dates=H","DateFormat=P","Fill=—","Direction=H","UseDPDF=Y")</f>
        <v>0</v>
      </c>
      <c r="AK27" s="16">
        <f>_xll.BDH("WMT US Equity","CF_ACQUISITION_OF_INTANG_ASSETS","FQ1 2025","FQ1 2025","Currency=USD","Period=FQ","BEST_FPERIOD_OVERRIDE=FQ","FILING_STATUS=MR","SCALING_FORMAT=MLN","Sort=A","Dates=H","DateFormat=P","Fill=—","Direction=H","UseDPDF=Y")</f>
        <v>0</v>
      </c>
      <c r="AL27" s="16">
        <f>_xll.BDH("WMT US Equity","CF_ACQUISITION_OF_INTANG_ASSETS","FQ2 2025","FQ2 2025","Currency=USD","Period=FQ","BEST_FPERIOD_OVERRIDE=FQ","FILING_STATUS=MR","SCALING_FORMAT=MLN","Sort=A","Dates=H","DateFormat=P","Fill=—","Direction=H","UseDPDF=Y")</f>
        <v>0</v>
      </c>
      <c r="AM27" s="16">
        <f>_xll.BDH("WMT US Equity","CF_ACQUISITION_OF_INTANG_ASSETS","FQ3 2025","FQ3 2025","Currency=USD","Period=FQ","BEST_FPERIOD_OVERRIDE=FQ","FILING_STATUS=MR","SCALING_FORMAT=MLN","Sort=A","Dates=H","DateFormat=P","Fill=—","Direction=H","UseDPDF=Y")</f>
        <v>0</v>
      </c>
      <c r="AN27" s="16">
        <f>_xll.BDH("WMT US Equity","CF_ACQUISITION_OF_INTANG_ASSETS","FQ4 2025","FQ4 2025","Currency=USD","Period=FQ","BEST_FPERIOD_OVERRIDE=FQ","FILING_STATUS=MR","SCALING_FORMAT=MLN","Sort=A","Dates=H","DateFormat=P","Fill=—","Direction=H","UseDPDF=Y")</f>
        <v>0</v>
      </c>
      <c r="AO27" s="16">
        <f>_xll.BDH("WMT US Equity","CF_ACQUISITION_OF_INTANG_ASSETS","FQ1 2026","FQ1 2026","Currency=USD","Period=FQ","BEST_FPERIOD_OVERRIDE=FQ","FILING_STATUS=MR","SCALING_FORMAT=MLN","Sort=A","Dates=H","DateFormat=P","Fill=—","Direction=H","UseDPDF=Y")</f>
        <v>0</v>
      </c>
      <c r="AP27" s="16">
        <f>_xll.BDH("WMT US Equity","CF_ACQUISITION_OF_INTANG_ASSETS","FQ2 2026","FQ2 2026","Currency=USD","Period=FQ","BEST_FPERIOD_OVERRIDE=FQ","FILING_STATUS=MR","SCALING_FORMAT=MLN","Sort=A","Dates=H","DateFormat=P","Fill=—","Direction=H","UseDPDF=Y")</f>
        <v>0</v>
      </c>
    </row>
    <row r="28" spans="1:42" x14ac:dyDescent="0.3">
      <c r="A28" s="10" t="s">
        <v>168</v>
      </c>
      <c r="B28" s="10" t="s">
        <v>105</v>
      </c>
      <c r="C28" s="12">
        <f>_xll.BDH("WMT US Equity","NET_CHG_IN_LT_INVEST_DETAILED","FQ3 2016","FQ3 2016","Currency=USD","Period=FQ","BEST_FPERIOD_OVERRIDE=FQ","FILING_STATUS=MR","SCALING_FORMAT=MLN","Sort=A","Dates=H","DateFormat=P","Fill=—","Direction=H","UseDPDF=Y")</f>
        <v>0</v>
      </c>
      <c r="D28" s="12">
        <f>_xll.BDH("WMT US Equity","NET_CHG_IN_LT_INVEST_DETAILED","FQ4 2016","FQ4 2016","Currency=USD","Period=FQ","BEST_FPERIOD_OVERRIDE=FQ","FILING_STATUS=MR","SCALING_FORMAT=MLN","Sort=A","Dates=H","DateFormat=P","Fill=—","Direction=H","UseDPDF=Y")</f>
        <v>0</v>
      </c>
      <c r="E28" s="12">
        <f>_xll.BDH("WMT US Equity","NET_CHG_IN_LT_INVEST_DETAILED","FQ1 2017","FQ1 2017","Currency=USD","Period=FQ","BEST_FPERIOD_OVERRIDE=FQ","FILING_STATUS=MR","SCALING_FORMAT=MLN","Sort=A","Dates=H","DateFormat=P","Fill=—","Direction=H","UseDPDF=Y")</f>
        <v>0</v>
      </c>
      <c r="F28" s="12">
        <f>_xll.BDH("WMT US Equity","NET_CHG_IN_LT_INVEST_DETAILED","FQ2 2017","FQ2 2017","Currency=USD","Period=FQ","BEST_FPERIOD_OVERRIDE=FQ","FILING_STATUS=MR","SCALING_FORMAT=MLN","Sort=A","Dates=H","DateFormat=P","Fill=—","Direction=H","UseDPDF=Y")</f>
        <v>0</v>
      </c>
      <c r="G28" s="12">
        <f>_xll.BDH("WMT US Equity","NET_CHG_IN_LT_INVEST_DETAILED","FQ3 2017","FQ3 2017","Currency=USD","Period=FQ","BEST_FPERIOD_OVERRIDE=FQ","FILING_STATUS=MR","SCALING_FORMAT=MLN","Sort=A","Dates=H","DateFormat=P","Fill=—","Direction=H","UseDPDF=Y")</f>
        <v>0</v>
      </c>
      <c r="H28" s="12">
        <f>_xll.BDH("WMT US Equity","NET_CHG_IN_LT_INVEST_DETAILED","FQ4 2017","FQ4 2017","Currency=USD","Period=FQ","BEST_FPERIOD_OVERRIDE=FQ","FILING_STATUS=MR","SCALING_FORMAT=MLN","Sort=A","Dates=H","DateFormat=P","Fill=—","Direction=H","UseDPDF=Y")</f>
        <v>0</v>
      </c>
      <c r="I28" s="12">
        <f>_xll.BDH("WMT US Equity","NET_CHG_IN_LT_INVEST_DETAILED","FQ1 2018","FQ1 2018","Currency=USD","Period=FQ","BEST_FPERIOD_OVERRIDE=FQ","FILING_STATUS=MR","SCALING_FORMAT=MLN","Sort=A","Dates=H","DateFormat=P","Fill=—","Direction=H","UseDPDF=Y")</f>
        <v>0</v>
      </c>
      <c r="J28" s="12">
        <f>_xll.BDH("WMT US Equity","NET_CHG_IN_LT_INVEST_DETAILED","FQ2 2018","FQ2 2018","Currency=USD","Period=FQ","BEST_FPERIOD_OVERRIDE=FQ","FILING_STATUS=MR","SCALING_FORMAT=MLN","Sort=A","Dates=H","DateFormat=P","Fill=—","Direction=H","UseDPDF=Y")</f>
        <v>0</v>
      </c>
      <c r="K28" s="12">
        <f>_xll.BDH("WMT US Equity","NET_CHG_IN_LT_INVEST_DETAILED","FQ3 2018","FQ3 2018","Currency=USD","Period=FQ","BEST_FPERIOD_OVERRIDE=FQ","FILING_STATUS=MR","SCALING_FORMAT=MLN","Sort=A","Dates=H","DateFormat=P","Fill=—","Direction=H","UseDPDF=Y")</f>
        <v>0</v>
      </c>
      <c r="L28" s="12">
        <f>_xll.BDH("WMT US Equity","NET_CHG_IN_LT_INVEST_DETAILED","FQ4 2018","FQ4 2018","Currency=USD","Period=FQ","BEST_FPERIOD_OVERRIDE=FQ","FILING_STATUS=MR","SCALING_FORMAT=MLN","Sort=A","Dates=H","DateFormat=P","Fill=—","Direction=H","UseDPDF=Y")</f>
        <v>0</v>
      </c>
      <c r="M28" s="12">
        <f>_xll.BDH("WMT US Equity","NET_CHG_IN_LT_INVEST_DETAILED","FQ1 2019","FQ1 2019","Currency=USD","Period=FQ","BEST_FPERIOD_OVERRIDE=FQ","FILING_STATUS=MR","SCALING_FORMAT=MLN","Sort=A","Dates=H","DateFormat=P","Fill=—","Direction=H","UseDPDF=Y")</f>
        <v>0</v>
      </c>
      <c r="N28" s="12">
        <f>_xll.BDH("WMT US Equity","NET_CHG_IN_LT_INVEST_DETAILED","FQ2 2019","FQ2 2019","Currency=USD","Period=FQ","BEST_FPERIOD_OVERRIDE=FQ","FILING_STATUS=MR","SCALING_FORMAT=MLN","Sort=A","Dates=H","DateFormat=P","Fill=—","Direction=H","UseDPDF=Y")</f>
        <v>0</v>
      </c>
      <c r="O28" s="12">
        <f>_xll.BDH("WMT US Equity","NET_CHG_IN_LT_INVEST_DETAILED","FQ3 2019","FQ3 2019","Currency=USD","Period=FQ","BEST_FPERIOD_OVERRIDE=FQ","FILING_STATUS=MR","SCALING_FORMAT=MLN","Sort=A","Dates=H","DateFormat=P","Fill=—","Direction=H","UseDPDF=Y")</f>
        <v>0</v>
      </c>
      <c r="P28" s="12">
        <f>_xll.BDH("WMT US Equity","NET_CHG_IN_LT_INVEST_DETAILED","FQ4 2019","FQ4 2019","Currency=USD","Period=FQ","BEST_FPERIOD_OVERRIDE=FQ","FILING_STATUS=MR","SCALING_FORMAT=MLN","Sort=A","Dates=H","DateFormat=P","Fill=—","Direction=H","UseDPDF=Y")</f>
        <v>0</v>
      </c>
      <c r="Q28" s="12">
        <f>_xll.BDH("WMT US Equity","NET_CHG_IN_LT_INVEST_DETAILED","FQ1 2020","FQ1 2020","Currency=USD","Period=FQ","BEST_FPERIOD_OVERRIDE=FQ","FILING_STATUS=MR","SCALING_FORMAT=MLN","Sort=A","Dates=H","DateFormat=P","Fill=—","Direction=H","UseDPDF=Y")</f>
        <v>0</v>
      </c>
      <c r="R28" s="12">
        <f>_xll.BDH("WMT US Equity","NET_CHG_IN_LT_INVEST_DETAILED","FQ2 2020","FQ2 2020","Currency=USD","Period=FQ","BEST_FPERIOD_OVERRIDE=FQ","FILING_STATUS=MR","SCALING_FORMAT=MLN","Sort=A","Dates=H","DateFormat=P","Fill=—","Direction=H","UseDPDF=Y")</f>
        <v>0</v>
      </c>
      <c r="S28" s="12">
        <f>_xll.BDH("WMT US Equity","NET_CHG_IN_LT_INVEST_DETAILED","FQ3 2020","FQ3 2020","Currency=USD","Period=FQ","BEST_FPERIOD_OVERRIDE=FQ","FILING_STATUS=MR","SCALING_FORMAT=MLN","Sort=A","Dates=H","DateFormat=P","Fill=—","Direction=H","UseDPDF=Y")</f>
        <v>0</v>
      </c>
      <c r="T28" s="12">
        <f>_xll.BDH("WMT US Equity","NET_CHG_IN_LT_INVEST_DETAILED","FQ4 2020","FQ4 2020","Currency=USD","Period=FQ","BEST_FPERIOD_OVERRIDE=FQ","FILING_STATUS=MR","SCALING_FORMAT=MLN","Sort=A","Dates=H","DateFormat=P","Fill=—","Direction=H","UseDPDF=Y")</f>
        <v>0</v>
      </c>
      <c r="U28" s="12">
        <f>_xll.BDH("WMT US Equity","NET_CHG_IN_LT_INVEST_DETAILED","FQ1 2021","FQ1 2021","Currency=USD","Period=FQ","BEST_FPERIOD_OVERRIDE=FQ","FILING_STATUS=MR","SCALING_FORMAT=MLN","Sort=A","Dates=H","DateFormat=P","Fill=—","Direction=H","UseDPDF=Y")</f>
        <v>0</v>
      </c>
      <c r="V28" s="12">
        <f>_xll.BDH("WMT US Equity","NET_CHG_IN_LT_INVEST_DETAILED","FQ2 2021","FQ2 2021","Currency=USD","Period=FQ","BEST_FPERIOD_OVERRIDE=FQ","FILING_STATUS=MR","SCALING_FORMAT=MLN","Sort=A","Dates=H","DateFormat=P","Fill=—","Direction=H","UseDPDF=Y")</f>
        <v>0</v>
      </c>
      <c r="W28" s="12">
        <f>_xll.BDH("WMT US Equity","NET_CHG_IN_LT_INVEST_DETAILED","FQ3 2021","FQ3 2021","Currency=USD","Period=FQ","BEST_FPERIOD_OVERRIDE=FQ","FILING_STATUS=MR","SCALING_FORMAT=MLN","Sort=A","Dates=H","DateFormat=P","Fill=—","Direction=H","UseDPDF=Y")</f>
        <v>0</v>
      </c>
      <c r="X28" s="12">
        <f>_xll.BDH("WMT US Equity","NET_CHG_IN_LT_INVEST_DETAILED","FQ4 2021","FQ4 2021","Currency=USD","Period=FQ","BEST_FPERIOD_OVERRIDE=FQ","FILING_STATUS=MR","SCALING_FORMAT=MLN","Sort=A","Dates=H","DateFormat=P","Fill=—","Direction=H","UseDPDF=Y")</f>
        <v>0</v>
      </c>
      <c r="Y28" s="12">
        <f>_xll.BDH("WMT US Equity","NET_CHG_IN_LT_INVEST_DETAILED","FQ1 2022","FQ1 2022","Currency=USD","Period=FQ","BEST_FPERIOD_OVERRIDE=FQ","FILING_STATUS=MR","SCALING_FORMAT=MLN","Sort=A","Dates=H","DateFormat=P","Fill=—","Direction=H","UseDPDF=Y")</f>
        <v>0</v>
      </c>
      <c r="Z28" s="12">
        <f>_xll.BDH("WMT US Equity","NET_CHG_IN_LT_INVEST_DETAILED","FQ2 2022","FQ2 2022","Currency=USD","Period=FQ","BEST_FPERIOD_OVERRIDE=FQ","FILING_STATUS=MR","SCALING_FORMAT=MLN","Sort=A","Dates=H","DateFormat=P","Fill=—","Direction=H","UseDPDF=Y")</f>
        <v>0</v>
      </c>
      <c r="AA28" s="12">
        <f>_xll.BDH("WMT US Equity","NET_CHG_IN_LT_INVEST_DETAILED","FQ3 2022","FQ3 2022","Currency=USD","Period=FQ","BEST_FPERIOD_OVERRIDE=FQ","FILING_STATUS=MR","SCALING_FORMAT=MLN","Sort=A","Dates=H","DateFormat=P","Fill=—","Direction=H","UseDPDF=Y")</f>
        <v>0</v>
      </c>
      <c r="AB28" s="12">
        <f>_xll.BDH("WMT US Equity","NET_CHG_IN_LT_INVEST_DETAILED","FQ4 2022","FQ4 2022","Currency=USD","Period=FQ","BEST_FPERIOD_OVERRIDE=FQ","FILING_STATUS=MR","SCALING_FORMAT=MLN","Sort=A","Dates=H","DateFormat=P","Fill=—","Direction=H","UseDPDF=Y")</f>
        <v>0</v>
      </c>
      <c r="AC28" s="12">
        <f>_xll.BDH("WMT US Equity","NET_CHG_IN_LT_INVEST_DETAILED","FQ1 2023","FQ1 2023","Currency=USD","Period=FQ","BEST_FPERIOD_OVERRIDE=FQ","FILING_STATUS=MR","SCALING_FORMAT=MLN","Sort=A","Dates=H","DateFormat=P","Fill=—","Direction=H","UseDPDF=Y")</f>
        <v>0</v>
      </c>
      <c r="AD28" s="12">
        <f>_xll.BDH("WMT US Equity","NET_CHG_IN_LT_INVEST_DETAILED","FQ2 2023","FQ2 2023","Currency=USD","Period=FQ","BEST_FPERIOD_OVERRIDE=FQ","FILING_STATUS=MR","SCALING_FORMAT=MLN","Sort=A","Dates=H","DateFormat=P","Fill=—","Direction=H","UseDPDF=Y")</f>
        <v>0</v>
      </c>
      <c r="AE28" s="12">
        <f>_xll.BDH("WMT US Equity","NET_CHG_IN_LT_INVEST_DETAILED","FQ3 2023","FQ3 2023","Currency=USD","Period=FQ","BEST_FPERIOD_OVERRIDE=FQ","FILING_STATUS=MR","SCALING_FORMAT=MLN","Sort=A","Dates=H","DateFormat=P","Fill=—","Direction=H","UseDPDF=Y")</f>
        <v>0</v>
      </c>
      <c r="AF28" s="12">
        <f>_xll.BDH("WMT US Equity","NET_CHG_IN_LT_INVEST_DETAILED","FQ4 2023","FQ4 2023","Currency=USD","Period=FQ","BEST_FPERIOD_OVERRIDE=FQ","FILING_STATUS=MR","SCALING_FORMAT=MLN","Sort=A","Dates=H","DateFormat=P","Fill=—","Direction=H","UseDPDF=Y")</f>
        <v>0</v>
      </c>
      <c r="AG28" s="12">
        <f>_xll.BDH("WMT US Equity","NET_CHG_IN_LT_INVEST_DETAILED","FQ1 2024","FQ1 2024","Currency=USD","Period=FQ","BEST_FPERIOD_OVERRIDE=FQ","FILING_STATUS=MR","SCALING_FORMAT=MLN","Sort=A","Dates=H","DateFormat=P","Fill=—","Direction=H","UseDPDF=Y")</f>
        <v>0</v>
      </c>
      <c r="AH28" s="12">
        <f>_xll.BDH("WMT US Equity","NET_CHG_IN_LT_INVEST_DETAILED","FQ2 2024","FQ2 2024","Currency=USD","Period=FQ","BEST_FPERIOD_OVERRIDE=FQ","FILING_STATUS=MR","SCALING_FORMAT=MLN","Sort=A","Dates=H","DateFormat=P","Fill=—","Direction=H","UseDPDF=Y")</f>
        <v>0</v>
      </c>
      <c r="AI28" s="12">
        <f>_xll.BDH("WMT US Equity","NET_CHG_IN_LT_INVEST_DETAILED","FQ3 2024","FQ3 2024","Currency=USD","Period=FQ","BEST_FPERIOD_OVERRIDE=FQ","FILING_STATUS=MR","SCALING_FORMAT=MLN","Sort=A","Dates=H","DateFormat=P","Fill=—","Direction=H","UseDPDF=Y")</f>
        <v>0</v>
      </c>
      <c r="AJ28" s="12">
        <f>_xll.BDH("WMT US Equity","NET_CHG_IN_LT_INVEST_DETAILED","FQ4 2024","FQ4 2024","Currency=USD","Period=FQ","BEST_FPERIOD_OVERRIDE=FQ","FILING_STATUS=MR","SCALING_FORMAT=MLN","Sort=A","Dates=H","DateFormat=P","Fill=—","Direction=H","UseDPDF=Y")</f>
        <v>0</v>
      </c>
      <c r="AK28" s="12">
        <f>_xll.BDH("WMT US Equity","NET_CHG_IN_LT_INVEST_DETAILED","FQ1 2025","FQ1 2025","Currency=USD","Period=FQ","BEST_FPERIOD_OVERRIDE=FQ","FILING_STATUS=MR","SCALING_FORMAT=MLN","Sort=A","Dates=H","DateFormat=P","Fill=—","Direction=H","UseDPDF=Y")</f>
        <v>0</v>
      </c>
      <c r="AL28" s="12">
        <f>_xll.BDH("WMT US Equity","NET_CHG_IN_LT_INVEST_DETAILED","FQ2 2025","FQ2 2025","Currency=USD","Period=FQ","BEST_FPERIOD_OVERRIDE=FQ","FILING_STATUS=MR","SCALING_FORMAT=MLN","Sort=A","Dates=H","DateFormat=P","Fill=—","Direction=H","UseDPDF=Y")</f>
        <v>0</v>
      </c>
      <c r="AM28" s="12">
        <f>_xll.BDH("WMT US Equity","NET_CHG_IN_LT_INVEST_DETAILED","FQ3 2025","FQ3 2025","Currency=USD","Period=FQ","BEST_FPERIOD_OVERRIDE=FQ","FILING_STATUS=MR","SCALING_FORMAT=MLN","Sort=A","Dates=H","DateFormat=P","Fill=—","Direction=H","UseDPDF=Y")</f>
        <v>0</v>
      </c>
      <c r="AN28" s="12">
        <f>_xll.BDH("WMT US Equity","NET_CHG_IN_LT_INVEST_DETAILED","FQ4 2025","FQ4 2025","Currency=USD","Period=FQ","BEST_FPERIOD_OVERRIDE=FQ","FILING_STATUS=MR","SCALING_FORMAT=MLN","Sort=A","Dates=H","DateFormat=P","Fill=—","Direction=H","UseDPDF=Y")</f>
        <v>0</v>
      </c>
      <c r="AO28" s="12">
        <f>_xll.BDH("WMT US Equity","NET_CHG_IN_LT_INVEST_DETAILED","FQ1 2026","FQ1 2026","Currency=USD","Period=FQ","BEST_FPERIOD_OVERRIDE=FQ","FILING_STATUS=MR","SCALING_FORMAT=MLN","Sort=A","Dates=H","DateFormat=P","Fill=—","Direction=H","UseDPDF=Y")</f>
        <v>0</v>
      </c>
      <c r="AP28" s="12">
        <f>_xll.BDH("WMT US Equity","NET_CHG_IN_LT_INVEST_DETAILED","FQ2 2026","FQ2 2026","Currency=USD","Period=FQ","BEST_FPERIOD_OVERRIDE=FQ","FILING_STATUS=MR","SCALING_FORMAT=MLN","Sort=A","Dates=H","DateFormat=P","Fill=—","Direction=H","UseDPDF=Y")</f>
        <v>0</v>
      </c>
    </row>
    <row r="29" spans="1:42" x14ac:dyDescent="0.3">
      <c r="A29" s="10" t="s">
        <v>169</v>
      </c>
      <c r="B29" s="10" t="s">
        <v>106</v>
      </c>
      <c r="C29" s="12">
        <f>_xll.BDH("WMT US Equity","CF_DECR_INVEST","FQ3 2016","FQ3 2016","Currency=USD","Period=FQ","BEST_FPERIOD_OVERRIDE=FQ","FILING_STATUS=MR","SCALING_FORMAT=MLN","Sort=A","Dates=H","DateFormat=P","Fill=—","Direction=H","UseDPDF=Y")</f>
        <v>0</v>
      </c>
      <c r="D29" s="12">
        <f>_xll.BDH("WMT US Equity","CF_DECR_INVEST","FQ4 2016","FQ4 2016","Currency=USD","Period=FQ","BEST_FPERIOD_OVERRIDE=FQ","FILING_STATUS=MR","SCALING_FORMAT=MLN","Sort=A","Dates=H","DateFormat=P","Fill=—","Direction=H","UseDPDF=Y")</f>
        <v>0</v>
      </c>
      <c r="E29" s="12">
        <f>_xll.BDH("WMT US Equity","CF_DECR_INVEST","FQ1 2017","FQ1 2017","Currency=USD","Period=FQ","BEST_FPERIOD_OVERRIDE=FQ","FILING_STATUS=MR","SCALING_FORMAT=MLN","Sort=A","Dates=H","DateFormat=P","Fill=—","Direction=H","UseDPDF=Y")</f>
        <v>0</v>
      </c>
      <c r="F29" s="12">
        <f>_xll.BDH("WMT US Equity","CF_DECR_INVEST","FQ2 2017","FQ2 2017","Currency=USD","Period=FQ","BEST_FPERIOD_OVERRIDE=FQ","FILING_STATUS=MR","SCALING_FORMAT=MLN","Sort=A","Dates=H","DateFormat=P","Fill=—","Direction=H","UseDPDF=Y")</f>
        <v>0</v>
      </c>
      <c r="G29" s="12">
        <f>_xll.BDH("WMT US Equity","CF_DECR_INVEST","FQ3 2017","FQ3 2017","Currency=USD","Period=FQ","BEST_FPERIOD_OVERRIDE=FQ","FILING_STATUS=MR","SCALING_FORMAT=MLN","Sort=A","Dates=H","DateFormat=P","Fill=—","Direction=H","UseDPDF=Y")</f>
        <v>0</v>
      </c>
      <c r="H29" s="12">
        <f>_xll.BDH("WMT US Equity","CF_DECR_INVEST","FQ4 2017","FQ4 2017","Currency=USD","Period=FQ","BEST_FPERIOD_OVERRIDE=FQ","FILING_STATUS=MR","SCALING_FORMAT=MLN","Sort=A","Dates=H","DateFormat=P","Fill=—","Direction=H","UseDPDF=Y")</f>
        <v>0</v>
      </c>
      <c r="I29" s="12">
        <f>_xll.BDH("WMT US Equity","CF_DECR_INVEST","FQ1 2018","FQ1 2018","Currency=USD","Period=FQ","BEST_FPERIOD_OVERRIDE=FQ","FILING_STATUS=MR","SCALING_FORMAT=MLN","Sort=A","Dates=H","DateFormat=P","Fill=—","Direction=H","UseDPDF=Y")</f>
        <v>0</v>
      </c>
      <c r="J29" s="12">
        <f>_xll.BDH("WMT US Equity","CF_DECR_INVEST","FQ2 2018","FQ2 2018","Currency=USD","Period=FQ","BEST_FPERIOD_OVERRIDE=FQ","FILING_STATUS=MR","SCALING_FORMAT=MLN","Sort=A","Dates=H","DateFormat=P","Fill=—","Direction=H","UseDPDF=Y")</f>
        <v>0</v>
      </c>
      <c r="K29" s="12">
        <f>_xll.BDH("WMT US Equity","CF_DECR_INVEST","FQ3 2018","FQ3 2018","Currency=USD","Period=FQ","BEST_FPERIOD_OVERRIDE=FQ","FILING_STATUS=MR","SCALING_FORMAT=MLN","Sort=A","Dates=H","DateFormat=P","Fill=—","Direction=H","UseDPDF=Y")</f>
        <v>0</v>
      </c>
      <c r="L29" s="12">
        <f>_xll.BDH("WMT US Equity","CF_DECR_INVEST","FQ4 2018","FQ4 2018","Currency=USD","Period=FQ","BEST_FPERIOD_OVERRIDE=FQ","FILING_STATUS=MR","SCALING_FORMAT=MLN","Sort=A","Dates=H","DateFormat=P","Fill=—","Direction=H","UseDPDF=Y")</f>
        <v>0</v>
      </c>
      <c r="M29" s="12">
        <f>_xll.BDH("WMT US Equity","CF_DECR_INVEST","FQ1 2019","FQ1 2019","Currency=USD","Period=FQ","BEST_FPERIOD_OVERRIDE=FQ","FILING_STATUS=MR","SCALING_FORMAT=MLN","Sort=A","Dates=H","DateFormat=P","Fill=—","Direction=H","UseDPDF=Y")</f>
        <v>0</v>
      </c>
      <c r="N29" s="12">
        <f>_xll.BDH("WMT US Equity","CF_DECR_INVEST","FQ2 2019","FQ2 2019","Currency=USD","Period=FQ","BEST_FPERIOD_OVERRIDE=FQ","FILING_STATUS=MR","SCALING_FORMAT=MLN","Sort=A","Dates=H","DateFormat=P","Fill=—","Direction=H","UseDPDF=Y")</f>
        <v>0</v>
      </c>
      <c r="O29" s="12">
        <f>_xll.BDH("WMT US Equity","CF_DECR_INVEST","FQ3 2019","FQ3 2019","Currency=USD","Period=FQ","BEST_FPERIOD_OVERRIDE=FQ","FILING_STATUS=MR","SCALING_FORMAT=MLN","Sort=A","Dates=H","DateFormat=P","Fill=—","Direction=H","UseDPDF=Y")</f>
        <v>0</v>
      </c>
      <c r="P29" s="12">
        <f>_xll.BDH("WMT US Equity","CF_DECR_INVEST","FQ4 2019","FQ4 2019","Currency=USD","Period=FQ","BEST_FPERIOD_OVERRIDE=FQ","FILING_STATUS=MR","SCALING_FORMAT=MLN","Sort=A","Dates=H","DateFormat=P","Fill=—","Direction=H","UseDPDF=Y")</f>
        <v>0</v>
      </c>
      <c r="Q29" s="12">
        <f>_xll.BDH("WMT US Equity","CF_DECR_INVEST","FQ1 2020","FQ1 2020","Currency=USD","Period=FQ","BEST_FPERIOD_OVERRIDE=FQ","FILING_STATUS=MR","SCALING_FORMAT=MLN","Sort=A","Dates=H","DateFormat=P","Fill=—","Direction=H","UseDPDF=Y")</f>
        <v>0</v>
      </c>
      <c r="R29" s="12">
        <f>_xll.BDH("WMT US Equity","CF_DECR_INVEST","FQ2 2020","FQ2 2020","Currency=USD","Period=FQ","BEST_FPERIOD_OVERRIDE=FQ","FILING_STATUS=MR","SCALING_FORMAT=MLN","Sort=A","Dates=H","DateFormat=P","Fill=—","Direction=H","UseDPDF=Y")</f>
        <v>0</v>
      </c>
      <c r="S29" s="12">
        <f>_xll.BDH("WMT US Equity","CF_DECR_INVEST","FQ3 2020","FQ3 2020","Currency=USD","Period=FQ","BEST_FPERIOD_OVERRIDE=FQ","FILING_STATUS=MR","SCALING_FORMAT=MLN","Sort=A","Dates=H","DateFormat=P","Fill=—","Direction=H","UseDPDF=Y")</f>
        <v>0</v>
      </c>
      <c r="T29" s="12">
        <f>_xll.BDH("WMT US Equity","CF_DECR_INVEST","FQ4 2020","FQ4 2020","Currency=USD","Period=FQ","BEST_FPERIOD_OVERRIDE=FQ","FILING_STATUS=MR","SCALING_FORMAT=MLN","Sort=A","Dates=H","DateFormat=P","Fill=—","Direction=H","UseDPDF=Y")</f>
        <v>0</v>
      </c>
      <c r="U29" s="12">
        <f>_xll.BDH("WMT US Equity","CF_DECR_INVEST","FQ1 2021","FQ1 2021","Currency=USD","Period=FQ","BEST_FPERIOD_OVERRIDE=FQ","FILING_STATUS=MR","SCALING_FORMAT=MLN","Sort=A","Dates=H","DateFormat=P","Fill=—","Direction=H","UseDPDF=Y")</f>
        <v>0</v>
      </c>
      <c r="V29" s="12">
        <f>_xll.BDH("WMT US Equity","CF_DECR_INVEST","FQ2 2021","FQ2 2021","Currency=USD","Period=FQ","BEST_FPERIOD_OVERRIDE=FQ","FILING_STATUS=MR","SCALING_FORMAT=MLN","Sort=A","Dates=H","DateFormat=P","Fill=—","Direction=H","UseDPDF=Y")</f>
        <v>0</v>
      </c>
      <c r="W29" s="12">
        <f>_xll.BDH("WMT US Equity","CF_DECR_INVEST","FQ3 2021","FQ3 2021","Currency=USD","Period=FQ","BEST_FPERIOD_OVERRIDE=FQ","FILING_STATUS=MR","SCALING_FORMAT=MLN","Sort=A","Dates=H","DateFormat=P","Fill=—","Direction=H","UseDPDF=Y")</f>
        <v>0</v>
      </c>
      <c r="X29" s="12">
        <f>_xll.BDH("WMT US Equity","CF_DECR_INVEST","FQ4 2021","FQ4 2021","Currency=USD","Period=FQ","BEST_FPERIOD_OVERRIDE=FQ","FILING_STATUS=MR","SCALING_FORMAT=MLN","Sort=A","Dates=H","DateFormat=P","Fill=—","Direction=H","UseDPDF=Y")</f>
        <v>0</v>
      </c>
      <c r="Y29" s="12">
        <f>_xll.BDH("WMT US Equity","CF_DECR_INVEST","FQ1 2022","FQ1 2022","Currency=USD","Period=FQ","BEST_FPERIOD_OVERRIDE=FQ","FILING_STATUS=MR","SCALING_FORMAT=MLN","Sort=A","Dates=H","DateFormat=P","Fill=—","Direction=H","UseDPDF=Y")</f>
        <v>0</v>
      </c>
      <c r="Z29" s="12">
        <f>_xll.BDH("WMT US Equity","CF_DECR_INVEST","FQ2 2022","FQ2 2022","Currency=USD","Period=FQ","BEST_FPERIOD_OVERRIDE=FQ","FILING_STATUS=MR","SCALING_FORMAT=MLN","Sort=A","Dates=H","DateFormat=P","Fill=—","Direction=H","UseDPDF=Y")</f>
        <v>0</v>
      </c>
      <c r="AA29" s="12">
        <f>_xll.BDH("WMT US Equity","CF_DECR_INVEST","FQ3 2022","FQ3 2022","Currency=USD","Period=FQ","BEST_FPERIOD_OVERRIDE=FQ","FILING_STATUS=MR","SCALING_FORMAT=MLN","Sort=A","Dates=H","DateFormat=P","Fill=—","Direction=H","UseDPDF=Y")</f>
        <v>0</v>
      </c>
      <c r="AB29" s="12">
        <f>_xll.BDH("WMT US Equity","CF_DECR_INVEST","FQ4 2022","FQ4 2022","Currency=USD","Period=FQ","BEST_FPERIOD_OVERRIDE=FQ","FILING_STATUS=MR","SCALING_FORMAT=MLN","Sort=A","Dates=H","DateFormat=P","Fill=—","Direction=H","UseDPDF=Y")</f>
        <v>0</v>
      </c>
      <c r="AC29" s="12">
        <f>_xll.BDH("WMT US Equity","CF_DECR_INVEST","FQ1 2023","FQ1 2023","Currency=USD","Period=FQ","BEST_FPERIOD_OVERRIDE=FQ","FILING_STATUS=MR","SCALING_FORMAT=MLN","Sort=A","Dates=H","DateFormat=P","Fill=—","Direction=H","UseDPDF=Y")</f>
        <v>0</v>
      </c>
      <c r="AD29" s="12">
        <f>_xll.BDH("WMT US Equity","CF_DECR_INVEST","FQ2 2023","FQ2 2023","Currency=USD","Period=FQ","BEST_FPERIOD_OVERRIDE=FQ","FILING_STATUS=MR","SCALING_FORMAT=MLN","Sort=A","Dates=H","DateFormat=P","Fill=—","Direction=H","UseDPDF=Y")</f>
        <v>0</v>
      </c>
      <c r="AE29" s="12">
        <f>_xll.BDH("WMT US Equity","CF_DECR_INVEST","FQ3 2023","FQ3 2023","Currency=USD","Period=FQ","BEST_FPERIOD_OVERRIDE=FQ","FILING_STATUS=MR","SCALING_FORMAT=MLN","Sort=A","Dates=H","DateFormat=P","Fill=—","Direction=H","UseDPDF=Y")</f>
        <v>0</v>
      </c>
      <c r="AF29" s="12">
        <f>_xll.BDH("WMT US Equity","CF_DECR_INVEST","FQ4 2023","FQ4 2023","Currency=USD","Period=FQ","BEST_FPERIOD_OVERRIDE=FQ","FILING_STATUS=MR","SCALING_FORMAT=MLN","Sort=A","Dates=H","DateFormat=P","Fill=—","Direction=H","UseDPDF=Y")</f>
        <v>0</v>
      </c>
      <c r="AG29" s="12">
        <f>_xll.BDH("WMT US Equity","CF_DECR_INVEST","FQ1 2024","FQ1 2024","Currency=USD","Period=FQ","BEST_FPERIOD_OVERRIDE=FQ","FILING_STATUS=MR","SCALING_FORMAT=MLN","Sort=A","Dates=H","DateFormat=P","Fill=—","Direction=H","UseDPDF=Y")</f>
        <v>0</v>
      </c>
      <c r="AH29" s="12">
        <f>_xll.BDH("WMT US Equity","CF_DECR_INVEST","FQ2 2024","FQ2 2024","Currency=USD","Period=FQ","BEST_FPERIOD_OVERRIDE=FQ","FILING_STATUS=MR","SCALING_FORMAT=MLN","Sort=A","Dates=H","DateFormat=P","Fill=—","Direction=H","UseDPDF=Y")</f>
        <v>0</v>
      </c>
      <c r="AI29" s="12">
        <f>_xll.BDH("WMT US Equity","CF_DECR_INVEST","FQ3 2024","FQ3 2024","Currency=USD","Period=FQ","BEST_FPERIOD_OVERRIDE=FQ","FILING_STATUS=MR","SCALING_FORMAT=MLN","Sort=A","Dates=H","DateFormat=P","Fill=—","Direction=H","UseDPDF=Y")</f>
        <v>0</v>
      </c>
      <c r="AJ29" s="12">
        <f>_xll.BDH("WMT US Equity","CF_DECR_INVEST","FQ4 2024","FQ4 2024","Currency=USD","Period=FQ","BEST_FPERIOD_OVERRIDE=FQ","FILING_STATUS=MR","SCALING_FORMAT=MLN","Sort=A","Dates=H","DateFormat=P","Fill=—","Direction=H","UseDPDF=Y")</f>
        <v>0</v>
      </c>
      <c r="AK29" s="12">
        <f>_xll.BDH("WMT US Equity","CF_DECR_INVEST","FQ1 2025","FQ1 2025","Currency=USD","Period=FQ","BEST_FPERIOD_OVERRIDE=FQ","FILING_STATUS=MR","SCALING_FORMAT=MLN","Sort=A","Dates=H","DateFormat=P","Fill=—","Direction=H","UseDPDF=Y")</f>
        <v>0</v>
      </c>
      <c r="AL29" s="12">
        <f>_xll.BDH("WMT US Equity","CF_DECR_INVEST","FQ2 2025","FQ2 2025","Currency=USD","Period=FQ","BEST_FPERIOD_OVERRIDE=FQ","FILING_STATUS=MR","SCALING_FORMAT=MLN","Sort=A","Dates=H","DateFormat=P","Fill=—","Direction=H","UseDPDF=Y")</f>
        <v>0</v>
      </c>
      <c r="AM29" s="12">
        <f>_xll.BDH("WMT US Equity","CF_DECR_INVEST","FQ3 2025","FQ3 2025","Currency=USD","Period=FQ","BEST_FPERIOD_OVERRIDE=FQ","FILING_STATUS=MR","SCALING_FORMAT=MLN","Sort=A","Dates=H","DateFormat=P","Fill=—","Direction=H","UseDPDF=Y")</f>
        <v>0</v>
      </c>
      <c r="AN29" s="12">
        <f>_xll.BDH("WMT US Equity","CF_DECR_INVEST","FQ4 2025","FQ4 2025","Currency=USD","Period=FQ","BEST_FPERIOD_OVERRIDE=FQ","FILING_STATUS=MR","SCALING_FORMAT=MLN","Sort=A","Dates=H","DateFormat=P","Fill=—","Direction=H","UseDPDF=Y")</f>
        <v>0</v>
      </c>
      <c r="AO29" s="12">
        <f>_xll.BDH("WMT US Equity","CF_DECR_INVEST","FQ1 2026","FQ1 2026","Currency=USD","Period=FQ","BEST_FPERIOD_OVERRIDE=FQ","FILING_STATUS=MR","SCALING_FORMAT=MLN","Sort=A","Dates=H","DateFormat=P","Fill=—","Direction=H","UseDPDF=Y")</f>
        <v>0</v>
      </c>
      <c r="AP29" s="12">
        <f>_xll.BDH("WMT US Equity","CF_DECR_INVEST","FQ2 2026","FQ2 2026","Currency=USD","Period=FQ","BEST_FPERIOD_OVERRIDE=FQ","FILING_STATUS=MR","SCALING_FORMAT=MLN","Sort=A","Dates=H","DateFormat=P","Fill=—","Direction=H","UseDPDF=Y")</f>
        <v>0</v>
      </c>
    </row>
    <row r="30" spans="1:42" x14ac:dyDescent="0.3">
      <c r="A30" s="10" t="s">
        <v>170</v>
      </c>
      <c r="B30" s="10" t="s">
        <v>107</v>
      </c>
      <c r="C30" s="12">
        <f>_xll.BDH("WMT US Equity","CF_INCR_INVEST","FQ3 2016","FQ3 2016","Currency=USD","Period=FQ","BEST_FPERIOD_OVERRIDE=FQ","FILING_STATUS=MR","SCALING_FORMAT=MLN","Sort=A","Dates=H","DateFormat=P","Fill=—","Direction=H","UseDPDF=Y")</f>
        <v>0</v>
      </c>
      <c r="D30" s="12">
        <f>_xll.BDH("WMT US Equity","CF_INCR_INVEST","FQ4 2016","FQ4 2016","Currency=USD","Period=FQ","BEST_FPERIOD_OVERRIDE=FQ","FILING_STATUS=MR","SCALING_FORMAT=MLN","Sort=A","Dates=H","DateFormat=P","Fill=—","Direction=H","UseDPDF=Y")</f>
        <v>0</v>
      </c>
      <c r="E30" s="12">
        <f>_xll.BDH("WMT US Equity","CF_INCR_INVEST","FQ1 2017","FQ1 2017","Currency=USD","Period=FQ","BEST_FPERIOD_OVERRIDE=FQ","FILING_STATUS=MR","SCALING_FORMAT=MLN","Sort=A","Dates=H","DateFormat=P","Fill=—","Direction=H","UseDPDF=Y")</f>
        <v>0</v>
      </c>
      <c r="F30" s="12">
        <f>_xll.BDH("WMT US Equity","CF_INCR_INVEST","FQ2 2017","FQ2 2017","Currency=USD","Period=FQ","BEST_FPERIOD_OVERRIDE=FQ","FILING_STATUS=MR","SCALING_FORMAT=MLN","Sort=A","Dates=H","DateFormat=P","Fill=—","Direction=H","UseDPDF=Y")</f>
        <v>0</v>
      </c>
      <c r="G30" s="12">
        <f>_xll.BDH("WMT US Equity","CF_INCR_INVEST","FQ3 2017","FQ3 2017","Currency=USD","Period=FQ","BEST_FPERIOD_OVERRIDE=FQ","FILING_STATUS=MR","SCALING_FORMAT=MLN","Sort=A","Dates=H","DateFormat=P","Fill=—","Direction=H","UseDPDF=Y")</f>
        <v>0</v>
      </c>
      <c r="H30" s="12">
        <f>_xll.BDH("WMT US Equity","CF_INCR_INVEST","FQ4 2017","FQ4 2017","Currency=USD","Period=FQ","BEST_FPERIOD_OVERRIDE=FQ","FILING_STATUS=MR","SCALING_FORMAT=MLN","Sort=A","Dates=H","DateFormat=P","Fill=—","Direction=H","UseDPDF=Y")</f>
        <v>0</v>
      </c>
      <c r="I30" s="12">
        <f>_xll.BDH("WMT US Equity","CF_INCR_INVEST","FQ1 2018","FQ1 2018","Currency=USD","Period=FQ","BEST_FPERIOD_OVERRIDE=FQ","FILING_STATUS=MR","SCALING_FORMAT=MLN","Sort=A","Dates=H","DateFormat=P","Fill=—","Direction=H","UseDPDF=Y")</f>
        <v>0</v>
      </c>
      <c r="J30" s="12">
        <f>_xll.BDH("WMT US Equity","CF_INCR_INVEST","FQ2 2018","FQ2 2018","Currency=USD","Period=FQ","BEST_FPERIOD_OVERRIDE=FQ","FILING_STATUS=MR","SCALING_FORMAT=MLN","Sort=A","Dates=H","DateFormat=P","Fill=—","Direction=H","UseDPDF=Y")</f>
        <v>0</v>
      </c>
      <c r="K30" s="12">
        <f>_xll.BDH("WMT US Equity","CF_INCR_INVEST","FQ3 2018","FQ3 2018","Currency=USD","Period=FQ","BEST_FPERIOD_OVERRIDE=FQ","FILING_STATUS=MR","SCALING_FORMAT=MLN","Sort=A","Dates=H","DateFormat=P","Fill=—","Direction=H","UseDPDF=Y")</f>
        <v>0</v>
      </c>
      <c r="L30" s="12">
        <f>_xll.BDH("WMT US Equity","CF_INCR_INVEST","FQ4 2018","FQ4 2018","Currency=USD","Period=FQ","BEST_FPERIOD_OVERRIDE=FQ","FILING_STATUS=MR","SCALING_FORMAT=MLN","Sort=A","Dates=H","DateFormat=P","Fill=—","Direction=H","UseDPDF=Y")</f>
        <v>0</v>
      </c>
      <c r="M30" s="12">
        <f>_xll.BDH("WMT US Equity","CF_INCR_INVEST","FQ1 2019","FQ1 2019","Currency=USD","Period=FQ","BEST_FPERIOD_OVERRIDE=FQ","FILING_STATUS=MR","SCALING_FORMAT=MLN","Sort=A","Dates=H","DateFormat=P","Fill=—","Direction=H","UseDPDF=Y")</f>
        <v>0</v>
      </c>
      <c r="N30" s="12">
        <f>_xll.BDH("WMT US Equity","CF_INCR_INVEST","FQ2 2019","FQ2 2019","Currency=USD","Period=FQ","BEST_FPERIOD_OVERRIDE=FQ","FILING_STATUS=MR","SCALING_FORMAT=MLN","Sort=A","Dates=H","DateFormat=P","Fill=—","Direction=H","UseDPDF=Y")</f>
        <v>0</v>
      </c>
      <c r="O30" s="12">
        <f>_xll.BDH("WMT US Equity","CF_INCR_INVEST","FQ3 2019","FQ3 2019","Currency=USD","Period=FQ","BEST_FPERIOD_OVERRIDE=FQ","FILING_STATUS=MR","SCALING_FORMAT=MLN","Sort=A","Dates=H","DateFormat=P","Fill=—","Direction=H","UseDPDF=Y")</f>
        <v>0</v>
      </c>
      <c r="P30" s="12">
        <f>_xll.BDH("WMT US Equity","CF_INCR_INVEST","FQ4 2019","FQ4 2019","Currency=USD","Period=FQ","BEST_FPERIOD_OVERRIDE=FQ","FILING_STATUS=MR","SCALING_FORMAT=MLN","Sort=A","Dates=H","DateFormat=P","Fill=—","Direction=H","UseDPDF=Y")</f>
        <v>0</v>
      </c>
      <c r="Q30" s="12">
        <f>_xll.BDH("WMT US Equity","CF_INCR_INVEST","FQ1 2020","FQ1 2020","Currency=USD","Period=FQ","BEST_FPERIOD_OVERRIDE=FQ","FILING_STATUS=MR","SCALING_FORMAT=MLN","Sort=A","Dates=H","DateFormat=P","Fill=—","Direction=H","UseDPDF=Y")</f>
        <v>0</v>
      </c>
      <c r="R30" s="12">
        <f>_xll.BDH("WMT US Equity","CF_INCR_INVEST","FQ2 2020","FQ2 2020","Currency=USD","Period=FQ","BEST_FPERIOD_OVERRIDE=FQ","FILING_STATUS=MR","SCALING_FORMAT=MLN","Sort=A","Dates=H","DateFormat=P","Fill=—","Direction=H","UseDPDF=Y")</f>
        <v>0</v>
      </c>
      <c r="S30" s="12">
        <f>_xll.BDH("WMT US Equity","CF_INCR_INVEST","FQ3 2020","FQ3 2020","Currency=USD","Period=FQ","BEST_FPERIOD_OVERRIDE=FQ","FILING_STATUS=MR","SCALING_FORMAT=MLN","Sort=A","Dates=H","DateFormat=P","Fill=—","Direction=H","UseDPDF=Y")</f>
        <v>0</v>
      </c>
      <c r="T30" s="12">
        <f>_xll.BDH("WMT US Equity","CF_INCR_INVEST","FQ4 2020","FQ4 2020","Currency=USD","Period=FQ","BEST_FPERIOD_OVERRIDE=FQ","FILING_STATUS=MR","SCALING_FORMAT=MLN","Sort=A","Dates=H","DateFormat=P","Fill=—","Direction=H","UseDPDF=Y")</f>
        <v>0</v>
      </c>
      <c r="U30" s="12">
        <f>_xll.BDH("WMT US Equity","CF_INCR_INVEST","FQ1 2021","FQ1 2021","Currency=USD","Period=FQ","BEST_FPERIOD_OVERRIDE=FQ","FILING_STATUS=MR","SCALING_FORMAT=MLN","Sort=A","Dates=H","DateFormat=P","Fill=—","Direction=H","UseDPDF=Y")</f>
        <v>0</v>
      </c>
      <c r="V30" s="12">
        <f>_xll.BDH("WMT US Equity","CF_INCR_INVEST","FQ2 2021","FQ2 2021","Currency=USD","Period=FQ","BEST_FPERIOD_OVERRIDE=FQ","FILING_STATUS=MR","SCALING_FORMAT=MLN","Sort=A","Dates=H","DateFormat=P","Fill=—","Direction=H","UseDPDF=Y")</f>
        <v>0</v>
      </c>
      <c r="W30" s="12">
        <f>_xll.BDH("WMT US Equity","CF_INCR_INVEST","FQ3 2021","FQ3 2021","Currency=USD","Period=FQ","BEST_FPERIOD_OVERRIDE=FQ","FILING_STATUS=MR","SCALING_FORMAT=MLN","Sort=A","Dates=H","DateFormat=P","Fill=—","Direction=H","UseDPDF=Y")</f>
        <v>0</v>
      </c>
      <c r="X30" s="12">
        <f>_xll.BDH("WMT US Equity","CF_INCR_INVEST","FQ4 2021","FQ4 2021","Currency=USD","Period=FQ","BEST_FPERIOD_OVERRIDE=FQ","FILING_STATUS=MR","SCALING_FORMAT=MLN","Sort=A","Dates=H","DateFormat=P","Fill=—","Direction=H","UseDPDF=Y")</f>
        <v>0</v>
      </c>
      <c r="Y30" s="12">
        <f>_xll.BDH("WMT US Equity","CF_INCR_INVEST","FQ1 2022","FQ1 2022","Currency=USD","Period=FQ","BEST_FPERIOD_OVERRIDE=FQ","FILING_STATUS=MR","SCALING_FORMAT=MLN","Sort=A","Dates=H","DateFormat=P","Fill=—","Direction=H","UseDPDF=Y")</f>
        <v>0</v>
      </c>
      <c r="Z30" s="12">
        <f>_xll.BDH("WMT US Equity","CF_INCR_INVEST","FQ2 2022","FQ2 2022","Currency=USD","Period=FQ","BEST_FPERIOD_OVERRIDE=FQ","FILING_STATUS=MR","SCALING_FORMAT=MLN","Sort=A","Dates=H","DateFormat=P","Fill=—","Direction=H","UseDPDF=Y")</f>
        <v>0</v>
      </c>
      <c r="AA30" s="12">
        <f>_xll.BDH("WMT US Equity","CF_INCR_INVEST","FQ3 2022","FQ3 2022","Currency=USD","Period=FQ","BEST_FPERIOD_OVERRIDE=FQ","FILING_STATUS=MR","SCALING_FORMAT=MLN","Sort=A","Dates=H","DateFormat=P","Fill=—","Direction=H","UseDPDF=Y")</f>
        <v>0</v>
      </c>
      <c r="AB30" s="12">
        <f>_xll.BDH("WMT US Equity","CF_INCR_INVEST","FQ4 2022","FQ4 2022","Currency=USD","Period=FQ","BEST_FPERIOD_OVERRIDE=FQ","FILING_STATUS=MR","SCALING_FORMAT=MLN","Sort=A","Dates=H","DateFormat=P","Fill=—","Direction=H","UseDPDF=Y")</f>
        <v>0</v>
      </c>
      <c r="AC30" s="12">
        <f>_xll.BDH("WMT US Equity","CF_INCR_INVEST","FQ1 2023","FQ1 2023","Currency=USD","Period=FQ","BEST_FPERIOD_OVERRIDE=FQ","FILING_STATUS=MR","SCALING_FORMAT=MLN","Sort=A","Dates=H","DateFormat=P","Fill=—","Direction=H","UseDPDF=Y")</f>
        <v>0</v>
      </c>
      <c r="AD30" s="12">
        <f>_xll.BDH("WMT US Equity","CF_INCR_INVEST","FQ2 2023","FQ2 2023","Currency=USD","Period=FQ","BEST_FPERIOD_OVERRIDE=FQ","FILING_STATUS=MR","SCALING_FORMAT=MLN","Sort=A","Dates=H","DateFormat=P","Fill=—","Direction=H","UseDPDF=Y")</f>
        <v>0</v>
      </c>
      <c r="AE30" s="12">
        <f>_xll.BDH("WMT US Equity","CF_INCR_INVEST","FQ3 2023","FQ3 2023","Currency=USD","Period=FQ","BEST_FPERIOD_OVERRIDE=FQ","FILING_STATUS=MR","SCALING_FORMAT=MLN","Sort=A","Dates=H","DateFormat=P","Fill=—","Direction=H","UseDPDF=Y")</f>
        <v>0</v>
      </c>
      <c r="AF30" s="12">
        <f>_xll.BDH("WMT US Equity","CF_INCR_INVEST","FQ4 2023","FQ4 2023","Currency=USD","Period=FQ","BEST_FPERIOD_OVERRIDE=FQ","FILING_STATUS=MR","SCALING_FORMAT=MLN","Sort=A","Dates=H","DateFormat=P","Fill=—","Direction=H","UseDPDF=Y")</f>
        <v>0</v>
      </c>
      <c r="AG30" s="12">
        <f>_xll.BDH("WMT US Equity","CF_INCR_INVEST","FQ1 2024","FQ1 2024","Currency=USD","Period=FQ","BEST_FPERIOD_OVERRIDE=FQ","FILING_STATUS=MR","SCALING_FORMAT=MLN","Sort=A","Dates=H","DateFormat=P","Fill=—","Direction=H","UseDPDF=Y")</f>
        <v>0</v>
      </c>
      <c r="AH30" s="12">
        <f>_xll.BDH("WMT US Equity","CF_INCR_INVEST","FQ2 2024","FQ2 2024","Currency=USD","Period=FQ","BEST_FPERIOD_OVERRIDE=FQ","FILING_STATUS=MR","SCALING_FORMAT=MLN","Sort=A","Dates=H","DateFormat=P","Fill=—","Direction=H","UseDPDF=Y")</f>
        <v>0</v>
      </c>
      <c r="AI30" s="12">
        <f>_xll.BDH("WMT US Equity","CF_INCR_INVEST","FQ3 2024","FQ3 2024","Currency=USD","Period=FQ","BEST_FPERIOD_OVERRIDE=FQ","FILING_STATUS=MR","SCALING_FORMAT=MLN","Sort=A","Dates=H","DateFormat=P","Fill=—","Direction=H","UseDPDF=Y")</f>
        <v>0</v>
      </c>
      <c r="AJ30" s="12">
        <f>_xll.BDH("WMT US Equity","CF_INCR_INVEST","FQ4 2024","FQ4 2024","Currency=USD","Period=FQ","BEST_FPERIOD_OVERRIDE=FQ","FILING_STATUS=MR","SCALING_FORMAT=MLN","Sort=A","Dates=H","DateFormat=P","Fill=—","Direction=H","UseDPDF=Y")</f>
        <v>0</v>
      </c>
      <c r="AK30" s="12">
        <f>_xll.BDH("WMT US Equity","CF_INCR_INVEST","FQ1 2025","FQ1 2025","Currency=USD","Period=FQ","BEST_FPERIOD_OVERRIDE=FQ","FILING_STATUS=MR","SCALING_FORMAT=MLN","Sort=A","Dates=H","DateFormat=P","Fill=—","Direction=H","UseDPDF=Y")</f>
        <v>0</v>
      </c>
      <c r="AL30" s="12">
        <f>_xll.BDH("WMT US Equity","CF_INCR_INVEST","FQ2 2025","FQ2 2025","Currency=USD","Period=FQ","BEST_FPERIOD_OVERRIDE=FQ","FILING_STATUS=MR","SCALING_FORMAT=MLN","Sort=A","Dates=H","DateFormat=P","Fill=—","Direction=H","UseDPDF=Y")</f>
        <v>0</v>
      </c>
      <c r="AM30" s="12">
        <f>_xll.BDH("WMT US Equity","CF_INCR_INVEST","FQ3 2025","FQ3 2025","Currency=USD","Period=FQ","BEST_FPERIOD_OVERRIDE=FQ","FILING_STATUS=MR","SCALING_FORMAT=MLN","Sort=A","Dates=H","DateFormat=P","Fill=—","Direction=H","UseDPDF=Y")</f>
        <v>0</v>
      </c>
      <c r="AN30" s="12">
        <f>_xll.BDH("WMT US Equity","CF_INCR_INVEST","FQ4 2025","FQ4 2025","Currency=USD","Period=FQ","BEST_FPERIOD_OVERRIDE=FQ","FILING_STATUS=MR","SCALING_FORMAT=MLN","Sort=A","Dates=H","DateFormat=P","Fill=—","Direction=H","UseDPDF=Y")</f>
        <v>0</v>
      </c>
      <c r="AO30" s="12">
        <f>_xll.BDH("WMT US Equity","CF_INCR_INVEST","FQ1 2026","FQ1 2026","Currency=USD","Period=FQ","BEST_FPERIOD_OVERRIDE=FQ","FILING_STATUS=MR","SCALING_FORMAT=MLN","Sort=A","Dates=H","DateFormat=P","Fill=—","Direction=H","UseDPDF=Y")</f>
        <v>0</v>
      </c>
      <c r="AP30" s="12">
        <f>_xll.BDH("WMT US Equity","CF_INCR_INVEST","FQ2 2026","FQ2 2026","Currency=USD","Period=FQ","BEST_FPERIOD_OVERRIDE=FQ","FILING_STATUS=MR","SCALING_FORMAT=MLN","Sort=A","Dates=H","DateFormat=P","Fill=—","Direction=H","UseDPDF=Y")</f>
        <v>0</v>
      </c>
    </row>
    <row r="31" spans="1:42" x14ac:dyDescent="0.3">
      <c r="A31" s="10" t="s">
        <v>171</v>
      </c>
      <c r="B31" s="10" t="s">
        <v>108</v>
      </c>
      <c r="C31" s="12">
        <f>_xll.BDH("WMT US Equity","CF_NT_CSH_RCVD_PD_FOR_ACQUIS_DIV","FQ3 2016","FQ3 2016","Currency=USD","Period=FQ","BEST_FPERIOD_OVERRIDE=FQ","FILING_STATUS=MR","SCALING_FORMAT=MLN","Sort=A","Dates=H","DateFormat=P","Fill=—","Direction=H","UseDPDF=Y")</f>
        <v>0</v>
      </c>
      <c r="D31" s="12">
        <f>_xll.BDH("WMT US Equity","CF_NT_CSH_RCVD_PD_FOR_ACQUIS_DIV","FQ4 2016","FQ4 2016","Currency=USD","Period=FQ","BEST_FPERIOD_OVERRIDE=FQ","FILING_STATUS=MR","SCALING_FORMAT=MLN","Sort=A","Dates=H","DateFormat=P","Fill=—","Direction=H","UseDPDF=Y")</f>
        <v>0</v>
      </c>
      <c r="E31" s="12">
        <f>_xll.BDH("WMT US Equity","CF_NT_CSH_RCVD_PD_FOR_ACQUIS_DIV","FQ1 2017","FQ1 2017","Currency=USD","Period=FQ","BEST_FPERIOD_OVERRIDE=FQ","FILING_STATUS=MR","SCALING_FORMAT=MLN","Sort=A","Dates=H","DateFormat=P","Fill=—","Direction=H","UseDPDF=Y")</f>
        <v>0</v>
      </c>
      <c r="F31" s="12">
        <f>_xll.BDH("WMT US Equity","CF_NT_CSH_RCVD_PD_FOR_ACQUIS_DIV","FQ2 2017","FQ2 2017","Currency=USD","Period=FQ","BEST_FPERIOD_OVERRIDE=FQ","FILING_STATUS=MR","SCALING_FORMAT=MLN","Sort=A","Dates=H","DateFormat=P","Fill=—","Direction=H","UseDPDF=Y")</f>
        <v>0</v>
      </c>
      <c r="G31" s="12">
        <f>_xll.BDH("WMT US Equity","CF_NT_CSH_RCVD_PD_FOR_ACQUIS_DIV","FQ3 2017","FQ3 2017","Currency=USD","Period=FQ","BEST_FPERIOD_OVERRIDE=FQ","FILING_STATUS=MR","SCALING_FORMAT=MLN","Sort=A","Dates=H","DateFormat=P","Fill=—","Direction=H","UseDPDF=Y")</f>
        <v>-2406</v>
      </c>
      <c r="H31" s="12">
        <f>_xll.BDH("WMT US Equity","CF_NT_CSH_RCVD_PD_FOR_ACQUIS_DIV","FQ4 2017","FQ4 2017","Currency=USD","Period=FQ","BEST_FPERIOD_OVERRIDE=FQ","FILING_STATUS=MR","SCALING_FORMAT=MLN","Sort=A","Dates=H","DateFormat=P","Fill=—","Direction=H","UseDPDF=Y")</f>
        <v>605</v>
      </c>
      <c r="I31" s="12">
        <f>_xll.BDH("WMT US Equity","CF_NT_CSH_RCVD_PD_FOR_ACQUIS_DIV","FQ1 2018","FQ1 2018","Currency=USD","Period=FQ","BEST_FPERIOD_OVERRIDE=FQ","FILING_STATUS=MR","SCALING_FORMAT=MLN","Sort=A","Dates=H","DateFormat=P","Fill=—","Direction=H","UseDPDF=Y")</f>
        <v>-88</v>
      </c>
      <c r="J31" s="12">
        <f>_xll.BDH("WMT US Equity","CF_NT_CSH_RCVD_PD_FOR_ACQUIS_DIV","FQ2 2018","FQ2 2018","Currency=USD","Period=FQ","BEST_FPERIOD_OVERRIDE=FQ","FILING_STATUS=MR","SCALING_FORMAT=MLN","Sort=A","Dates=H","DateFormat=P","Fill=—","Direction=H","UseDPDF=Y")</f>
        <v>737</v>
      </c>
      <c r="K31" s="12">
        <f>_xll.BDH("WMT US Equity","CF_NT_CSH_RCVD_PD_FOR_ACQUIS_DIV","FQ3 2018","FQ3 2018","Currency=USD","Period=FQ","BEST_FPERIOD_OVERRIDE=FQ","FILING_STATUS=MR","SCALING_FORMAT=MLN","Sort=A","Dates=H","DateFormat=P","Fill=—","Direction=H","UseDPDF=Y")</f>
        <v>25</v>
      </c>
      <c r="L31" s="12">
        <f>_xll.BDH("WMT US Equity","CF_NT_CSH_RCVD_PD_FOR_ACQUIS_DIV","FQ4 2018","FQ4 2018","Currency=USD","Period=FQ","BEST_FPERIOD_OVERRIDE=FQ","FILING_STATUS=MR","SCALING_FORMAT=MLN","Sort=A","Dates=H","DateFormat=P","Fill=—","Direction=H","UseDPDF=Y")</f>
        <v>-3</v>
      </c>
      <c r="M31" s="12">
        <f>_xll.BDH("WMT US Equity","CF_NT_CSH_RCVD_PD_FOR_ACQUIS_DIV","FQ1 2019","FQ1 2019","Currency=USD","Period=FQ","BEST_FPERIOD_OVERRIDE=FQ","FILING_STATUS=MR","SCALING_FORMAT=MLN","Sort=A","Dates=H","DateFormat=P","Fill=—","Direction=H","UseDPDF=Y")</f>
        <v>0</v>
      </c>
      <c r="N31" s="12">
        <f>_xll.BDH("WMT US Equity","CF_NT_CSH_RCVD_PD_FOR_ACQUIS_DIV","FQ2 2019","FQ2 2019","Currency=USD","Period=FQ","BEST_FPERIOD_OVERRIDE=FQ","FILING_STATUS=MR","SCALING_FORMAT=MLN","Sort=A","Dates=H","DateFormat=P","Fill=—","Direction=H","UseDPDF=Y")</f>
        <v>0</v>
      </c>
      <c r="O31" s="12">
        <f>_xll.BDH("WMT US Equity","CF_NT_CSH_RCVD_PD_FOR_ACQUIS_DIV","FQ3 2019","FQ3 2019","Currency=USD","Period=FQ","BEST_FPERIOD_OVERRIDE=FQ","FILING_STATUS=MR","SCALING_FORMAT=MLN","Sort=A","Dates=H","DateFormat=P","Fill=—","Direction=H","UseDPDF=Y")</f>
        <v>-13269</v>
      </c>
      <c r="P31" s="12">
        <f>_xll.BDH("WMT US Equity","CF_NT_CSH_RCVD_PD_FOR_ACQUIS_DIV","FQ4 2019","FQ4 2019","Currency=USD","Period=FQ","BEST_FPERIOD_OVERRIDE=FQ","FILING_STATUS=MR","SCALING_FORMAT=MLN","Sort=A","Dates=H","DateFormat=P","Fill=—","Direction=H","UseDPDF=Y")</f>
        <v>-511</v>
      </c>
      <c r="Q31" s="12">
        <f>_xll.BDH("WMT US Equity","CF_NT_CSH_RCVD_PD_FOR_ACQUIS_DIV","FQ1 2020","FQ1 2020","Currency=USD","Period=FQ","BEST_FPERIOD_OVERRIDE=FQ","FILING_STATUS=MR","SCALING_FORMAT=MLN","Sort=A","Dates=H","DateFormat=P","Fill=—","Direction=H","UseDPDF=Y")</f>
        <v>777</v>
      </c>
      <c r="R31" s="12">
        <f>_xll.BDH("WMT US Equity","CF_NT_CSH_RCVD_PD_FOR_ACQUIS_DIV","FQ2 2020","FQ2 2020","Currency=USD","Period=FQ","BEST_FPERIOD_OVERRIDE=FQ","FILING_STATUS=MR","SCALING_FORMAT=MLN","Sort=A","Dates=H","DateFormat=P","Fill=—","Direction=H","UseDPDF=Y")</f>
        <v>0</v>
      </c>
      <c r="S31" s="12">
        <f>_xll.BDH("WMT US Equity","CF_NT_CSH_RCVD_PD_FOR_ACQUIS_DIV","FQ3 2020","FQ3 2020","Currency=USD","Period=FQ","BEST_FPERIOD_OVERRIDE=FQ","FILING_STATUS=MR","SCALING_FORMAT=MLN","Sort=A","Dates=H","DateFormat=P","Fill=—","Direction=H","UseDPDF=Y")</f>
        <v>0</v>
      </c>
      <c r="T31" s="12">
        <f>_xll.BDH("WMT US Equity","CF_NT_CSH_RCVD_PD_FOR_ACQUIS_DIV","FQ4 2020","FQ4 2020","Currency=USD","Period=FQ","BEST_FPERIOD_OVERRIDE=FQ","FILING_STATUS=MR","SCALING_FORMAT=MLN","Sort=A","Dates=H","DateFormat=P","Fill=—","Direction=H","UseDPDF=Y")</f>
        <v>0</v>
      </c>
      <c r="U31" s="12">
        <f>_xll.BDH("WMT US Equity","CF_NT_CSH_RCVD_PD_FOR_ACQUIS_DIV","FQ1 2021","FQ1 2021","Currency=USD","Period=FQ","BEST_FPERIOD_OVERRIDE=FQ","FILING_STATUS=MR","SCALING_FORMAT=MLN","Sort=A","Dates=H","DateFormat=P","Fill=—","Direction=H","UseDPDF=Y")</f>
        <v>-10</v>
      </c>
      <c r="V31" s="12">
        <f>_xll.BDH("WMT US Equity","CF_NT_CSH_RCVD_PD_FOR_ACQUIS_DIV","FQ2 2021","FQ2 2021","Currency=USD","Period=FQ","BEST_FPERIOD_OVERRIDE=FQ","FILING_STATUS=MR","SCALING_FORMAT=MLN","Sort=A","Dates=H","DateFormat=P","Fill=—","Direction=H","UseDPDF=Y")</f>
        <v>-165</v>
      </c>
      <c r="W31" s="12">
        <f>_xll.BDH("WMT US Equity","CF_NT_CSH_RCVD_PD_FOR_ACQUIS_DIV","FQ3 2021","FQ3 2021","Currency=USD","Period=FQ","BEST_FPERIOD_OVERRIDE=FQ","FILING_STATUS=MR","SCALING_FORMAT=MLN","Sort=A","Dates=H","DateFormat=P","Fill=—","Direction=H","UseDPDF=Y")</f>
        <v>7</v>
      </c>
      <c r="X31" s="12">
        <f>_xll.BDH("WMT US Equity","CF_NT_CSH_RCVD_PD_FOR_ACQUIS_DIV","FQ4 2021","FQ4 2021","Currency=USD","Period=FQ","BEST_FPERIOD_OVERRIDE=FQ","FILING_STATUS=MR","SCALING_FORMAT=MLN","Sort=A","Dates=H","DateFormat=P","Fill=—","Direction=H","UseDPDF=Y")</f>
        <v>44</v>
      </c>
      <c r="Y31" s="12">
        <f>_xll.BDH("WMT US Equity","CF_NT_CSH_RCVD_PD_FOR_ACQUIS_DIV","FQ1 2022","FQ1 2022","Currency=USD","Period=FQ","BEST_FPERIOD_OVERRIDE=FQ","FILING_STATUS=MR","SCALING_FORMAT=MLN","Sort=A","Dates=H","DateFormat=P","Fill=—","Direction=H","UseDPDF=Y")</f>
        <v>7935</v>
      </c>
      <c r="Z31" s="12">
        <f>_xll.BDH("WMT US Equity","CF_NT_CSH_RCVD_PD_FOR_ACQUIS_DIV","FQ2 2022","FQ2 2022","Currency=USD","Period=FQ","BEST_FPERIOD_OVERRIDE=FQ","FILING_STATUS=MR","SCALING_FORMAT=MLN","Sort=A","Dates=H","DateFormat=P","Fill=—","Direction=H","UseDPDF=Y")</f>
        <v>-248</v>
      </c>
      <c r="AA31" s="12">
        <f>_xll.BDH("WMT US Equity","CF_NT_CSH_RCVD_PD_FOR_ACQUIS_DIV","FQ3 2022","FQ3 2022","Currency=USD","Period=FQ","BEST_FPERIOD_OVERRIDE=FQ","FILING_STATUS=MR","SCALING_FORMAT=MLN","Sort=A","Dates=H","DateFormat=P","Fill=—","Direction=H","UseDPDF=Y")</f>
        <v>0</v>
      </c>
      <c r="AB31" s="12">
        <f>_xll.BDH("WMT US Equity","CF_NT_CSH_RCVD_PD_FOR_ACQUIS_DIV","FQ4 2022","FQ4 2022","Currency=USD","Period=FQ","BEST_FPERIOD_OVERRIDE=FQ","FILING_STATUS=MR","SCALING_FORMAT=MLN","Sort=A","Dates=H","DateFormat=P","Fill=—","Direction=H","UseDPDF=Y")</f>
        <v>-111</v>
      </c>
      <c r="AC31" s="12">
        <f>_xll.BDH("WMT US Equity","CF_NT_CSH_RCVD_PD_FOR_ACQUIS_DIV","FQ1 2023","FQ1 2023","Currency=USD","Period=FQ","BEST_FPERIOD_OVERRIDE=FQ","FILING_STATUS=MR","SCALING_FORMAT=MLN","Sort=A","Dates=H","DateFormat=P","Fill=—","Direction=H","UseDPDF=Y")</f>
        <v>-598</v>
      </c>
      <c r="AD31" s="12">
        <f>_xll.BDH("WMT US Equity","CF_NT_CSH_RCVD_PD_FOR_ACQUIS_DIV","FQ2 2023","FQ2 2023","Currency=USD","Period=FQ","BEST_FPERIOD_OVERRIDE=FQ","FILING_STATUS=MR","SCALING_FORMAT=MLN","Sort=A","Dates=H","DateFormat=P","Fill=—","Direction=H","UseDPDF=Y")</f>
        <v>-18</v>
      </c>
      <c r="AE31" s="12">
        <f>_xll.BDH("WMT US Equity","CF_NT_CSH_RCVD_PD_FOR_ACQUIS_DIV","FQ3 2023","FQ3 2023","Currency=USD","Period=FQ","BEST_FPERIOD_OVERRIDE=FQ","FILING_STATUS=MR","SCALING_FORMAT=MLN","Sort=A","Dates=H","DateFormat=P","Fill=—","Direction=H","UseDPDF=Y")</f>
        <v>-114</v>
      </c>
      <c r="AF31" s="12">
        <f>_xll.BDH("WMT US Equity","CF_NT_CSH_RCVD_PD_FOR_ACQUIS_DIV","FQ4 2023","FQ4 2023","Currency=USD","Period=FQ","BEST_FPERIOD_OVERRIDE=FQ","FILING_STATUS=MR","SCALING_FORMAT=MLN","Sort=A","Dates=H","DateFormat=P","Fill=—","Direction=H","UseDPDF=Y")</f>
        <v>-10</v>
      </c>
      <c r="AG31" s="12">
        <f>_xll.BDH("WMT US Equity","CF_NT_CSH_RCVD_PD_FOR_ACQUIS_DIV","FQ1 2024","FQ1 2024","Currency=USD","Period=FQ","BEST_FPERIOD_OVERRIDE=FQ","FILING_STATUS=MR","SCALING_FORMAT=MLN","Sort=A","Dates=H","DateFormat=P","Fill=—","Direction=H","UseDPDF=Y")</f>
        <v>0</v>
      </c>
      <c r="AH31" s="12">
        <f>_xll.BDH("WMT US Equity","CF_NT_CSH_RCVD_PD_FOR_ACQUIS_DIV","FQ2 2024","FQ2 2024","Currency=USD","Period=FQ","BEST_FPERIOD_OVERRIDE=FQ","FILING_STATUS=MR","SCALING_FORMAT=MLN","Sort=A","Dates=H","DateFormat=P","Fill=—","Direction=H","UseDPDF=Y")</f>
        <v>126</v>
      </c>
      <c r="AI31" s="12">
        <f>_xll.BDH("WMT US Equity","CF_NT_CSH_RCVD_PD_FOR_ACQUIS_DIV","FQ3 2024","FQ3 2024","Currency=USD","Period=FQ","BEST_FPERIOD_OVERRIDE=FQ","FILING_STATUS=MR","SCALING_FORMAT=MLN","Sort=A","Dates=H","DateFormat=P","Fill=—","Direction=H","UseDPDF=Y")</f>
        <v>0</v>
      </c>
      <c r="AJ31" s="12">
        <f>_xll.BDH("WMT US Equity","CF_NT_CSH_RCVD_PD_FOR_ACQUIS_DIV","FQ4 2024","FQ4 2024","Currency=USD","Period=FQ","BEST_FPERIOD_OVERRIDE=FQ","FILING_STATUS=MR","SCALING_FORMAT=MLN","Sort=A","Dates=H","DateFormat=P","Fill=—","Direction=H","UseDPDF=Y")</f>
        <v>0</v>
      </c>
      <c r="AK31" s="12">
        <f>_xll.BDH("WMT US Equity","CF_NT_CSH_RCVD_PD_FOR_ACQUIS_DIV","FQ1 2025","FQ1 2025","Currency=USD","Period=FQ","BEST_FPERIOD_OVERRIDE=FQ","FILING_STATUS=MR","SCALING_FORMAT=MLN","Sort=A","Dates=H","DateFormat=P","Fill=—","Direction=H","UseDPDF=Y")</f>
        <v>0</v>
      </c>
      <c r="AL31" s="12">
        <f>_xll.BDH("WMT US Equity","CF_NT_CSH_RCVD_PD_FOR_ACQUIS_DIV","FQ2 2025","FQ2 2025","Currency=USD","Period=FQ","BEST_FPERIOD_OVERRIDE=FQ","FILING_STATUS=MR","SCALING_FORMAT=MLN","Sort=A","Dates=H","DateFormat=P","Fill=—","Direction=H","UseDPDF=Y")</f>
        <v>3</v>
      </c>
      <c r="AM31" s="12">
        <f>_xll.BDH("WMT US Equity","CF_NT_CSH_RCVD_PD_FOR_ACQUIS_DIV","FQ3 2025","FQ3 2025","Currency=USD","Period=FQ","BEST_FPERIOD_OVERRIDE=FQ","FILING_STATUS=MR","SCALING_FORMAT=MLN","Sort=A","Dates=H","DateFormat=P","Fill=—","Direction=H","UseDPDF=Y")</f>
        <v>0</v>
      </c>
      <c r="AN31" s="12">
        <f>_xll.BDH("WMT US Equity","CF_NT_CSH_RCVD_PD_FOR_ACQUIS_DIV","FQ4 2025","FQ4 2025","Currency=USD","Period=FQ","BEST_FPERIOD_OVERRIDE=FQ","FILING_STATUS=MR","SCALING_FORMAT=MLN","Sort=A","Dates=H","DateFormat=P","Fill=—","Direction=H","UseDPDF=Y")</f>
        <v>-1899</v>
      </c>
      <c r="AO31" s="12">
        <f>_xll.BDH("WMT US Equity","CF_NT_CSH_RCVD_PD_FOR_ACQUIS_DIV","FQ1 2026","FQ1 2026","Currency=USD","Period=FQ","BEST_FPERIOD_OVERRIDE=FQ","FILING_STATUS=MR","SCALING_FORMAT=MLN","Sort=A","Dates=H","DateFormat=P","Fill=—","Direction=H","UseDPDF=Y")</f>
        <v>0</v>
      </c>
      <c r="AP31" s="12">
        <f>_xll.BDH("WMT US Equity","CF_NT_CSH_RCVD_PD_FOR_ACQUIS_DIV","FQ2 2026","FQ2 2026","Currency=USD","Period=FQ","BEST_FPERIOD_OVERRIDE=FQ","FILING_STATUS=MR","SCALING_FORMAT=MLN","Sort=A","Dates=H","DateFormat=P","Fill=—","Direction=H","UseDPDF=Y")</f>
        <v>775</v>
      </c>
    </row>
    <row r="32" spans="1:42" x14ac:dyDescent="0.3">
      <c r="A32" s="10" t="s">
        <v>172</v>
      </c>
      <c r="B32" s="10" t="s">
        <v>109</v>
      </c>
      <c r="C32" s="12">
        <f>_xll.BDH("WMT US Equity","CF_CASH_FOR_DIVESTITURES","FQ3 2016","FQ3 2016","Currency=USD","Period=FQ","BEST_FPERIOD_OVERRIDE=FQ","FILING_STATUS=MR","SCALING_FORMAT=MLN","Sort=A","Dates=H","DateFormat=P","Fill=—","Direction=H","UseDPDF=Y")</f>
        <v>0</v>
      </c>
      <c r="D32" s="12">
        <f>_xll.BDH("WMT US Equity","CF_CASH_FOR_DIVESTITURES","FQ4 2016","FQ4 2016","Currency=USD","Period=FQ","BEST_FPERIOD_OVERRIDE=FQ","FILING_STATUS=MR","SCALING_FORMAT=MLN","Sort=A","Dates=H","DateFormat=P","Fill=—","Direction=H","UseDPDF=Y")</f>
        <v>0</v>
      </c>
      <c r="E32" s="12">
        <f>_xll.BDH("WMT US Equity","CF_CASH_FOR_DIVESTITURES","FQ1 2017","FQ1 2017","Currency=USD","Period=FQ","BEST_FPERIOD_OVERRIDE=FQ","FILING_STATUS=MR","SCALING_FORMAT=MLN","Sort=A","Dates=H","DateFormat=P","Fill=—","Direction=H","UseDPDF=Y")</f>
        <v>0</v>
      </c>
      <c r="F32" s="12">
        <f>_xll.BDH("WMT US Equity","CF_CASH_FOR_DIVESTITURES","FQ2 2017","FQ2 2017","Currency=USD","Period=FQ","BEST_FPERIOD_OVERRIDE=FQ","FILING_STATUS=MR","SCALING_FORMAT=MLN","Sort=A","Dates=H","DateFormat=P","Fill=—","Direction=H","UseDPDF=Y")</f>
        <v>0</v>
      </c>
      <c r="G32" s="12">
        <f>_xll.BDH("WMT US Equity","CF_CASH_FOR_DIVESTITURES","FQ3 2017","FQ3 2017","Currency=USD","Period=FQ","BEST_FPERIOD_OVERRIDE=FQ","FILING_STATUS=MR","SCALING_FORMAT=MLN","Sort=A","Dates=H","DateFormat=P","Fill=—","Direction=H","UseDPDF=Y")</f>
        <v>0</v>
      </c>
      <c r="H32" s="12">
        <f>_xll.BDH("WMT US Equity","CF_CASH_FOR_DIVESTITURES","FQ4 2017","FQ4 2017","Currency=USD","Period=FQ","BEST_FPERIOD_OVERRIDE=FQ","FILING_STATUS=MR","SCALING_FORMAT=MLN","Sort=A","Dates=H","DateFormat=P","Fill=—","Direction=H","UseDPDF=Y")</f>
        <v>662</v>
      </c>
      <c r="I32" s="12">
        <f>_xll.BDH("WMT US Equity","CF_CASH_FOR_DIVESTITURES","FQ1 2018","FQ1 2018","Currency=USD","Period=FQ","BEST_FPERIOD_OVERRIDE=FQ","FILING_STATUS=MR","SCALING_FORMAT=MLN","Sort=A","Dates=H","DateFormat=P","Fill=—","Direction=H","UseDPDF=Y")</f>
        <v>0</v>
      </c>
      <c r="J32" s="12">
        <f>_xll.BDH("WMT US Equity","CF_CASH_FOR_DIVESTITURES","FQ2 2018","FQ2 2018","Currency=USD","Period=FQ","BEST_FPERIOD_OVERRIDE=FQ","FILING_STATUS=MR","SCALING_FORMAT=MLN","Sort=A","Dates=H","DateFormat=P","Fill=—","Direction=H","UseDPDF=Y")</f>
        <v>1012</v>
      </c>
      <c r="K32" s="12">
        <f>_xll.BDH("WMT US Equity","CF_CASH_FOR_DIVESTITURES","FQ3 2018","FQ3 2018","Currency=USD","Period=FQ","BEST_FPERIOD_OVERRIDE=FQ","FILING_STATUS=MR","SCALING_FORMAT=MLN","Sort=A","Dates=H","DateFormat=P","Fill=—","Direction=H","UseDPDF=Y")</f>
        <v>34</v>
      </c>
      <c r="L32" s="12">
        <f>_xll.BDH("WMT US Equity","CF_CASH_FOR_DIVESTITURES","FQ4 2018","FQ4 2018","Currency=USD","Period=FQ","BEST_FPERIOD_OVERRIDE=FQ","FILING_STATUS=MR","SCALING_FORMAT=MLN","Sort=A","Dates=H","DateFormat=P","Fill=—","Direction=H","UseDPDF=Y")</f>
        <v>0</v>
      </c>
      <c r="M32" s="12">
        <f>_xll.BDH("WMT US Equity","CF_CASH_FOR_DIVESTITURES","FQ1 2019","FQ1 2019","Currency=USD","Period=FQ","BEST_FPERIOD_OVERRIDE=FQ","FILING_STATUS=MR","SCALING_FORMAT=MLN","Sort=A","Dates=H","DateFormat=P","Fill=—","Direction=H","UseDPDF=Y")</f>
        <v>0</v>
      </c>
      <c r="N32" s="12">
        <f>_xll.BDH("WMT US Equity","CF_CASH_FOR_DIVESTITURES","FQ2 2019","FQ2 2019","Currency=USD","Period=FQ","BEST_FPERIOD_OVERRIDE=FQ","FILING_STATUS=MR","SCALING_FORMAT=MLN","Sort=A","Dates=H","DateFormat=P","Fill=—","Direction=H","UseDPDF=Y")</f>
        <v>0</v>
      </c>
      <c r="O32" s="12">
        <f>_xll.BDH("WMT US Equity","CF_CASH_FOR_DIVESTITURES","FQ3 2019","FQ3 2019","Currency=USD","Period=FQ","BEST_FPERIOD_OVERRIDE=FQ","FILING_STATUS=MR","SCALING_FORMAT=MLN","Sort=A","Dates=H","DateFormat=P","Fill=—","Direction=H","UseDPDF=Y")</f>
        <v>0</v>
      </c>
      <c r="P32" s="12">
        <f>_xll.BDH("WMT US Equity","CF_CASH_FOR_DIVESTITURES","FQ4 2019","FQ4 2019","Currency=USD","Period=FQ","BEST_FPERIOD_OVERRIDE=FQ","FILING_STATUS=MR","SCALING_FORMAT=MLN","Sort=A","Dates=H","DateFormat=P","Fill=—","Direction=H","UseDPDF=Y")</f>
        <v>876</v>
      </c>
      <c r="Q32" s="12">
        <f>_xll.BDH("WMT US Equity","CF_CASH_FOR_DIVESTITURES","FQ1 2020","FQ1 2020","Currency=USD","Period=FQ","BEST_FPERIOD_OVERRIDE=FQ","FILING_STATUS=MR","SCALING_FORMAT=MLN","Sort=A","Dates=H","DateFormat=P","Fill=—","Direction=H","UseDPDF=Y")</f>
        <v>833</v>
      </c>
      <c r="R32" s="12">
        <f>_xll.BDH("WMT US Equity","CF_CASH_FOR_DIVESTITURES","FQ2 2020","FQ2 2020","Currency=USD","Period=FQ","BEST_FPERIOD_OVERRIDE=FQ","FILING_STATUS=MR","SCALING_FORMAT=MLN","Sort=A","Dates=H","DateFormat=P","Fill=—","Direction=H","UseDPDF=Y")</f>
        <v>0</v>
      </c>
      <c r="S32" s="12">
        <f>_xll.BDH("WMT US Equity","CF_CASH_FOR_DIVESTITURES","FQ3 2020","FQ3 2020","Currency=USD","Period=FQ","BEST_FPERIOD_OVERRIDE=FQ","FILING_STATUS=MR","SCALING_FORMAT=MLN","Sort=A","Dates=H","DateFormat=P","Fill=—","Direction=H","UseDPDF=Y")</f>
        <v>0</v>
      </c>
      <c r="T32" s="12">
        <f>_xll.BDH("WMT US Equity","CF_CASH_FOR_DIVESTITURES","FQ4 2020","FQ4 2020","Currency=USD","Period=FQ","BEST_FPERIOD_OVERRIDE=FQ","FILING_STATUS=MR","SCALING_FORMAT=MLN","Sort=A","Dates=H","DateFormat=P","Fill=—","Direction=H","UseDPDF=Y")</f>
        <v>0</v>
      </c>
      <c r="U32" s="12">
        <f>_xll.BDH("WMT US Equity","CF_CASH_FOR_DIVESTITURES","FQ1 2021","FQ1 2021","Currency=USD","Period=FQ","BEST_FPERIOD_OVERRIDE=FQ","FILING_STATUS=MR","SCALING_FORMAT=MLN","Sort=A","Dates=H","DateFormat=P","Fill=—","Direction=H","UseDPDF=Y")</f>
        <v>0</v>
      </c>
      <c r="V32" s="12">
        <f>_xll.BDH("WMT US Equity","CF_CASH_FOR_DIVESTITURES","FQ2 2021","FQ2 2021","Currency=USD","Period=FQ","BEST_FPERIOD_OVERRIDE=FQ","FILING_STATUS=MR","SCALING_FORMAT=MLN","Sort=A","Dates=H","DateFormat=P","Fill=—","Direction=H","UseDPDF=Y")</f>
        <v>0</v>
      </c>
      <c r="W32" s="12">
        <f>_xll.BDH("WMT US Equity","CF_CASH_FOR_DIVESTITURES","FQ3 2021","FQ3 2021","Currency=USD","Period=FQ","BEST_FPERIOD_OVERRIDE=FQ","FILING_STATUS=MR","SCALING_FORMAT=MLN","Sort=A","Dates=H","DateFormat=P","Fill=—","Direction=H","UseDPDF=Y")</f>
        <v>12</v>
      </c>
      <c r="X32" s="12">
        <f>_xll.BDH("WMT US Equity","CF_CASH_FOR_DIVESTITURES","FQ4 2021","FQ4 2021","Currency=USD","Period=FQ","BEST_FPERIOD_OVERRIDE=FQ","FILING_STATUS=MR","SCALING_FORMAT=MLN","Sort=A","Dates=H","DateFormat=P","Fill=—","Direction=H","UseDPDF=Y")</f>
        <v>44</v>
      </c>
      <c r="Y32" s="12">
        <f>_xll.BDH("WMT US Equity","CF_CASH_FOR_DIVESTITURES","FQ1 2022","FQ1 2022","Currency=USD","Period=FQ","BEST_FPERIOD_OVERRIDE=FQ","FILING_STATUS=MR","SCALING_FORMAT=MLN","Sort=A","Dates=H","DateFormat=P","Fill=—","Direction=H","UseDPDF=Y")</f>
        <v>0</v>
      </c>
      <c r="Z32" s="12">
        <f>_xll.BDH("WMT US Equity","CF_CASH_FOR_DIVESTITURES","FQ2 2022","FQ2 2022","Currency=USD","Period=FQ","BEST_FPERIOD_OVERRIDE=FQ","FILING_STATUS=MR","SCALING_FORMAT=MLN","Sort=A","Dates=H","DateFormat=P","Fill=—","Direction=H","UseDPDF=Y")</f>
        <v>7935</v>
      </c>
      <c r="AA32" s="12">
        <f>_xll.BDH("WMT US Equity","CF_CASH_FOR_DIVESTITURES","FQ3 2022","FQ3 2022","Currency=USD","Period=FQ","BEST_FPERIOD_OVERRIDE=FQ","FILING_STATUS=MR","SCALING_FORMAT=MLN","Sort=A","Dates=H","DateFormat=P","Fill=—","Direction=H","UseDPDF=Y")</f>
        <v>0</v>
      </c>
      <c r="AB32" s="12">
        <f>_xll.BDH("WMT US Equity","CF_CASH_FOR_DIVESTITURES","FQ4 2022","FQ4 2022","Currency=USD","Period=FQ","BEST_FPERIOD_OVERRIDE=FQ","FILING_STATUS=MR","SCALING_FORMAT=MLN","Sort=A","Dates=H","DateFormat=P","Fill=—","Direction=H","UseDPDF=Y")</f>
        <v>0</v>
      </c>
      <c r="AC32" s="12">
        <f>_xll.BDH("WMT US Equity","CF_CASH_FOR_DIVESTITURES","FQ1 2023","FQ1 2023","Currency=USD","Period=FQ","BEST_FPERIOD_OVERRIDE=FQ","FILING_STATUS=MR","SCALING_FORMAT=MLN","Sort=A","Dates=H","DateFormat=P","Fill=—","Direction=H","UseDPDF=Y")</f>
        <v>0</v>
      </c>
      <c r="AD32" s="12">
        <f>_xll.BDH("WMT US Equity","CF_CASH_FOR_DIVESTITURES","FQ2 2023","FQ2 2023","Currency=USD","Period=FQ","BEST_FPERIOD_OVERRIDE=FQ","FILING_STATUS=MR","SCALING_FORMAT=MLN","Sort=A","Dates=H","DateFormat=P","Fill=—","Direction=H","UseDPDF=Y")</f>
        <v>0</v>
      </c>
      <c r="AE32" s="12">
        <f>_xll.BDH("WMT US Equity","CF_CASH_FOR_DIVESTITURES","FQ3 2023","FQ3 2023","Currency=USD","Period=FQ","BEST_FPERIOD_OVERRIDE=FQ","FILING_STATUS=MR","SCALING_FORMAT=MLN","Sort=A","Dates=H","DateFormat=P","Fill=—","Direction=H","UseDPDF=Y")</f>
        <v>0</v>
      </c>
      <c r="AF32" s="12">
        <f>_xll.BDH("WMT US Equity","CF_CASH_FOR_DIVESTITURES","FQ4 2023","FQ4 2023","Currency=USD","Period=FQ","BEST_FPERIOD_OVERRIDE=FQ","FILING_STATUS=MR","SCALING_FORMAT=MLN","Sort=A","Dates=H","DateFormat=P","Fill=—","Direction=H","UseDPDF=Y")</f>
        <v>0</v>
      </c>
      <c r="AG32" s="12">
        <f>_xll.BDH("WMT US Equity","CF_CASH_FOR_DIVESTITURES","FQ1 2024","FQ1 2024","Currency=USD","Period=FQ","BEST_FPERIOD_OVERRIDE=FQ","FILING_STATUS=MR","SCALING_FORMAT=MLN","Sort=A","Dates=H","DateFormat=P","Fill=—","Direction=H","UseDPDF=Y")</f>
        <v>0</v>
      </c>
      <c r="AH32" s="12">
        <f>_xll.BDH("WMT US Equity","CF_CASH_FOR_DIVESTITURES","FQ2 2024","FQ2 2024","Currency=USD","Period=FQ","BEST_FPERIOD_OVERRIDE=FQ","FILING_STATUS=MR","SCALING_FORMAT=MLN","Sort=A","Dates=H","DateFormat=P","Fill=—","Direction=H","UseDPDF=Y")</f>
        <v>135</v>
      </c>
      <c r="AI32" s="12">
        <f>_xll.BDH("WMT US Equity","CF_CASH_FOR_DIVESTITURES","FQ3 2024","FQ3 2024","Currency=USD","Period=FQ","BEST_FPERIOD_OVERRIDE=FQ","FILING_STATUS=MR","SCALING_FORMAT=MLN","Sort=A","Dates=H","DateFormat=P","Fill=—","Direction=H","UseDPDF=Y")</f>
        <v>0</v>
      </c>
      <c r="AJ32" s="12">
        <f>_xll.BDH("WMT US Equity","CF_CASH_FOR_DIVESTITURES","FQ4 2024","FQ4 2024","Currency=USD","Period=FQ","BEST_FPERIOD_OVERRIDE=FQ","FILING_STATUS=MR","SCALING_FORMAT=MLN","Sort=A","Dates=H","DateFormat=P","Fill=—","Direction=H","UseDPDF=Y")</f>
        <v>0</v>
      </c>
      <c r="AK32" s="12">
        <f>_xll.BDH("WMT US Equity","CF_CASH_FOR_DIVESTITURES","FQ1 2025","FQ1 2025","Currency=USD","Period=FQ","BEST_FPERIOD_OVERRIDE=FQ","FILING_STATUS=MR","SCALING_FORMAT=MLN","Sort=A","Dates=H","DateFormat=P","Fill=—","Direction=H","UseDPDF=Y")</f>
        <v>0</v>
      </c>
      <c r="AL32" s="12">
        <f>_xll.BDH("WMT US Equity","CF_CASH_FOR_DIVESTITURES","FQ2 2025","FQ2 2025","Currency=USD","Period=FQ","BEST_FPERIOD_OVERRIDE=FQ","FILING_STATUS=MR","SCALING_FORMAT=MLN","Sort=A","Dates=H","DateFormat=P","Fill=—","Direction=H","UseDPDF=Y")</f>
        <v>3</v>
      </c>
      <c r="AM32" s="12">
        <f>_xll.BDH("WMT US Equity","CF_CASH_FOR_DIVESTITURES","FQ3 2025","FQ3 2025","Currency=USD","Period=FQ","BEST_FPERIOD_OVERRIDE=FQ","FILING_STATUS=MR","SCALING_FORMAT=MLN","Sort=A","Dates=H","DateFormat=P","Fill=—","Direction=H","UseDPDF=Y")</f>
        <v>0</v>
      </c>
      <c r="AN32" s="12">
        <f>_xll.BDH("WMT US Equity","CF_CASH_FOR_DIVESTITURES","FQ4 2025","FQ4 2025","Currency=USD","Period=FQ","BEST_FPERIOD_OVERRIDE=FQ","FILING_STATUS=MR","SCALING_FORMAT=MLN","Sort=A","Dates=H","DateFormat=P","Fill=—","Direction=H","UseDPDF=Y")</f>
        <v>-3</v>
      </c>
      <c r="AO32" s="12">
        <f>_xll.BDH("WMT US Equity","CF_CASH_FOR_DIVESTITURES","FQ1 2026","FQ1 2026","Currency=USD","Period=FQ","BEST_FPERIOD_OVERRIDE=FQ","FILING_STATUS=MR","SCALING_FORMAT=MLN","Sort=A","Dates=H","DateFormat=P","Fill=—","Direction=H","UseDPDF=Y")</f>
        <v>0</v>
      </c>
      <c r="AP32" s="12">
        <f>_xll.BDH("WMT US Equity","CF_CASH_FOR_DIVESTITURES","FQ2 2026","FQ2 2026","Currency=USD","Period=FQ","BEST_FPERIOD_OVERRIDE=FQ","FILING_STATUS=MR","SCALING_FORMAT=MLN","Sort=A","Dates=H","DateFormat=P","Fill=—","Direction=H","UseDPDF=Y")</f>
        <v>775</v>
      </c>
    </row>
    <row r="33" spans="1:42" x14ac:dyDescent="0.3">
      <c r="A33" s="10" t="s">
        <v>173</v>
      </c>
      <c r="B33" s="10" t="s">
        <v>110</v>
      </c>
      <c r="C33" s="12">
        <f>_xll.BDH("WMT US Equity","CF_CASH_FOR_ACQUIS_SUBSIDIARIES","FQ3 2016","FQ3 2016","Currency=USD","Period=FQ","BEST_FPERIOD_OVERRIDE=FQ","FILING_STATUS=MR","SCALING_FORMAT=MLN","Sort=A","Dates=H","DateFormat=P","Fill=—","Direction=H","UseDPDF=Y")</f>
        <v>0</v>
      </c>
      <c r="D33" s="12">
        <f>_xll.BDH("WMT US Equity","CF_CASH_FOR_ACQUIS_SUBSIDIARIES","FQ4 2016","FQ4 2016","Currency=USD","Period=FQ","BEST_FPERIOD_OVERRIDE=FQ","FILING_STATUS=MR","SCALING_FORMAT=MLN","Sort=A","Dates=H","DateFormat=P","Fill=—","Direction=H","UseDPDF=Y")</f>
        <v>0</v>
      </c>
      <c r="E33" s="12">
        <f>_xll.BDH("WMT US Equity","CF_CASH_FOR_ACQUIS_SUBSIDIARIES","FQ1 2017","FQ1 2017","Currency=USD","Period=FQ","BEST_FPERIOD_OVERRIDE=FQ","FILING_STATUS=MR","SCALING_FORMAT=MLN","Sort=A","Dates=H","DateFormat=P","Fill=—","Direction=H","UseDPDF=Y")</f>
        <v>0</v>
      </c>
      <c r="F33" s="12">
        <f>_xll.BDH("WMT US Equity","CF_CASH_FOR_ACQUIS_SUBSIDIARIES","FQ2 2017","FQ2 2017","Currency=USD","Period=FQ","BEST_FPERIOD_OVERRIDE=FQ","FILING_STATUS=MR","SCALING_FORMAT=MLN","Sort=A","Dates=H","DateFormat=P","Fill=—","Direction=H","UseDPDF=Y")</f>
        <v>0</v>
      </c>
      <c r="G33" s="12">
        <f>_xll.BDH("WMT US Equity","CF_CASH_FOR_ACQUIS_SUBSIDIARIES","FQ3 2017","FQ3 2017","Currency=USD","Period=FQ","BEST_FPERIOD_OVERRIDE=FQ","FILING_STATUS=MR","SCALING_FORMAT=MLN","Sort=A","Dates=H","DateFormat=P","Fill=—","Direction=H","UseDPDF=Y")</f>
        <v>-2406</v>
      </c>
      <c r="H33" s="12">
        <f>_xll.BDH("WMT US Equity","CF_CASH_FOR_ACQUIS_SUBSIDIARIES","FQ4 2017","FQ4 2017","Currency=USD","Period=FQ","BEST_FPERIOD_OVERRIDE=FQ","FILING_STATUS=MR","SCALING_FORMAT=MLN","Sort=A","Dates=H","DateFormat=P","Fill=—","Direction=H","UseDPDF=Y")</f>
        <v>-57</v>
      </c>
      <c r="I33" s="12">
        <f>_xll.BDH("WMT US Equity","CF_CASH_FOR_ACQUIS_SUBSIDIARIES","FQ1 2018","FQ1 2018","Currency=USD","Period=FQ","BEST_FPERIOD_OVERRIDE=FQ","FILING_STATUS=MR","SCALING_FORMAT=MLN","Sort=A","Dates=H","DateFormat=P","Fill=—","Direction=H","UseDPDF=Y")</f>
        <v>-88</v>
      </c>
      <c r="J33" s="12">
        <f>_xll.BDH("WMT US Equity","CF_CASH_FOR_ACQUIS_SUBSIDIARIES","FQ2 2018","FQ2 2018","Currency=USD","Period=FQ","BEST_FPERIOD_OVERRIDE=FQ","FILING_STATUS=MR","SCALING_FORMAT=MLN","Sort=A","Dates=H","DateFormat=P","Fill=—","Direction=H","UseDPDF=Y")</f>
        <v>-275</v>
      </c>
      <c r="K33" s="12">
        <f>_xll.BDH("WMT US Equity","CF_CASH_FOR_ACQUIS_SUBSIDIARIES","FQ3 2018","FQ3 2018","Currency=USD","Period=FQ","BEST_FPERIOD_OVERRIDE=FQ","FILING_STATUS=MR","SCALING_FORMAT=MLN","Sort=A","Dates=H","DateFormat=P","Fill=—","Direction=H","UseDPDF=Y")</f>
        <v>-9</v>
      </c>
      <c r="L33" s="12">
        <f>_xll.BDH("WMT US Equity","CF_CASH_FOR_ACQUIS_SUBSIDIARIES","FQ4 2018","FQ4 2018","Currency=USD","Period=FQ","BEST_FPERIOD_OVERRIDE=FQ","FILING_STATUS=MR","SCALING_FORMAT=MLN","Sort=A","Dates=H","DateFormat=P","Fill=—","Direction=H","UseDPDF=Y")</f>
        <v>-3</v>
      </c>
      <c r="M33" s="12">
        <f>_xll.BDH("WMT US Equity","CF_CASH_FOR_ACQUIS_SUBSIDIARIES","FQ1 2019","FQ1 2019","Currency=USD","Period=FQ","BEST_FPERIOD_OVERRIDE=FQ","FILING_STATUS=MR","SCALING_FORMAT=MLN","Sort=A","Dates=H","DateFormat=P","Fill=—","Direction=H","UseDPDF=Y")</f>
        <v>0</v>
      </c>
      <c r="N33" s="12">
        <f>_xll.BDH("WMT US Equity","CF_CASH_FOR_ACQUIS_SUBSIDIARIES","FQ2 2019","FQ2 2019","Currency=USD","Period=FQ","BEST_FPERIOD_OVERRIDE=FQ","FILING_STATUS=MR","SCALING_FORMAT=MLN","Sort=A","Dates=H","DateFormat=P","Fill=—","Direction=H","UseDPDF=Y")</f>
        <v>0</v>
      </c>
      <c r="O33" s="12">
        <f>_xll.BDH("WMT US Equity","CF_CASH_FOR_ACQUIS_SUBSIDIARIES","FQ3 2019","FQ3 2019","Currency=USD","Period=FQ","BEST_FPERIOD_OVERRIDE=FQ","FILING_STATUS=MR","SCALING_FORMAT=MLN","Sort=A","Dates=H","DateFormat=P","Fill=—","Direction=H","UseDPDF=Y")</f>
        <v>-13269</v>
      </c>
      <c r="P33" s="12">
        <f>_xll.BDH("WMT US Equity","CF_CASH_FOR_ACQUIS_SUBSIDIARIES","FQ4 2019","FQ4 2019","Currency=USD","Period=FQ","BEST_FPERIOD_OVERRIDE=FQ","FILING_STATUS=MR","SCALING_FORMAT=MLN","Sort=A","Dates=H","DateFormat=P","Fill=—","Direction=H","UseDPDF=Y")</f>
        <v>-1387</v>
      </c>
      <c r="Q33" s="12">
        <f>_xll.BDH("WMT US Equity","CF_CASH_FOR_ACQUIS_SUBSIDIARIES","FQ1 2020","FQ1 2020","Currency=USD","Period=FQ","BEST_FPERIOD_OVERRIDE=FQ","FILING_STATUS=MR","SCALING_FORMAT=MLN","Sort=A","Dates=H","DateFormat=P","Fill=—","Direction=H","UseDPDF=Y")</f>
        <v>-56</v>
      </c>
      <c r="R33" s="12">
        <f>_xll.BDH("WMT US Equity","CF_CASH_FOR_ACQUIS_SUBSIDIARIES","FQ2 2020","FQ2 2020","Currency=USD","Period=FQ","BEST_FPERIOD_OVERRIDE=FQ","FILING_STATUS=MR","SCALING_FORMAT=MLN","Sort=A","Dates=H","DateFormat=P","Fill=—","Direction=H","UseDPDF=Y")</f>
        <v>0</v>
      </c>
      <c r="S33" s="12">
        <f>_xll.BDH("WMT US Equity","CF_CASH_FOR_ACQUIS_SUBSIDIARIES","FQ3 2020","FQ3 2020","Currency=USD","Period=FQ","BEST_FPERIOD_OVERRIDE=FQ","FILING_STATUS=MR","SCALING_FORMAT=MLN","Sort=A","Dates=H","DateFormat=P","Fill=—","Direction=H","UseDPDF=Y")</f>
        <v>0</v>
      </c>
      <c r="T33" s="12">
        <f>_xll.BDH("WMT US Equity","CF_CASH_FOR_ACQUIS_SUBSIDIARIES","FQ4 2020","FQ4 2020","Currency=USD","Period=FQ","BEST_FPERIOD_OVERRIDE=FQ","FILING_STATUS=MR","SCALING_FORMAT=MLN","Sort=A","Dates=H","DateFormat=P","Fill=—","Direction=H","UseDPDF=Y")</f>
        <v>0</v>
      </c>
      <c r="U33" s="12">
        <f>_xll.BDH("WMT US Equity","CF_CASH_FOR_ACQUIS_SUBSIDIARIES","FQ1 2021","FQ1 2021","Currency=USD","Period=FQ","BEST_FPERIOD_OVERRIDE=FQ","FILING_STATUS=MR","SCALING_FORMAT=MLN","Sort=A","Dates=H","DateFormat=P","Fill=—","Direction=H","UseDPDF=Y")</f>
        <v>-10</v>
      </c>
      <c r="V33" s="12">
        <f>_xll.BDH("WMT US Equity","CF_CASH_FOR_ACQUIS_SUBSIDIARIES","FQ2 2021","FQ2 2021","Currency=USD","Period=FQ","BEST_FPERIOD_OVERRIDE=FQ","FILING_STATUS=MR","SCALING_FORMAT=MLN","Sort=A","Dates=H","DateFormat=P","Fill=—","Direction=H","UseDPDF=Y")</f>
        <v>-165</v>
      </c>
      <c r="W33" s="12">
        <f>_xll.BDH("WMT US Equity","CF_CASH_FOR_ACQUIS_SUBSIDIARIES","FQ3 2021","FQ3 2021","Currency=USD","Period=FQ","BEST_FPERIOD_OVERRIDE=FQ","FILING_STATUS=MR","SCALING_FORMAT=MLN","Sort=A","Dates=H","DateFormat=P","Fill=—","Direction=H","UseDPDF=Y")</f>
        <v>-5</v>
      </c>
      <c r="X33" s="12">
        <f>_xll.BDH("WMT US Equity","CF_CASH_FOR_ACQUIS_SUBSIDIARIES","FQ4 2021","FQ4 2021","Currency=USD","Period=FQ","BEST_FPERIOD_OVERRIDE=FQ","FILING_STATUS=MR","SCALING_FORMAT=MLN","Sort=A","Dates=H","DateFormat=P","Fill=—","Direction=H","UseDPDF=Y")</f>
        <v>0</v>
      </c>
      <c r="Y33" s="12">
        <f>_xll.BDH("WMT US Equity","CF_CASH_FOR_ACQUIS_SUBSIDIARIES","FQ1 2022","FQ1 2022","Currency=USD","Period=FQ","BEST_FPERIOD_OVERRIDE=FQ","FILING_STATUS=MR","SCALING_FORMAT=MLN","Sort=A","Dates=H","DateFormat=P","Fill=—","Direction=H","UseDPDF=Y")</f>
        <v>7935</v>
      </c>
      <c r="Z33" s="12">
        <f>_xll.BDH("WMT US Equity","CF_CASH_FOR_ACQUIS_SUBSIDIARIES","FQ2 2022","FQ2 2022","Currency=USD","Period=FQ","BEST_FPERIOD_OVERRIDE=FQ","FILING_STATUS=MR","SCALING_FORMAT=MLN","Sort=A","Dates=H","DateFormat=P","Fill=—","Direction=H","UseDPDF=Y")</f>
        <v>-8183</v>
      </c>
      <c r="AA33" s="12">
        <f>_xll.BDH("WMT US Equity","CF_CASH_FOR_ACQUIS_SUBSIDIARIES","FQ3 2022","FQ3 2022","Currency=USD","Period=FQ","BEST_FPERIOD_OVERRIDE=FQ","FILING_STATUS=MR","SCALING_FORMAT=MLN","Sort=A","Dates=H","DateFormat=P","Fill=—","Direction=H","UseDPDF=Y")</f>
        <v>0</v>
      </c>
      <c r="AB33" s="12">
        <f>_xll.BDH("WMT US Equity","CF_CASH_FOR_ACQUIS_SUBSIDIARIES","FQ4 2022","FQ4 2022","Currency=USD","Period=FQ","BEST_FPERIOD_OVERRIDE=FQ","FILING_STATUS=MR","SCALING_FORMAT=MLN","Sort=A","Dates=H","DateFormat=P","Fill=—","Direction=H","UseDPDF=Y")</f>
        <v>-111</v>
      </c>
      <c r="AC33" s="12">
        <f>_xll.BDH("WMT US Equity","CF_CASH_FOR_ACQUIS_SUBSIDIARIES","FQ1 2023","FQ1 2023","Currency=USD","Period=FQ","BEST_FPERIOD_OVERRIDE=FQ","FILING_STATUS=MR","SCALING_FORMAT=MLN","Sort=A","Dates=H","DateFormat=P","Fill=—","Direction=H","UseDPDF=Y")</f>
        <v>-598</v>
      </c>
      <c r="AD33" s="12">
        <f>_xll.BDH("WMT US Equity","CF_CASH_FOR_ACQUIS_SUBSIDIARIES","FQ2 2023","FQ2 2023","Currency=USD","Period=FQ","BEST_FPERIOD_OVERRIDE=FQ","FILING_STATUS=MR","SCALING_FORMAT=MLN","Sort=A","Dates=H","DateFormat=P","Fill=—","Direction=H","UseDPDF=Y")</f>
        <v>-18</v>
      </c>
      <c r="AE33" s="12">
        <f>_xll.BDH("WMT US Equity","CF_CASH_FOR_ACQUIS_SUBSIDIARIES","FQ3 2023","FQ3 2023","Currency=USD","Period=FQ","BEST_FPERIOD_OVERRIDE=FQ","FILING_STATUS=MR","SCALING_FORMAT=MLN","Sort=A","Dates=H","DateFormat=P","Fill=—","Direction=H","UseDPDF=Y")</f>
        <v>-114</v>
      </c>
      <c r="AF33" s="12">
        <f>_xll.BDH("WMT US Equity","CF_CASH_FOR_ACQUIS_SUBSIDIARIES","FQ4 2023","FQ4 2023","Currency=USD","Period=FQ","BEST_FPERIOD_OVERRIDE=FQ","FILING_STATUS=MR","SCALING_FORMAT=MLN","Sort=A","Dates=H","DateFormat=P","Fill=—","Direction=H","UseDPDF=Y")</f>
        <v>-10</v>
      </c>
      <c r="AG33" s="12">
        <f>_xll.BDH("WMT US Equity","CF_CASH_FOR_ACQUIS_SUBSIDIARIES","FQ1 2024","FQ1 2024","Currency=USD","Period=FQ","BEST_FPERIOD_OVERRIDE=FQ","FILING_STATUS=MR","SCALING_FORMAT=MLN","Sort=A","Dates=H","DateFormat=P","Fill=—","Direction=H","UseDPDF=Y")</f>
        <v>0</v>
      </c>
      <c r="AH33" s="12">
        <f>_xll.BDH("WMT US Equity","CF_CASH_FOR_ACQUIS_SUBSIDIARIES","FQ2 2024","FQ2 2024","Currency=USD","Period=FQ","BEST_FPERIOD_OVERRIDE=FQ","FILING_STATUS=MR","SCALING_FORMAT=MLN","Sort=A","Dates=H","DateFormat=P","Fill=—","Direction=H","UseDPDF=Y")</f>
        <v>-9</v>
      </c>
      <c r="AI33" s="12">
        <f>_xll.BDH("WMT US Equity","CF_CASH_FOR_ACQUIS_SUBSIDIARIES","FQ3 2024","FQ3 2024","Currency=USD","Period=FQ","BEST_FPERIOD_OVERRIDE=FQ","FILING_STATUS=MR","SCALING_FORMAT=MLN","Sort=A","Dates=H","DateFormat=P","Fill=—","Direction=H","UseDPDF=Y")</f>
        <v>0</v>
      </c>
      <c r="AJ33" s="12">
        <f>_xll.BDH("WMT US Equity","CF_CASH_FOR_ACQUIS_SUBSIDIARIES","FQ4 2024","FQ4 2024","Currency=USD","Period=FQ","BEST_FPERIOD_OVERRIDE=FQ","FILING_STATUS=MR","SCALING_FORMAT=MLN","Sort=A","Dates=H","DateFormat=P","Fill=—","Direction=H","UseDPDF=Y")</f>
        <v>0</v>
      </c>
      <c r="AK33" s="12">
        <f>_xll.BDH("WMT US Equity","CF_CASH_FOR_ACQUIS_SUBSIDIARIES","FQ1 2025","FQ1 2025","Currency=USD","Period=FQ","BEST_FPERIOD_OVERRIDE=FQ","FILING_STATUS=MR","SCALING_FORMAT=MLN","Sort=A","Dates=H","DateFormat=P","Fill=—","Direction=H","UseDPDF=Y")</f>
        <v>0</v>
      </c>
      <c r="AL33" s="12">
        <f>_xll.BDH("WMT US Equity","CF_CASH_FOR_ACQUIS_SUBSIDIARIES","FQ2 2025","FQ2 2025","Currency=USD","Period=FQ","BEST_FPERIOD_OVERRIDE=FQ","FILING_STATUS=MR","SCALING_FORMAT=MLN","Sort=A","Dates=H","DateFormat=P","Fill=—","Direction=H","UseDPDF=Y")</f>
        <v>0</v>
      </c>
      <c r="AM33" s="12">
        <f>_xll.BDH("WMT US Equity","CF_CASH_FOR_ACQUIS_SUBSIDIARIES","FQ3 2025","FQ3 2025","Currency=USD","Period=FQ","BEST_FPERIOD_OVERRIDE=FQ","FILING_STATUS=MR","SCALING_FORMAT=MLN","Sort=A","Dates=H","DateFormat=P","Fill=—","Direction=H","UseDPDF=Y")</f>
        <v>0</v>
      </c>
      <c r="AN33" s="12">
        <f>_xll.BDH("WMT US Equity","CF_CASH_FOR_ACQUIS_SUBSIDIARIES","FQ4 2025","FQ4 2025","Currency=USD","Period=FQ","BEST_FPERIOD_OVERRIDE=FQ","FILING_STATUS=MR","SCALING_FORMAT=MLN","Sort=A","Dates=H","DateFormat=P","Fill=—","Direction=H","UseDPDF=Y")</f>
        <v>-1896</v>
      </c>
      <c r="AO33" s="12">
        <f>_xll.BDH("WMT US Equity","CF_CASH_FOR_ACQUIS_SUBSIDIARIES","FQ1 2026","FQ1 2026","Currency=USD","Period=FQ","BEST_FPERIOD_OVERRIDE=FQ","FILING_STATUS=MR","SCALING_FORMAT=MLN","Sort=A","Dates=H","DateFormat=P","Fill=—","Direction=H","UseDPDF=Y")</f>
        <v>0</v>
      </c>
      <c r="AP33" s="12">
        <f>_xll.BDH("WMT US Equity","CF_CASH_FOR_ACQUIS_SUBSIDIARIES","FQ2 2026","FQ2 2026","Currency=USD","Period=FQ","BEST_FPERIOD_OVERRIDE=FQ","FILING_STATUS=MR","SCALING_FORMAT=MLN","Sort=A","Dates=H","DateFormat=P","Fill=—","Direction=H","UseDPDF=Y")</f>
        <v>0</v>
      </c>
    </row>
    <row r="34" spans="1:42" x14ac:dyDescent="0.3">
      <c r="A34" s="10" t="s">
        <v>174</v>
      </c>
      <c r="B34" s="10" t="s">
        <v>111</v>
      </c>
      <c r="C34" s="12">
        <f>_xll.BDH("WMT US Equity","CF_CASH_FOR_JOINT_VENTURES_ASSOC","FQ3 2016","FQ3 2016","Currency=USD","Period=FQ","BEST_FPERIOD_OVERRIDE=FQ","FILING_STATUS=MR","SCALING_FORMAT=MLN","Sort=A","Dates=H","DateFormat=P","Fill=—","Direction=H","UseDPDF=Y")</f>
        <v>0</v>
      </c>
      <c r="D34" s="12">
        <f>_xll.BDH("WMT US Equity","CF_CASH_FOR_JOINT_VENTURES_ASSOC","FQ4 2016","FQ4 2016","Currency=USD","Period=FQ","BEST_FPERIOD_OVERRIDE=FQ","FILING_STATUS=MR","SCALING_FORMAT=MLN","Sort=A","Dates=H","DateFormat=P","Fill=—","Direction=H","UseDPDF=Y")</f>
        <v>0</v>
      </c>
      <c r="E34" s="12">
        <f>_xll.BDH("WMT US Equity","CF_CASH_FOR_JOINT_VENTURES_ASSOC","FQ1 2017","FQ1 2017","Currency=USD","Period=FQ","BEST_FPERIOD_OVERRIDE=FQ","FILING_STATUS=MR","SCALING_FORMAT=MLN","Sort=A","Dates=H","DateFormat=P","Fill=—","Direction=H","UseDPDF=Y")</f>
        <v>0</v>
      </c>
      <c r="F34" s="12">
        <f>_xll.BDH("WMT US Equity","CF_CASH_FOR_JOINT_VENTURES_ASSOC","FQ2 2017","FQ2 2017","Currency=USD","Period=FQ","BEST_FPERIOD_OVERRIDE=FQ","FILING_STATUS=MR","SCALING_FORMAT=MLN","Sort=A","Dates=H","DateFormat=P","Fill=—","Direction=H","UseDPDF=Y")</f>
        <v>0</v>
      </c>
      <c r="G34" s="12">
        <f>_xll.BDH("WMT US Equity","CF_CASH_FOR_JOINT_VENTURES_ASSOC","FQ3 2017","FQ3 2017","Currency=USD","Period=FQ","BEST_FPERIOD_OVERRIDE=FQ","FILING_STATUS=MR","SCALING_FORMAT=MLN","Sort=A","Dates=H","DateFormat=P","Fill=—","Direction=H","UseDPDF=Y")</f>
        <v>0</v>
      </c>
      <c r="H34" s="12">
        <f>_xll.BDH("WMT US Equity","CF_CASH_FOR_JOINT_VENTURES_ASSOC","FQ4 2017","FQ4 2017","Currency=USD","Period=FQ","BEST_FPERIOD_OVERRIDE=FQ","FILING_STATUS=MR","SCALING_FORMAT=MLN","Sort=A","Dates=H","DateFormat=P","Fill=—","Direction=H","UseDPDF=Y")</f>
        <v>0</v>
      </c>
      <c r="I34" s="12">
        <f>_xll.BDH("WMT US Equity","CF_CASH_FOR_JOINT_VENTURES_ASSOC","FQ1 2018","FQ1 2018","Currency=USD","Period=FQ","BEST_FPERIOD_OVERRIDE=FQ","FILING_STATUS=MR","SCALING_FORMAT=MLN","Sort=A","Dates=H","DateFormat=P","Fill=—","Direction=H","UseDPDF=Y")</f>
        <v>0</v>
      </c>
      <c r="J34" s="12">
        <f>_xll.BDH("WMT US Equity","CF_CASH_FOR_JOINT_VENTURES_ASSOC","FQ2 2018","FQ2 2018","Currency=USD","Period=FQ","BEST_FPERIOD_OVERRIDE=FQ","FILING_STATUS=MR","SCALING_FORMAT=MLN","Sort=A","Dates=H","DateFormat=P","Fill=—","Direction=H","UseDPDF=Y")</f>
        <v>0</v>
      </c>
      <c r="K34" s="12">
        <f>_xll.BDH("WMT US Equity","CF_CASH_FOR_JOINT_VENTURES_ASSOC","FQ3 2018","FQ3 2018","Currency=USD","Period=FQ","BEST_FPERIOD_OVERRIDE=FQ","FILING_STATUS=MR","SCALING_FORMAT=MLN","Sort=A","Dates=H","DateFormat=P","Fill=—","Direction=H","UseDPDF=Y")</f>
        <v>0</v>
      </c>
      <c r="L34" s="12">
        <f>_xll.BDH("WMT US Equity","CF_CASH_FOR_JOINT_VENTURES_ASSOC","FQ4 2018","FQ4 2018","Currency=USD","Period=FQ","BEST_FPERIOD_OVERRIDE=FQ","FILING_STATUS=MR","SCALING_FORMAT=MLN","Sort=A","Dates=H","DateFormat=P","Fill=—","Direction=H","UseDPDF=Y")</f>
        <v>0</v>
      </c>
      <c r="M34" s="12">
        <f>_xll.BDH("WMT US Equity","CF_CASH_FOR_JOINT_VENTURES_ASSOC","FQ1 2019","FQ1 2019","Currency=USD","Period=FQ","BEST_FPERIOD_OVERRIDE=FQ","FILING_STATUS=MR","SCALING_FORMAT=MLN","Sort=A","Dates=H","DateFormat=P","Fill=—","Direction=H","UseDPDF=Y")</f>
        <v>0</v>
      </c>
      <c r="N34" s="12">
        <f>_xll.BDH("WMT US Equity","CF_CASH_FOR_JOINT_VENTURES_ASSOC","FQ2 2019","FQ2 2019","Currency=USD","Period=FQ","BEST_FPERIOD_OVERRIDE=FQ","FILING_STATUS=MR","SCALING_FORMAT=MLN","Sort=A","Dates=H","DateFormat=P","Fill=—","Direction=H","UseDPDF=Y")</f>
        <v>0</v>
      </c>
      <c r="O34" s="12">
        <f>_xll.BDH("WMT US Equity","CF_CASH_FOR_JOINT_VENTURES_ASSOC","FQ3 2019","FQ3 2019","Currency=USD","Period=FQ","BEST_FPERIOD_OVERRIDE=FQ","FILING_STATUS=MR","SCALING_FORMAT=MLN","Sort=A","Dates=H","DateFormat=P","Fill=—","Direction=H","UseDPDF=Y")</f>
        <v>0</v>
      </c>
      <c r="P34" s="12">
        <f>_xll.BDH("WMT US Equity","CF_CASH_FOR_JOINT_VENTURES_ASSOC","FQ4 2019","FQ4 2019","Currency=USD","Period=FQ","BEST_FPERIOD_OVERRIDE=FQ","FILING_STATUS=MR","SCALING_FORMAT=MLN","Sort=A","Dates=H","DateFormat=P","Fill=—","Direction=H","UseDPDF=Y")</f>
        <v>0</v>
      </c>
      <c r="Q34" s="12">
        <f>_xll.BDH("WMT US Equity","CF_CASH_FOR_JOINT_VENTURES_ASSOC","FQ1 2020","FQ1 2020","Currency=USD","Period=FQ","BEST_FPERIOD_OVERRIDE=FQ","FILING_STATUS=MR","SCALING_FORMAT=MLN","Sort=A","Dates=H","DateFormat=P","Fill=—","Direction=H","UseDPDF=Y")</f>
        <v>0</v>
      </c>
      <c r="R34" s="12">
        <f>_xll.BDH("WMT US Equity","CF_CASH_FOR_JOINT_VENTURES_ASSOC","FQ2 2020","FQ2 2020","Currency=USD","Period=FQ","BEST_FPERIOD_OVERRIDE=FQ","FILING_STATUS=MR","SCALING_FORMAT=MLN","Sort=A","Dates=H","DateFormat=P","Fill=—","Direction=H","UseDPDF=Y")</f>
        <v>0</v>
      </c>
      <c r="S34" s="12">
        <f>_xll.BDH("WMT US Equity","CF_CASH_FOR_JOINT_VENTURES_ASSOC","FQ3 2020","FQ3 2020","Currency=USD","Period=FQ","BEST_FPERIOD_OVERRIDE=FQ","FILING_STATUS=MR","SCALING_FORMAT=MLN","Sort=A","Dates=H","DateFormat=P","Fill=—","Direction=H","UseDPDF=Y")</f>
        <v>0</v>
      </c>
      <c r="T34" s="12">
        <f>_xll.BDH("WMT US Equity","CF_CASH_FOR_JOINT_VENTURES_ASSOC","FQ4 2020","FQ4 2020","Currency=USD","Period=FQ","BEST_FPERIOD_OVERRIDE=FQ","FILING_STATUS=MR","SCALING_FORMAT=MLN","Sort=A","Dates=H","DateFormat=P","Fill=—","Direction=H","UseDPDF=Y")</f>
        <v>0</v>
      </c>
      <c r="U34" s="12">
        <f>_xll.BDH("WMT US Equity","CF_CASH_FOR_JOINT_VENTURES_ASSOC","FQ1 2021","FQ1 2021","Currency=USD","Period=FQ","BEST_FPERIOD_OVERRIDE=FQ","FILING_STATUS=MR","SCALING_FORMAT=MLN","Sort=A","Dates=H","DateFormat=P","Fill=—","Direction=H","UseDPDF=Y")</f>
        <v>0</v>
      </c>
      <c r="V34" s="12">
        <f>_xll.BDH("WMT US Equity","CF_CASH_FOR_JOINT_VENTURES_ASSOC","FQ2 2021","FQ2 2021","Currency=USD","Period=FQ","BEST_FPERIOD_OVERRIDE=FQ","FILING_STATUS=MR","SCALING_FORMAT=MLN","Sort=A","Dates=H","DateFormat=P","Fill=—","Direction=H","UseDPDF=Y")</f>
        <v>0</v>
      </c>
      <c r="W34" s="12">
        <f>_xll.BDH("WMT US Equity","CF_CASH_FOR_JOINT_VENTURES_ASSOC","FQ3 2021","FQ3 2021","Currency=USD","Period=FQ","BEST_FPERIOD_OVERRIDE=FQ","FILING_STATUS=MR","SCALING_FORMAT=MLN","Sort=A","Dates=H","DateFormat=P","Fill=—","Direction=H","UseDPDF=Y")</f>
        <v>0</v>
      </c>
      <c r="X34" s="12">
        <f>_xll.BDH("WMT US Equity","CF_CASH_FOR_JOINT_VENTURES_ASSOC","FQ4 2021","FQ4 2021","Currency=USD","Period=FQ","BEST_FPERIOD_OVERRIDE=FQ","FILING_STATUS=MR","SCALING_FORMAT=MLN","Sort=A","Dates=H","DateFormat=P","Fill=—","Direction=H","UseDPDF=Y")</f>
        <v>0</v>
      </c>
      <c r="Y34" s="12">
        <f>_xll.BDH("WMT US Equity","CF_CASH_FOR_JOINT_VENTURES_ASSOC","FQ1 2022","FQ1 2022","Currency=USD","Period=FQ","BEST_FPERIOD_OVERRIDE=FQ","FILING_STATUS=MR","SCALING_FORMAT=MLN","Sort=A","Dates=H","DateFormat=P","Fill=—","Direction=H","UseDPDF=Y")</f>
        <v>0</v>
      </c>
      <c r="Z34" s="12">
        <f>_xll.BDH("WMT US Equity","CF_CASH_FOR_JOINT_VENTURES_ASSOC","FQ2 2022","FQ2 2022","Currency=USD","Period=FQ","BEST_FPERIOD_OVERRIDE=FQ","FILING_STATUS=MR","SCALING_FORMAT=MLN","Sort=A","Dates=H","DateFormat=P","Fill=—","Direction=H","UseDPDF=Y")</f>
        <v>0</v>
      </c>
      <c r="AA34" s="12">
        <f>_xll.BDH("WMT US Equity","CF_CASH_FOR_JOINT_VENTURES_ASSOC","FQ3 2022","FQ3 2022","Currency=USD","Period=FQ","BEST_FPERIOD_OVERRIDE=FQ","FILING_STATUS=MR","SCALING_FORMAT=MLN","Sort=A","Dates=H","DateFormat=P","Fill=—","Direction=H","UseDPDF=Y")</f>
        <v>0</v>
      </c>
      <c r="AB34" s="12">
        <f>_xll.BDH("WMT US Equity","CF_CASH_FOR_JOINT_VENTURES_ASSOC","FQ4 2022","FQ4 2022","Currency=USD","Period=FQ","BEST_FPERIOD_OVERRIDE=FQ","FILING_STATUS=MR","SCALING_FORMAT=MLN","Sort=A","Dates=H","DateFormat=P","Fill=—","Direction=H","UseDPDF=Y")</f>
        <v>0</v>
      </c>
      <c r="AC34" s="12">
        <f>_xll.BDH("WMT US Equity","CF_CASH_FOR_JOINT_VENTURES_ASSOC","FQ1 2023","FQ1 2023","Currency=USD","Period=FQ","BEST_FPERIOD_OVERRIDE=FQ","FILING_STATUS=MR","SCALING_FORMAT=MLN","Sort=A","Dates=H","DateFormat=P","Fill=—","Direction=H","UseDPDF=Y")</f>
        <v>0</v>
      </c>
      <c r="AD34" s="12">
        <f>_xll.BDH("WMT US Equity","CF_CASH_FOR_JOINT_VENTURES_ASSOC","FQ2 2023","FQ2 2023","Currency=USD","Period=FQ","BEST_FPERIOD_OVERRIDE=FQ","FILING_STATUS=MR","SCALING_FORMAT=MLN","Sort=A","Dates=H","DateFormat=P","Fill=—","Direction=H","UseDPDF=Y")</f>
        <v>0</v>
      </c>
      <c r="AE34" s="12">
        <f>_xll.BDH("WMT US Equity","CF_CASH_FOR_JOINT_VENTURES_ASSOC","FQ3 2023","FQ3 2023","Currency=USD","Period=FQ","BEST_FPERIOD_OVERRIDE=FQ","FILING_STATUS=MR","SCALING_FORMAT=MLN","Sort=A","Dates=H","DateFormat=P","Fill=—","Direction=H","UseDPDF=Y")</f>
        <v>0</v>
      </c>
      <c r="AF34" s="12">
        <f>_xll.BDH("WMT US Equity","CF_CASH_FOR_JOINT_VENTURES_ASSOC","FQ4 2023","FQ4 2023","Currency=USD","Period=FQ","BEST_FPERIOD_OVERRIDE=FQ","FILING_STATUS=MR","SCALING_FORMAT=MLN","Sort=A","Dates=H","DateFormat=P","Fill=—","Direction=H","UseDPDF=Y")</f>
        <v>0</v>
      </c>
      <c r="AG34" s="12">
        <f>_xll.BDH("WMT US Equity","CF_CASH_FOR_JOINT_VENTURES_ASSOC","FQ1 2024","FQ1 2024","Currency=USD","Period=FQ","BEST_FPERIOD_OVERRIDE=FQ","FILING_STATUS=MR","SCALING_FORMAT=MLN","Sort=A","Dates=H","DateFormat=P","Fill=—","Direction=H","UseDPDF=Y")</f>
        <v>0</v>
      </c>
      <c r="AH34" s="12">
        <f>_xll.BDH("WMT US Equity","CF_CASH_FOR_JOINT_VENTURES_ASSOC","FQ2 2024","FQ2 2024","Currency=USD","Period=FQ","BEST_FPERIOD_OVERRIDE=FQ","FILING_STATUS=MR","SCALING_FORMAT=MLN","Sort=A","Dates=H","DateFormat=P","Fill=—","Direction=H","UseDPDF=Y")</f>
        <v>0</v>
      </c>
      <c r="AI34" s="12">
        <f>_xll.BDH("WMT US Equity","CF_CASH_FOR_JOINT_VENTURES_ASSOC","FQ3 2024","FQ3 2024","Currency=USD","Period=FQ","BEST_FPERIOD_OVERRIDE=FQ","FILING_STATUS=MR","SCALING_FORMAT=MLN","Sort=A","Dates=H","DateFormat=P","Fill=—","Direction=H","UseDPDF=Y")</f>
        <v>0</v>
      </c>
      <c r="AJ34" s="12">
        <f>_xll.BDH("WMT US Equity","CF_CASH_FOR_JOINT_VENTURES_ASSOC","FQ4 2024","FQ4 2024","Currency=USD","Period=FQ","BEST_FPERIOD_OVERRIDE=FQ","FILING_STATUS=MR","SCALING_FORMAT=MLN","Sort=A","Dates=H","DateFormat=P","Fill=—","Direction=H","UseDPDF=Y")</f>
        <v>0</v>
      </c>
      <c r="AK34" s="12">
        <f>_xll.BDH("WMT US Equity","CF_CASH_FOR_JOINT_VENTURES_ASSOC","FQ1 2025","FQ1 2025","Currency=USD","Period=FQ","BEST_FPERIOD_OVERRIDE=FQ","FILING_STATUS=MR","SCALING_FORMAT=MLN","Sort=A","Dates=H","DateFormat=P","Fill=—","Direction=H","UseDPDF=Y")</f>
        <v>0</v>
      </c>
      <c r="AL34" s="12">
        <f>_xll.BDH("WMT US Equity","CF_CASH_FOR_JOINT_VENTURES_ASSOC","FQ2 2025","FQ2 2025","Currency=USD","Period=FQ","BEST_FPERIOD_OVERRIDE=FQ","FILING_STATUS=MR","SCALING_FORMAT=MLN","Sort=A","Dates=H","DateFormat=P","Fill=—","Direction=H","UseDPDF=Y")</f>
        <v>0</v>
      </c>
      <c r="AM34" s="12">
        <f>_xll.BDH("WMT US Equity","CF_CASH_FOR_JOINT_VENTURES_ASSOC","FQ3 2025","FQ3 2025","Currency=USD","Period=FQ","BEST_FPERIOD_OVERRIDE=FQ","FILING_STATUS=MR","SCALING_FORMAT=MLN","Sort=A","Dates=H","DateFormat=P","Fill=—","Direction=H","UseDPDF=Y")</f>
        <v>0</v>
      </c>
      <c r="AN34" s="12">
        <f>_xll.BDH("WMT US Equity","CF_CASH_FOR_JOINT_VENTURES_ASSOC","FQ4 2025","FQ4 2025","Currency=USD","Period=FQ","BEST_FPERIOD_OVERRIDE=FQ","FILING_STATUS=MR","SCALING_FORMAT=MLN","Sort=A","Dates=H","DateFormat=P","Fill=—","Direction=H","UseDPDF=Y")</f>
        <v>0</v>
      </c>
      <c r="AO34" s="12">
        <f>_xll.BDH("WMT US Equity","CF_CASH_FOR_JOINT_VENTURES_ASSOC","FQ1 2026","FQ1 2026","Currency=USD","Period=FQ","BEST_FPERIOD_OVERRIDE=FQ","FILING_STATUS=MR","SCALING_FORMAT=MLN","Sort=A","Dates=H","DateFormat=P","Fill=—","Direction=H","UseDPDF=Y")</f>
        <v>0</v>
      </c>
      <c r="AP34" s="12">
        <f>_xll.BDH("WMT US Equity","CF_CASH_FOR_JOINT_VENTURES_ASSOC","FQ2 2026","FQ2 2026","Currency=USD","Period=FQ","BEST_FPERIOD_OVERRIDE=FQ","FILING_STATUS=MR","SCALING_FORMAT=MLN","Sort=A","Dates=H","DateFormat=P","Fill=—","Direction=H","UseDPDF=Y")</f>
        <v>0</v>
      </c>
    </row>
    <row r="35" spans="1:42" x14ac:dyDescent="0.3">
      <c r="A35" s="10" t="s">
        <v>175</v>
      </c>
      <c r="B35" s="10" t="s">
        <v>112</v>
      </c>
      <c r="C35" s="12">
        <f>_xll.BDH("WMT US Equity","OTHER_INVESTING_ACT_DETAILED","FQ3 2016","FQ3 2016","Currency=USD","Period=FQ","BEST_FPERIOD_OVERRIDE=FQ","FILING_STATUS=MR","SCALING_FORMAT=MLN","Sort=A","Dates=H","DateFormat=P","Fill=—","Direction=H","UseDPDF=Y")</f>
        <v>139</v>
      </c>
      <c r="D35" s="12">
        <f>_xll.BDH("WMT US Equity","OTHER_INVESTING_ACT_DETAILED","FQ4 2016","FQ4 2016","Currency=USD","Period=FQ","BEST_FPERIOD_OVERRIDE=FQ","FILING_STATUS=MR","SCALING_FORMAT=MLN","Sort=A","Dates=H","DateFormat=P","Fill=—","Direction=H","UseDPDF=Y")</f>
        <v>-127</v>
      </c>
      <c r="E35" s="12">
        <f>_xll.BDH("WMT US Equity","OTHER_INVESTING_ACT_DETAILED","FQ1 2017","FQ1 2017","Currency=USD","Period=FQ","BEST_FPERIOD_OVERRIDE=FQ","FILING_STATUS=MR","SCALING_FORMAT=MLN","Sort=A","Dates=H","DateFormat=P","Fill=—","Direction=H","UseDPDF=Y")</f>
        <v>1</v>
      </c>
      <c r="F35" s="12">
        <f>_xll.BDH("WMT US Equity","OTHER_INVESTING_ACT_DETAILED","FQ2 2017","FQ2 2017","Currency=USD","Period=FQ","BEST_FPERIOD_OVERRIDE=FQ","FILING_STATUS=MR","SCALING_FORMAT=MLN","Sort=A","Dates=H","DateFormat=P","Fill=—","Direction=H","UseDPDF=Y")</f>
        <v>-58</v>
      </c>
      <c r="G35" s="12">
        <f>_xll.BDH("WMT US Equity","OTHER_INVESTING_ACT_DETAILED","FQ3 2017","FQ3 2017","Currency=USD","Period=FQ","BEST_FPERIOD_OVERRIDE=FQ","FILING_STATUS=MR","SCALING_FORMAT=MLN","Sort=A","Dates=H","DateFormat=P","Fill=—","Direction=H","UseDPDF=Y")</f>
        <v>-1911</v>
      </c>
      <c r="H35" s="12">
        <f>_xll.BDH("WMT US Equity","OTHER_INVESTING_ACT_DETAILED","FQ4 2017","FQ4 2017","Currency=USD","Period=FQ","BEST_FPERIOD_OVERRIDE=FQ","FILING_STATUS=MR","SCALING_FORMAT=MLN","Sort=A","Dates=H","DateFormat=P","Fill=—","Direction=H","UseDPDF=Y")</f>
        <v>-55</v>
      </c>
      <c r="I35" s="12">
        <f>_xll.BDH("WMT US Equity","OTHER_INVESTING_ACT_DETAILED","FQ1 2018","FQ1 2018","Currency=USD","Period=FQ","BEST_FPERIOD_OVERRIDE=FQ","FILING_STATUS=MR","SCALING_FORMAT=MLN","Sort=A","Dates=H","DateFormat=P","Fill=—","Direction=H","UseDPDF=Y")</f>
        <v>21</v>
      </c>
      <c r="J35" s="12">
        <f>_xll.BDH("WMT US Equity","OTHER_INVESTING_ACT_DETAILED","FQ2 2018","FQ2 2018","Currency=USD","Period=FQ","BEST_FPERIOD_OVERRIDE=FQ","FILING_STATUS=MR","SCALING_FORMAT=MLN","Sort=A","Dates=H","DateFormat=P","Fill=—","Direction=H","UseDPDF=Y")</f>
        <v>-1</v>
      </c>
      <c r="K35" s="12">
        <f>_xll.BDH("WMT US Equity","OTHER_INVESTING_ACT_DETAILED","FQ3 2018","FQ3 2018","Currency=USD","Period=FQ","BEST_FPERIOD_OVERRIDE=FQ","FILING_STATUS=MR","SCALING_FORMAT=MLN","Sort=A","Dates=H","DateFormat=P","Fill=—","Direction=H","UseDPDF=Y")</f>
        <v>59</v>
      </c>
      <c r="L35" s="12">
        <f>_xll.BDH("WMT US Equity","OTHER_INVESTING_ACT_DETAILED","FQ4 2018","FQ4 2018","Currency=USD","Period=FQ","BEST_FPERIOD_OVERRIDE=FQ","FILING_STATUS=MR","SCALING_FORMAT=MLN","Sort=A","Dates=H","DateFormat=P","Fill=—","Direction=H","UseDPDF=Y")</f>
        <v>-156</v>
      </c>
      <c r="M35" s="12">
        <f>_xll.BDH("WMT US Equity","OTHER_INVESTING_ACT_DETAILED","FQ1 2019","FQ1 2019","Currency=USD","Period=FQ","BEST_FPERIOD_OVERRIDE=FQ","FILING_STATUS=MR","SCALING_FORMAT=MLN","Sort=A","Dates=H","DateFormat=P","Fill=—","Direction=H","UseDPDF=Y")</f>
        <v>-62</v>
      </c>
      <c r="N35" s="12">
        <f>_xll.BDH("WMT US Equity","OTHER_INVESTING_ACT_DETAILED","FQ2 2019","FQ2 2019","Currency=USD","Period=FQ","BEST_FPERIOD_OVERRIDE=FQ","FILING_STATUS=MR","SCALING_FORMAT=MLN","Sort=A","Dates=H","DateFormat=P","Fill=—","Direction=H","UseDPDF=Y")</f>
        <v>-289</v>
      </c>
      <c r="O35" s="12">
        <f>_xll.BDH("WMT US Equity","OTHER_INVESTING_ACT_DETAILED","FQ3 2019","FQ3 2019","Currency=USD","Period=FQ","BEST_FPERIOD_OVERRIDE=FQ","FILING_STATUS=MR","SCALING_FORMAT=MLN","Sort=A","Dates=H","DateFormat=P","Fill=—","Direction=H","UseDPDF=Y")</f>
        <v>-228</v>
      </c>
      <c r="P35" s="12">
        <f>_xll.BDH("WMT US Equity","OTHER_INVESTING_ACT_DETAILED","FQ4 2019","FQ4 2019","Currency=USD","Period=FQ","BEST_FPERIOD_OVERRIDE=FQ","FILING_STATUS=MR","SCALING_FORMAT=MLN","Sort=A","Dates=H","DateFormat=P","Fill=—","Direction=H","UseDPDF=Y")</f>
        <v>148</v>
      </c>
      <c r="Q35" s="12">
        <f>_xll.BDH("WMT US Equity","OTHER_INVESTING_ACT_DETAILED","FQ1 2020","FQ1 2020","Currency=USD","Period=FQ","BEST_FPERIOD_OVERRIDE=FQ","FILING_STATUS=MR","SCALING_FORMAT=MLN","Sort=A","Dates=H","DateFormat=P","Fill=—","Direction=H","UseDPDF=Y")</f>
        <v>251</v>
      </c>
      <c r="R35" s="12">
        <f>_xll.BDH("WMT US Equity","OTHER_INVESTING_ACT_DETAILED","FQ2 2020","FQ2 2020","Currency=USD","Period=FQ","BEST_FPERIOD_OVERRIDE=FQ","FILING_STATUS=MR","SCALING_FORMAT=MLN","Sort=A","Dates=H","DateFormat=P","Fill=—","Direction=H","UseDPDF=Y")</f>
        <v>-109</v>
      </c>
      <c r="S35" s="12">
        <f>_xll.BDH("WMT US Equity","OTHER_INVESTING_ACT_DETAILED","FQ3 2020","FQ3 2020","Currency=USD","Period=FQ","BEST_FPERIOD_OVERRIDE=FQ","FILING_STATUS=MR","SCALING_FORMAT=MLN","Sort=A","Dates=H","DateFormat=P","Fill=—","Direction=H","UseDPDF=Y")</f>
        <v>343</v>
      </c>
      <c r="T35" s="12">
        <f>_xll.BDH("WMT US Equity","OTHER_INVESTING_ACT_DETAILED","FQ4 2020","FQ4 2020","Currency=USD","Period=FQ","BEST_FPERIOD_OVERRIDE=FQ","FILING_STATUS=MR","SCALING_FORMAT=MLN","Sort=A","Dates=H","DateFormat=P","Fill=—","Direction=H","UseDPDF=Y")</f>
        <v>-6</v>
      </c>
      <c r="U35" s="12">
        <f>_xll.BDH("WMT US Equity","OTHER_INVESTING_ACT_DETAILED","FQ1 2021","FQ1 2021","Currency=USD","Period=FQ","BEST_FPERIOD_OVERRIDE=FQ","FILING_STATUS=MR","SCALING_FORMAT=MLN","Sort=A","Dates=H","DateFormat=P","Fill=—","Direction=H","UseDPDF=Y")</f>
        <v>6</v>
      </c>
      <c r="V35" s="12">
        <f>_xll.BDH("WMT US Equity","OTHER_INVESTING_ACT_DETAILED","FQ2 2021","FQ2 2021","Currency=USD","Period=FQ","BEST_FPERIOD_OVERRIDE=FQ","FILING_STATUS=MR","SCALING_FORMAT=MLN","Sort=A","Dates=H","DateFormat=P","Fill=—","Direction=H","UseDPDF=Y")</f>
        <v>21</v>
      </c>
      <c r="W35" s="12">
        <f>_xll.BDH("WMT US Equity","OTHER_INVESTING_ACT_DETAILED","FQ3 2021","FQ3 2021","Currency=USD","Period=FQ","BEST_FPERIOD_OVERRIDE=FQ","FILING_STATUS=MR","SCALING_FORMAT=MLN","Sort=A","Dates=H","DateFormat=P","Fill=—","Direction=H","UseDPDF=Y")</f>
        <v>-27</v>
      </c>
      <c r="X35" s="12">
        <f>_xll.BDH("WMT US Equity","OTHER_INVESTING_ACT_DETAILED","FQ4 2021","FQ4 2021","Currency=USD","Period=FQ","BEST_FPERIOD_OVERRIDE=FQ","FILING_STATUS=MR","SCALING_FORMAT=MLN","Sort=A","Dates=H","DateFormat=P","Fill=—","Direction=H","UseDPDF=Y")</f>
        <v>102</v>
      </c>
      <c r="Y35" s="12">
        <f>_xll.BDH("WMT US Equity","OTHER_INVESTING_ACT_DETAILED","FQ1 2022","FQ1 2022","Currency=USD","Period=FQ","BEST_FPERIOD_OVERRIDE=FQ","FILING_STATUS=MR","SCALING_FORMAT=MLN","Sort=A","Dates=H","DateFormat=P","Fill=—","Direction=H","UseDPDF=Y")</f>
        <v>57</v>
      </c>
      <c r="Z35" s="12">
        <f>_xll.BDH("WMT US Equity","OTHER_INVESTING_ACT_DETAILED","FQ2 2022","FQ2 2022","Currency=USD","Period=FQ","BEST_FPERIOD_OVERRIDE=FQ","FILING_STATUS=MR","SCALING_FORMAT=MLN","Sort=A","Dates=H","DateFormat=P","Fill=—","Direction=H","UseDPDF=Y")</f>
        <v>-499</v>
      </c>
      <c r="AA35" s="12">
        <f>_xll.BDH("WMT US Equity","OTHER_INVESTING_ACT_DETAILED","FQ3 2022","FQ3 2022","Currency=USD","Period=FQ","BEST_FPERIOD_OVERRIDE=FQ","FILING_STATUS=MR","SCALING_FORMAT=MLN","Sort=A","Dates=H","DateFormat=P","Fill=—","Direction=H","UseDPDF=Y")</f>
        <v>-477</v>
      </c>
      <c r="AB35" s="12">
        <f>_xll.BDH("WMT US Equity","OTHER_INVESTING_ACT_DETAILED","FQ4 2022","FQ4 2022","Currency=USD","Period=FQ","BEST_FPERIOD_OVERRIDE=FQ","FILING_STATUS=MR","SCALING_FORMAT=MLN","Sort=A","Dates=H","DateFormat=P","Fill=—","Direction=H","UseDPDF=Y")</f>
        <v>40</v>
      </c>
      <c r="AC35" s="12">
        <f>_xll.BDH("WMT US Equity","OTHER_INVESTING_ACT_DETAILED","FQ1 2023","FQ1 2023","Currency=USD","Period=FQ","BEST_FPERIOD_OVERRIDE=FQ","FILING_STATUS=MR","SCALING_FORMAT=MLN","Sort=A","Dates=H","DateFormat=P","Fill=—","Direction=H","UseDPDF=Y")</f>
        <v>-456</v>
      </c>
      <c r="AD35" s="12">
        <f>_xll.BDH("WMT US Equity","OTHER_INVESTING_ACT_DETAILED","FQ2 2023","FQ2 2023","Currency=USD","Period=FQ","BEST_FPERIOD_OVERRIDE=FQ","FILING_STATUS=MR","SCALING_FORMAT=MLN","Sort=A","Dates=H","DateFormat=P","Fill=—","Direction=H","UseDPDF=Y")</f>
        <v>-92</v>
      </c>
      <c r="AE35" s="12">
        <f>_xll.BDH("WMT US Equity","OTHER_INVESTING_ACT_DETAILED","FQ3 2023","FQ3 2023","Currency=USD","Period=FQ","BEST_FPERIOD_OVERRIDE=FQ","FILING_STATUS=MR","SCALING_FORMAT=MLN","Sort=A","Dates=H","DateFormat=P","Fill=—","Direction=H","UseDPDF=Y")</f>
        <v>248</v>
      </c>
      <c r="AF35" s="12">
        <f>_xll.BDH("WMT US Equity","OTHER_INVESTING_ACT_DETAILED","FQ4 2023","FQ4 2023","Currency=USD","Period=FQ","BEST_FPERIOD_OVERRIDE=FQ","FILING_STATUS=MR","SCALING_FORMAT=MLN","Sort=A","Dates=H","DateFormat=P","Fill=—","Direction=H","UseDPDF=Y")</f>
        <v>5</v>
      </c>
      <c r="AG35" s="12">
        <f>_xll.BDH("WMT US Equity","OTHER_INVESTING_ACT_DETAILED","FQ1 2024","FQ1 2024","Currency=USD","Period=FQ","BEST_FPERIOD_OVERRIDE=FQ","FILING_STATUS=MR","SCALING_FORMAT=MLN","Sort=A","Dates=H","DateFormat=P","Fill=—","Direction=H","UseDPDF=Y")</f>
        <v>-478</v>
      </c>
      <c r="AH35" s="12">
        <f>_xll.BDH("WMT US Equity","OTHER_INVESTING_ACT_DETAILED","FQ2 2024","FQ2 2024","Currency=USD","Period=FQ","BEST_FPERIOD_OVERRIDE=FQ","FILING_STATUS=MR","SCALING_FORMAT=MLN","Sort=A","Dates=H","DateFormat=P","Fill=—","Direction=H","UseDPDF=Y")</f>
        <v>-474</v>
      </c>
      <c r="AI35" s="12">
        <f>_xll.BDH("WMT US Equity","OTHER_INVESTING_ACT_DETAILED","FQ3 2024","FQ3 2024","Currency=USD","Period=FQ","BEST_FPERIOD_OVERRIDE=FQ","FILING_STATUS=MR","SCALING_FORMAT=MLN","Sort=A","Dates=H","DateFormat=P","Fill=—","Direction=H","UseDPDF=Y")</f>
        <v>-37</v>
      </c>
      <c r="AJ35" s="12">
        <f>_xll.BDH("WMT US Equity","OTHER_INVESTING_ACT_DETAILED","FQ4 2024","FQ4 2024","Currency=USD","Period=FQ","BEST_FPERIOD_OVERRIDE=FQ","FILING_STATUS=MR","SCALING_FORMAT=MLN","Sort=A","Dates=H","DateFormat=P","Fill=—","Direction=H","UseDPDF=Y")</f>
        <v>-68</v>
      </c>
      <c r="AK35" s="12">
        <f>_xll.BDH("WMT US Equity","OTHER_INVESTING_ACT_DETAILED","FQ1 2025","FQ1 2025","Currency=USD","Period=FQ","BEST_FPERIOD_OVERRIDE=FQ","FILING_STATUS=MR","SCALING_FORMAT=MLN","Sort=A","Dates=H","DateFormat=P","Fill=—","Direction=H","UseDPDF=Y")</f>
        <v>195</v>
      </c>
      <c r="AL35" s="12">
        <f>_xll.BDH("WMT US Equity","OTHER_INVESTING_ACT_DETAILED","FQ2 2025","FQ2 2025","Currency=USD","Period=FQ","BEST_FPERIOD_OVERRIDE=FQ","FILING_STATUS=MR","SCALING_FORMAT=MLN","Sort=A","Dates=H","DateFormat=P","Fill=—","Direction=H","UseDPDF=Y")</f>
        <v>-111</v>
      </c>
      <c r="AM35" s="12">
        <f>_xll.BDH("WMT US Equity","OTHER_INVESTING_ACT_DETAILED","FQ3 2025","FQ3 2025","Currency=USD","Period=FQ","BEST_FPERIOD_OVERRIDE=FQ","FILING_STATUS=MR","SCALING_FORMAT=MLN","Sort=A","Dates=H","DateFormat=P","Fill=—","Direction=H","UseDPDF=Y")</f>
        <v>3590</v>
      </c>
      <c r="AN35" s="12">
        <f>_xll.BDH("WMT US Equity","OTHER_INVESTING_ACT_DETAILED","FQ4 2025","FQ4 2025","Currency=USD","Period=FQ","BEST_FPERIOD_OVERRIDE=FQ","FILING_STATUS=MR","SCALING_FORMAT=MLN","Sort=A","Dates=H","DateFormat=P","Fill=—","Direction=H","UseDPDF=Y")</f>
        <v>194</v>
      </c>
      <c r="AO35" s="12">
        <f>_xll.BDH("WMT US Equity","OTHER_INVESTING_ACT_DETAILED","FQ1 2026","FQ1 2026","Currency=USD","Period=FQ","BEST_FPERIOD_OVERRIDE=FQ","FILING_STATUS=MR","SCALING_FORMAT=MLN","Sort=A","Dates=H","DateFormat=P","Fill=—","Direction=H","UseDPDF=Y")</f>
        <v>-132</v>
      </c>
      <c r="AP35" s="12">
        <f>_xll.BDH("WMT US Equity","OTHER_INVESTING_ACT_DETAILED","FQ2 2026","FQ2 2026","Currency=USD","Period=FQ","BEST_FPERIOD_OVERRIDE=FQ","FILING_STATUS=MR","SCALING_FORMAT=MLN","Sort=A","Dates=H","DateFormat=P","Fill=—","Direction=H","UseDPDF=Y")</f>
        <v>-474</v>
      </c>
    </row>
    <row r="36" spans="1:42" x14ac:dyDescent="0.3">
      <c r="A36" s="10" t="s">
        <v>160</v>
      </c>
      <c r="B36" s="10" t="s">
        <v>113</v>
      </c>
      <c r="C36" s="12">
        <f>_xll.BDH("WMT US Equity","CF_NET_CASH_DISCONTINUED_OPS_INV","FQ3 2016","FQ3 2016","Currency=USD","Period=FQ","BEST_FPERIOD_OVERRIDE=FQ","FILING_STATUS=MR","SCALING_FORMAT=MLN","Sort=A","Dates=H","DateFormat=P","Fill=—","Direction=H","UseDPDF=Y")</f>
        <v>0</v>
      </c>
      <c r="D36" s="12">
        <f>_xll.BDH("WMT US Equity","CF_NET_CASH_DISCONTINUED_OPS_INV","FQ4 2016","FQ4 2016","Currency=USD","Period=FQ","BEST_FPERIOD_OVERRIDE=FQ","FILING_STATUS=MR","SCALING_FORMAT=MLN","Sort=A","Dates=H","DateFormat=P","Fill=—","Direction=H","UseDPDF=Y")</f>
        <v>0</v>
      </c>
      <c r="E36" s="12">
        <f>_xll.BDH("WMT US Equity","CF_NET_CASH_DISCONTINUED_OPS_INV","FQ1 2017","FQ1 2017","Currency=USD","Period=FQ","BEST_FPERIOD_OVERRIDE=FQ","FILING_STATUS=MR","SCALING_FORMAT=MLN","Sort=A","Dates=H","DateFormat=P","Fill=—","Direction=H","UseDPDF=Y")</f>
        <v>0</v>
      </c>
      <c r="F36" s="12">
        <f>_xll.BDH("WMT US Equity","CF_NET_CASH_DISCONTINUED_OPS_INV","FQ2 2017","FQ2 2017","Currency=USD","Period=FQ","BEST_FPERIOD_OVERRIDE=FQ","FILING_STATUS=MR","SCALING_FORMAT=MLN","Sort=A","Dates=H","DateFormat=P","Fill=—","Direction=H","UseDPDF=Y")</f>
        <v>0</v>
      </c>
      <c r="G36" s="12">
        <f>_xll.BDH("WMT US Equity","CF_NET_CASH_DISCONTINUED_OPS_INV","FQ3 2017","FQ3 2017","Currency=USD","Period=FQ","BEST_FPERIOD_OVERRIDE=FQ","FILING_STATUS=MR","SCALING_FORMAT=MLN","Sort=A","Dates=H","DateFormat=P","Fill=—","Direction=H","UseDPDF=Y")</f>
        <v>0</v>
      </c>
      <c r="H36" s="12">
        <f>_xll.BDH("WMT US Equity","CF_NET_CASH_DISCONTINUED_OPS_INV","FQ4 2017","FQ4 2017","Currency=USD","Period=FQ","BEST_FPERIOD_OVERRIDE=FQ","FILING_STATUS=MR","SCALING_FORMAT=MLN","Sort=A","Dates=H","DateFormat=P","Fill=—","Direction=H","UseDPDF=Y")</f>
        <v>0</v>
      </c>
      <c r="I36" s="12">
        <f>_xll.BDH("WMT US Equity","CF_NET_CASH_DISCONTINUED_OPS_INV","FQ1 2018","FQ1 2018","Currency=USD","Period=FQ","BEST_FPERIOD_OVERRIDE=FQ","FILING_STATUS=MR","SCALING_FORMAT=MLN","Sort=A","Dates=H","DateFormat=P","Fill=—","Direction=H","UseDPDF=Y")</f>
        <v>0</v>
      </c>
      <c r="J36" s="12">
        <f>_xll.BDH("WMT US Equity","CF_NET_CASH_DISCONTINUED_OPS_INV","FQ2 2018","FQ2 2018","Currency=USD","Period=FQ","BEST_FPERIOD_OVERRIDE=FQ","FILING_STATUS=MR","SCALING_FORMAT=MLN","Sort=A","Dates=H","DateFormat=P","Fill=—","Direction=H","UseDPDF=Y")</f>
        <v>0</v>
      </c>
      <c r="K36" s="12">
        <f>_xll.BDH("WMT US Equity","CF_NET_CASH_DISCONTINUED_OPS_INV","FQ3 2018","FQ3 2018","Currency=USD","Period=FQ","BEST_FPERIOD_OVERRIDE=FQ","FILING_STATUS=MR","SCALING_FORMAT=MLN","Sort=A","Dates=H","DateFormat=P","Fill=—","Direction=H","UseDPDF=Y")</f>
        <v>0</v>
      </c>
      <c r="L36" s="12">
        <f>_xll.BDH("WMT US Equity","CF_NET_CASH_DISCONTINUED_OPS_INV","FQ4 2018","FQ4 2018","Currency=USD","Period=FQ","BEST_FPERIOD_OVERRIDE=FQ","FILING_STATUS=MR","SCALING_FORMAT=MLN","Sort=A","Dates=H","DateFormat=P","Fill=—","Direction=H","UseDPDF=Y")</f>
        <v>0</v>
      </c>
      <c r="M36" s="12">
        <f>_xll.BDH("WMT US Equity","CF_NET_CASH_DISCONTINUED_OPS_INV","FQ1 2019","FQ1 2019","Currency=USD","Period=FQ","BEST_FPERIOD_OVERRIDE=FQ","FILING_STATUS=MR","SCALING_FORMAT=MLN","Sort=A","Dates=H","DateFormat=P","Fill=—","Direction=H","UseDPDF=Y")</f>
        <v>0</v>
      </c>
      <c r="N36" s="12">
        <f>_xll.BDH("WMT US Equity","CF_NET_CASH_DISCONTINUED_OPS_INV","FQ2 2019","FQ2 2019","Currency=USD","Period=FQ","BEST_FPERIOD_OVERRIDE=FQ","FILING_STATUS=MR","SCALING_FORMAT=MLN","Sort=A","Dates=H","DateFormat=P","Fill=—","Direction=H","UseDPDF=Y")</f>
        <v>0</v>
      </c>
      <c r="O36" s="12">
        <f>_xll.BDH("WMT US Equity","CF_NET_CASH_DISCONTINUED_OPS_INV","FQ3 2019","FQ3 2019","Currency=USD","Period=FQ","BEST_FPERIOD_OVERRIDE=FQ","FILING_STATUS=MR","SCALING_FORMAT=MLN","Sort=A","Dates=H","DateFormat=P","Fill=—","Direction=H","UseDPDF=Y")</f>
        <v>0</v>
      </c>
      <c r="P36" s="12">
        <f>_xll.BDH("WMT US Equity","CF_NET_CASH_DISCONTINUED_OPS_INV","FQ4 2019","FQ4 2019","Currency=USD","Period=FQ","BEST_FPERIOD_OVERRIDE=FQ","FILING_STATUS=MR","SCALING_FORMAT=MLN","Sort=A","Dates=H","DateFormat=P","Fill=—","Direction=H","UseDPDF=Y")</f>
        <v>0</v>
      </c>
      <c r="Q36" s="12">
        <f>_xll.BDH("WMT US Equity","CF_NET_CASH_DISCONTINUED_OPS_INV","FQ1 2020","FQ1 2020","Currency=USD","Period=FQ","BEST_FPERIOD_OVERRIDE=FQ","FILING_STATUS=MR","SCALING_FORMAT=MLN","Sort=A","Dates=H","DateFormat=P","Fill=—","Direction=H","UseDPDF=Y")</f>
        <v>0</v>
      </c>
      <c r="R36" s="12">
        <f>_xll.BDH("WMT US Equity","CF_NET_CASH_DISCONTINUED_OPS_INV","FQ2 2020","FQ2 2020","Currency=USD","Period=FQ","BEST_FPERIOD_OVERRIDE=FQ","FILING_STATUS=MR","SCALING_FORMAT=MLN","Sort=A","Dates=H","DateFormat=P","Fill=—","Direction=H","UseDPDF=Y")</f>
        <v>0</v>
      </c>
      <c r="S36" s="12">
        <f>_xll.BDH("WMT US Equity","CF_NET_CASH_DISCONTINUED_OPS_INV","FQ3 2020","FQ3 2020","Currency=USD","Period=FQ","BEST_FPERIOD_OVERRIDE=FQ","FILING_STATUS=MR","SCALING_FORMAT=MLN","Sort=A","Dates=H","DateFormat=P","Fill=—","Direction=H","UseDPDF=Y")</f>
        <v>0</v>
      </c>
      <c r="T36" s="12">
        <f>_xll.BDH("WMT US Equity","CF_NET_CASH_DISCONTINUED_OPS_INV","FQ4 2020","FQ4 2020","Currency=USD","Period=FQ","BEST_FPERIOD_OVERRIDE=FQ","FILING_STATUS=MR","SCALING_FORMAT=MLN","Sort=A","Dates=H","DateFormat=P","Fill=—","Direction=H","UseDPDF=Y")</f>
        <v>0</v>
      </c>
      <c r="U36" s="12">
        <f>_xll.BDH("WMT US Equity","CF_NET_CASH_DISCONTINUED_OPS_INV","FQ1 2021","FQ1 2021","Currency=USD","Period=FQ","BEST_FPERIOD_OVERRIDE=FQ","FILING_STATUS=MR","SCALING_FORMAT=MLN","Sort=A","Dates=H","DateFormat=P","Fill=—","Direction=H","UseDPDF=Y")</f>
        <v>0</v>
      </c>
      <c r="V36" s="12">
        <f>_xll.BDH("WMT US Equity","CF_NET_CASH_DISCONTINUED_OPS_INV","FQ2 2021","FQ2 2021","Currency=USD","Period=FQ","BEST_FPERIOD_OVERRIDE=FQ","FILING_STATUS=MR","SCALING_FORMAT=MLN","Sort=A","Dates=H","DateFormat=P","Fill=—","Direction=H","UseDPDF=Y")</f>
        <v>0</v>
      </c>
      <c r="W36" s="12">
        <f>_xll.BDH("WMT US Equity","CF_NET_CASH_DISCONTINUED_OPS_INV","FQ3 2021","FQ3 2021","Currency=USD","Period=FQ","BEST_FPERIOD_OVERRIDE=FQ","FILING_STATUS=MR","SCALING_FORMAT=MLN","Sort=A","Dates=H","DateFormat=P","Fill=—","Direction=H","UseDPDF=Y")</f>
        <v>0</v>
      </c>
      <c r="X36" s="12">
        <f>_xll.BDH("WMT US Equity","CF_NET_CASH_DISCONTINUED_OPS_INV","FQ4 2021","FQ4 2021","Currency=USD","Period=FQ","BEST_FPERIOD_OVERRIDE=FQ","FILING_STATUS=MR","SCALING_FORMAT=MLN","Sort=A","Dates=H","DateFormat=P","Fill=—","Direction=H","UseDPDF=Y")</f>
        <v>0</v>
      </c>
      <c r="Y36" s="12">
        <f>_xll.BDH("WMT US Equity","CF_NET_CASH_DISCONTINUED_OPS_INV","FQ1 2022","FQ1 2022","Currency=USD","Period=FQ","BEST_FPERIOD_OVERRIDE=FQ","FILING_STATUS=MR","SCALING_FORMAT=MLN","Sort=A","Dates=H","DateFormat=P","Fill=—","Direction=H","UseDPDF=Y")</f>
        <v>0</v>
      </c>
      <c r="Z36" s="12">
        <f>_xll.BDH("WMT US Equity","CF_NET_CASH_DISCONTINUED_OPS_INV","FQ2 2022","FQ2 2022","Currency=USD","Period=FQ","BEST_FPERIOD_OVERRIDE=FQ","FILING_STATUS=MR","SCALING_FORMAT=MLN","Sort=A","Dates=H","DateFormat=P","Fill=—","Direction=H","UseDPDF=Y")</f>
        <v>0</v>
      </c>
      <c r="AA36" s="12">
        <f>_xll.BDH("WMT US Equity","CF_NET_CASH_DISCONTINUED_OPS_INV","FQ3 2022","FQ3 2022","Currency=USD","Period=FQ","BEST_FPERIOD_OVERRIDE=FQ","FILING_STATUS=MR","SCALING_FORMAT=MLN","Sort=A","Dates=H","DateFormat=P","Fill=—","Direction=H","UseDPDF=Y")</f>
        <v>0</v>
      </c>
      <c r="AB36" s="12">
        <f>_xll.BDH("WMT US Equity","CF_NET_CASH_DISCONTINUED_OPS_INV","FQ4 2022","FQ4 2022","Currency=USD","Period=FQ","BEST_FPERIOD_OVERRIDE=FQ","FILING_STATUS=MR","SCALING_FORMAT=MLN","Sort=A","Dates=H","DateFormat=P","Fill=—","Direction=H","UseDPDF=Y")</f>
        <v>0</v>
      </c>
      <c r="AC36" s="12">
        <f>_xll.BDH("WMT US Equity","CF_NET_CASH_DISCONTINUED_OPS_INV","FQ1 2023","FQ1 2023","Currency=USD","Period=FQ","BEST_FPERIOD_OVERRIDE=FQ","FILING_STATUS=MR","SCALING_FORMAT=MLN","Sort=A","Dates=H","DateFormat=P","Fill=—","Direction=H","UseDPDF=Y")</f>
        <v>0</v>
      </c>
      <c r="AD36" s="12">
        <f>_xll.BDH("WMT US Equity","CF_NET_CASH_DISCONTINUED_OPS_INV","FQ2 2023","FQ2 2023","Currency=USD","Period=FQ","BEST_FPERIOD_OVERRIDE=FQ","FILING_STATUS=MR","SCALING_FORMAT=MLN","Sort=A","Dates=H","DateFormat=P","Fill=—","Direction=H","UseDPDF=Y")</f>
        <v>0</v>
      </c>
      <c r="AE36" s="12">
        <f>_xll.BDH("WMT US Equity","CF_NET_CASH_DISCONTINUED_OPS_INV","FQ3 2023","FQ3 2023","Currency=USD","Period=FQ","BEST_FPERIOD_OVERRIDE=FQ","FILING_STATUS=MR","SCALING_FORMAT=MLN","Sort=A","Dates=H","DateFormat=P","Fill=—","Direction=H","UseDPDF=Y")</f>
        <v>0</v>
      </c>
      <c r="AF36" s="12">
        <f>_xll.BDH("WMT US Equity","CF_NET_CASH_DISCONTINUED_OPS_INV","FQ4 2023","FQ4 2023","Currency=USD","Period=FQ","BEST_FPERIOD_OVERRIDE=FQ","FILING_STATUS=MR","SCALING_FORMAT=MLN","Sort=A","Dates=H","DateFormat=P","Fill=—","Direction=H","UseDPDF=Y")</f>
        <v>0</v>
      </c>
      <c r="AG36" s="12">
        <f>_xll.BDH("WMT US Equity","CF_NET_CASH_DISCONTINUED_OPS_INV","FQ1 2024","FQ1 2024","Currency=USD","Period=FQ","BEST_FPERIOD_OVERRIDE=FQ","FILING_STATUS=MR","SCALING_FORMAT=MLN","Sort=A","Dates=H","DateFormat=P","Fill=—","Direction=H","UseDPDF=Y")</f>
        <v>0</v>
      </c>
      <c r="AH36" s="12">
        <f>_xll.BDH("WMT US Equity","CF_NET_CASH_DISCONTINUED_OPS_INV","FQ2 2024","FQ2 2024","Currency=USD","Period=FQ","BEST_FPERIOD_OVERRIDE=FQ","FILING_STATUS=MR","SCALING_FORMAT=MLN","Sort=A","Dates=H","DateFormat=P","Fill=—","Direction=H","UseDPDF=Y")</f>
        <v>0</v>
      </c>
      <c r="AI36" s="12">
        <f>_xll.BDH("WMT US Equity","CF_NET_CASH_DISCONTINUED_OPS_INV","FQ3 2024","FQ3 2024","Currency=USD","Period=FQ","BEST_FPERIOD_OVERRIDE=FQ","FILING_STATUS=MR","SCALING_FORMAT=MLN","Sort=A","Dates=H","DateFormat=P","Fill=—","Direction=H","UseDPDF=Y")</f>
        <v>0</v>
      </c>
      <c r="AJ36" s="12">
        <f>_xll.BDH("WMT US Equity","CF_NET_CASH_DISCONTINUED_OPS_INV","FQ4 2024","FQ4 2024","Currency=USD","Period=FQ","BEST_FPERIOD_OVERRIDE=FQ","FILING_STATUS=MR","SCALING_FORMAT=MLN","Sort=A","Dates=H","DateFormat=P","Fill=—","Direction=H","UseDPDF=Y")</f>
        <v>0</v>
      </c>
      <c r="AK36" s="12">
        <f>_xll.BDH("WMT US Equity","CF_NET_CASH_DISCONTINUED_OPS_INV","FQ1 2025","FQ1 2025","Currency=USD","Period=FQ","BEST_FPERIOD_OVERRIDE=FQ","FILING_STATUS=MR","SCALING_FORMAT=MLN","Sort=A","Dates=H","DateFormat=P","Fill=—","Direction=H","UseDPDF=Y")</f>
        <v>0</v>
      </c>
      <c r="AL36" s="12">
        <f>_xll.BDH("WMT US Equity","CF_NET_CASH_DISCONTINUED_OPS_INV","FQ2 2025","FQ2 2025","Currency=USD","Period=FQ","BEST_FPERIOD_OVERRIDE=FQ","FILING_STATUS=MR","SCALING_FORMAT=MLN","Sort=A","Dates=H","DateFormat=P","Fill=—","Direction=H","UseDPDF=Y")</f>
        <v>0</v>
      </c>
      <c r="AM36" s="12">
        <f>_xll.BDH("WMT US Equity","CF_NET_CASH_DISCONTINUED_OPS_INV","FQ3 2025","FQ3 2025","Currency=USD","Period=FQ","BEST_FPERIOD_OVERRIDE=FQ","FILING_STATUS=MR","SCALING_FORMAT=MLN","Sort=A","Dates=H","DateFormat=P","Fill=—","Direction=H","UseDPDF=Y")</f>
        <v>0</v>
      </c>
      <c r="AN36" s="12">
        <f>_xll.BDH("WMT US Equity","CF_NET_CASH_DISCONTINUED_OPS_INV","FQ4 2025","FQ4 2025","Currency=USD","Period=FQ","BEST_FPERIOD_OVERRIDE=FQ","FILING_STATUS=MR","SCALING_FORMAT=MLN","Sort=A","Dates=H","DateFormat=P","Fill=—","Direction=H","UseDPDF=Y")</f>
        <v>0</v>
      </c>
      <c r="AO36" s="12">
        <f>_xll.BDH("WMT US Equity","CF_NET_CASH_DISCONTINUED_OPS_INV","FQ1 2026","FQ1 2026","Currency=USD","Period=FQ","BEST_FPERIOD_OVERRIDE=FQ","FILING_STATUS=MR","SCALING_FORMAT=MLN","Sort=A","Dates=H","DateFormat=P","Fill=—","Direction=H","UseDPDF=Y")</f>
        <v>0</v>
      </c>
      <c r="AP36" s="12">
        <f>_xll.BDH("WMT US Equity","CF_NET_CASH_DISCONTINUED_OPS_INV","FQ2 2026","FQ2 2026","Currency=USD","Period=FQ","BEST_FPERIOD_OVERRIDE=FQ","FILING_STATUS=MR","SCALING_FORMAT=MLN","Sort=A","Dates=H","DateFormat=P","Fill=—","Direction=H","UseDPDF=Y")</f>
        <v>0</v>
      </c>
    </row>
    <row r="37" spans="1:42" x14ac:dyDescent="0.3">
      <c r="A37" s="6" t="s">
        <v>97</v>
      </c>
      <c r="B37" s="6" t="s">
        <v>114</v>
      </c>
      <c r="C37" s="15">
        <f>_xll.BDH("WMT US Equity","CF_CASH_FROM_INV_ACT","FQ3 2016","FQ3 2016","Currency=USD","Period=FQ","BEST_FPERIOD_OVERRIDE=FQ","FILING_STATUS=MR","SCALING_FORMAT=MLN","Sort=A","Dates=H","DateFormat=P","Fill=—","Direction=H","UseDPDF=Y")</f>
        <v>-2965</v>
      </c>
      <c r="D37" s="15">
        <f>_xll.BDH("WMT US Equity","CF_CASH_FROM_INV_ACT","FQ4 2016","FQ4 2016","Currency=USD","Period=FQ","BEST_FPERIOD_OVERRIDE=FQ","FILING_STATUS=MR","SCALING_FORMAT=MLN","Sort=A","Dates=H","DateFormat=P","Fill=—","Direction=H","UseDPDF=Y")</f>
        <v>-3108</v>
      </c>
      <c r="E37" s="15">
        <f>_xll.BDH("WMT US Equity","CF_CASH_FROM_INV_ACT","FQ1 2017","FQ1 2017","Currency=USD","Period=FQ","BEST_FPERIOD_OVERRIDE=FQ","FILING_STATUS=MR","SCALING_FORMAT=MLN","Sort=A","Dates=H","DateFormat=P","Fill=—","Direction=H","UseDPDF=Y")</f>
        <v>-2119</v>
      </c>
      <c r="F37" s="15">
        <f>_xll.BDH("WMT US Equity","CF_CASH_FROM_INV_ACT","FQ2 2017","FQ2 2017","Currency=USD","Period=FQ","BEST_FPERIOD_OVERRIDE=FQ","FILING_STATUS=MR","SCALING_FORMAT=MLN","Sort=A","Dates=H","DateFormat=P","Fill=—","Direction=H","UseDPDF=Y")</f>
        <v>-2297</v>
      </c>
      <c r="G37" s="15">
        <f>_xll.BDH("WMT US Equity","CF_CASH_FROM_INV_ACT","FQ3 2017","FQ3 2017","Currency=USD","Period=FQ","BEST_FPERIOD_OVERRIDE=FQ","FILING_STATUS=MR","SCALING_FORMAT=MLN","Sort=A","Dates=H","DateFormat=P","Fill=—","Direction=H","UseDPDF=Y")</f>
        <v>-6634</v>
      </c>
      <c r="H37" s="15">
        <f>_xll.BDH("WMT US Equity","CF_CASH_FROM_INV_ACT","FQ4 2017","FQ4 2017","Currency=USD","Period=FQ","BEST_FPERIOD_OVERRIDE=FQ","FILING_STATUS=MR","SCALING_FORMAT=MLN","Sort=A","Dates=H","DateFormat=P","Fill=—","Direction=H","UseDPDF=Y")</f>
        <v>-2937</v>
      </c>
      <c r="I37" s="15">
        <f>_xll.BDH("WMT US Equity","CF_CASH_FROM_INV_ACT","FQ1 2018","FQ1 2018","Currency=USD","Period=FQ","BEST_FPERIOD_OVERRIDE=FQ","FILING_STATUS=MR","SCALING_FORMAT=MLN","Sort=A","Dates=H","DateFormat=P","Fill=—","Direction=H","UseDPDF=Y")</f>
        <v>-1861</v>
      </c>
      <c r="J37" s="15">
        <f>_xll.BDH("WMT US Equity","CF_CASH_FROM_INV_ACT","FQ2 2018","FQ2 2018","Currency=USD","Period=FQ","BEST_FPERIOD_OVERRIDE=FQ","FILING_STATUS=MR","SCALING_FORMAT=MLN","Sort=A","Dates=H","DateFormat=P","Fill=—","Direction=H","UseDPDF=Y")</f>
        <v>-1681</v>
      </c>
      <c r="K37" s="15">
        <f>_xll.BDH("WMT US Equity","CF_CASH_FROM_INV_ACT","FQ3 2018","FQ3 2018","Currency=USD","Period=FQ","BEST_FPERIOD_OVERRIDE=FQ","FILING_STATUS=MR","SCALING_FORMAT=MLN","Sort=A","Dates=H","DateFormat=P","Fill=—","Direction=H","UseDPDF=Y")</f>
        <v>-2312</v>
      </c>
      <c r="L37" s="15">
        <f>_xll.BDH("WMT US Equity","CF_CASH_FROM_INV_ACT","FQ4 2018","FQ4 2018","Currency=USD","Period=FQ","BEST_FPERIOD_OVERRIDE=FQ","FILING_STATUS=MR","SCALING_FORMAT=MLN","Sort=A","Dates=H","DateFormat=P","Fill=—","Direction=H","UseDPDF=Y")</f>
        <v>-3225</v>
      </c>
      <c r="M37" s="15">
        <f>_xll.BDH("WMT US Equity","CF_CASH_FROM_INV_ACT","FQ1 2019","FQ1 2019","Currency=USD","Period=FQ","BEST_FPERIOD_OVERRIDE=FQ","FILING_STATUS=MR","SCALING_FORMAT=MLN","Sort=A","Dates=H","DateFormat=P","Fill=—","Direction=H","UseDPDF=Y")</f>
        <v>-1682</v>
      </c>
      <c r="N37" s="15">
        <f>_xll.BDH("WMT US Equity","CF_CASH_FROM_INV_ACT","FQ2 2019","FQ2 2019","Currency=USD","Period=FQ","BEST_FPERIOD_OVERRIDE=FQ","FILING_STATUS=MR","SCALING_FORMAT=MLN","Sort=A","Dates=H","DateFormat=P","Fill=—","Direction=H","UseDPDF=Y")</f>
        <v>-2746</v>
      </c>
      <c r="O37" s="15">
        <f>_xll.BDH("WMT US Equity","CF_CASH_FROM_INV_ACT","FQ3 2019","FQ3 2019","Currency=USD","Period=FQ","BEST_FPERIOD_OVERRIDE=FQ","FILING_STATUS=MR","SCALING_FORMAT=MLN","Sort=A","Dates=H","DateFormat=P","Fill=—","Direction=H","UseDPDF=Y")</f>
        <v>-16126</v>
      </c>
      <c r="P37" s="15">
        <f>_xll.BDH("WMT US Equity","CF_CASH_FROM_INV_ACT","FQ4 2019","FQ4 2019","Currency=USD","Period=FQ","BEST_FPERIOD_OVERRIDE=FQ","FILING_STATUS=MR","SCALING_FORMAT=MLN","Sort=A","Dates=H","DateFormat=P","Fill=—","Direction=H","UseDPDF=Y")</f>
        <v>-3482</v>
      </c>
      <c r="Q37" s="15">
        <f>_xll.BDH("WMT US Equity","CF_CASH_FROM_INV_ACT","FQ1 2020","FQ1 2020","Currency=USD","Period=FQ","BEST_FPERIOD_OVERRIDE=FQ","FILING_STATUS=MR","SCALING_FORMAT=MLN","Sort=A","Dates=H","DateFormat=P","Fill=—","Direction=H","UseDPDF=Y")</f>
        <v>-1135</v>
      </c>
      <c r="R37" s="15">
        <f>_xll.BDH("WMT US Equity","CF_CASH_FROM_INV_ACT","FQ2 2020","FQ2 2020","Currency=USD","Period=FQ","BEST_FPERIOD_OVERRIDE=FQ","FILING_STATUS=MR","SCALING_FORMAT=MLN","Sort=A","Dates=H","DateFormat=P","Fill=—","Direction=H","UseDPDF=Y")</f>
        <v>-2689</v>
      </c>
      <c r="S37" s="15">
        <f>_xll.BDH("WMT US Equity","CF_CASH_FROM_INV_ACT","FQ3 2020","FQ3 2020","Currency=USD","Period=FQ","BEST_FPERIOD_OVERRIDE=FQ","FILING_STATUS=MR","SCALING_FORMAT=MLN","Sort=A","Dates=H","DateFormat=P","Fill=—","Direction=H","UseDPDF=Y")</f>
        <v>-2461</v>
      </c>
      <c r="T37" s="15">
        <f>_xll.BDH("WMT US Equity","CF_CASH_FROM_INV_ACT","FQ4 2020","FQ4 2020","Currency=USD","Period=FQ","BEST_FPERIOD_OVERRIDE=FQ","FILING_STATUS=MR","SCALING_FORMAT=MLN","Sort=A","Dates=H","DateFormat=P","Fill=—","Direction=H","UseDPDF=Y")</f>
        <v>-2843</v>
      </c>
      <c r="U37" s="15">
        <f>_xll.BDH("WMT US Equity","CF_CASH_FROM_INV_ACT","FQ1 2021","FQ1 2021","Currency=USD","Period=FQ","BEST_FPERIOD_OVERRIDE=FQ","FILING_STATUS=MR","SCALING_FORMAT=MLN","Sort=A","Dates=H","DateFormat=P","Fill=—","Direction=H","UseDPDF=Y")</f>
        <v>-1696</v>
      </c>
      <c r="V37" s="15">
        <f>_xll.BDH("WMT US Equity","CF_CASH_FROM_INV_ACT","FQ2 2021","FQ2 2021","Currency=USD","Period=FQ","BEST_FPERIOD_OVERRIDE=FQ","FILING_STATUS=MR","SCALING_FORMAT=MLN","Sort=A","Dates=H","DateFormat=P","Fill=—","Direction=H","UseDPDF=Y")</f>
        <v>-1938</v>
      </c>
      <c r="W37" s="15">
        <f>_xll.BDH("WMT US Equity","CF_CASH_FROM_INV_ACT","FQ3 2021","FQ3 2021","Currency=USD","Period=FQ","BEST_FPERIOD_OVERRIDE=FQ","FILING_STATUS=MR","SCALING_FORMAT=MLN","Sort=A","Dates=H","DateFormat=P","Fill=—","Direction=H","UseDPDF=Y")</f>
        <v>-2873</v>
      </c>
      <c r="X37" s="15">
        <f>_xll.BDH("WMT US Equity","CF_CASH_FROM_INV_ACT","FQ4 2021","FQ4 2021","Currency=USD","Period=FQ","BEST_FPERIOD_OVERRIDE=FQ","FILING_STATUS=MR","SCALING_FORMAT=MLN","Sort=A","Dates=H","DateFormat=P","Fill=—","Direction=H","UseDPDF=Y")</f>
        <v>-3564</v>
      </c>
      <c r="Y37" s="15">
        <f>_xll.BDH("WMT US Equity","CF_CASH_FROM_INV_ACT","FQ1 2022","FQ1 2022","Currency=USD","Period=FQ","BEST_FPERIOD_OVERRIDE=FQ","FILING_STATUS=MR","SCALING_FORMAT=MLN","Sort=A","Dates=H","DateFormat=P","Fill=—","Direction=H","UseDPDF=Y")</f>
        <v>5850</v>
      </c>
      <c r="Z37" s="15">
        <f>_xll.BDH("WMT US Equity","CF_CASH_FROM_INV_ACT","FQ2 2022","FQ2 2022","Currency=USD","Period=FQ","BEST_FPERIOD_OVERRIDE=FQ","FILING_STATUS=MR","SCALING_FORMAT=MLN","Sort=A","Dates=H","DateFormat=P","Fill=—","Direction=H","UseDPDF=Y")</f>
        <v>-3448</v>
      </c>
      <c r="AA37" s="15">
        <f>_xll.BDH("WMT US Equity","CF_CASH_FROM_INV_ACT","FQ3 2022","FQ3 2022","Currency=USD","Period=FQ","BEST_FPERIOD_OVERRIDE=FQ","FILING_STATUS=MR","SCALING_FORMAT=MLN","Sort=A","Dates=H","DateFormat=P","Fill=—","Direction=H","UseDPDF=Y")</f>
        <v>-3932</v>
      </c>
      <c r="AB37" s="15">
        <f>_xll.BDH("WMT US Equity","CF_CASH_FROM_INV_ACT","FQ4 2022","FQ4 2022","Currency=USD","Period=FQ","BEST_FPERIOD_OVERRIDE=FQ","FILING_STATUS=MR","SCALING_FORMAT=MLN","Sort=A","Dates=H","DateFormat=P","Fill=—","Direction=H","UseDPDF=Y")</f>
        <v>-4485</v>
      </c>
      <c r="AC37" s="15">
        <f>_xll.BDH("WMT US Equity","CF_CASH_FROM_INV_ACT","FQ1 2023","FQ1 2023","Currency=USD","Period=FQ","BEST_FPERIOD_OVERRIDE=FQ","FILING_STATUS=MR","SCALING_FORMAT=MLN","Sort=A","Dates=H","DateFormat=P","Fill=—","Direction=H","UseDPDF=Y")</f>
        <v>-4558</v>
      </c>
      <c r="AD37" s="15">
        <f>_xll.BDH("WMT US Equity","CF_CASH_FROM_INV_ACT","FQ2 2023","FQ2 2023","Currency=USD","Period=FQ","BEST_FPERIOD_OVERRIDE=FQ","FILING_STATUS=MR","SCALING_FORMAT=MLN","Sort=A","Dates=H","DateFormat=P","Fill=—","Direction=H","UseDPDF=Y")</f>
        <v>-4026</v>
      </c>
      <c r="AE37" s="15">
        <f>_xll.BDH("WMT US Equity","CF_CASH_FROM_INV_ACT","FQ3 2023","FQ3 2023","Currency=USD","Period=FQ","BEST_FPERIOD_OVERRIDE=FQ","FILING_STATUS=MR","SCALING_FORMAT=MLN","Sort=A","Dates=H","DateFormat=P","Fill=—","Direction=H","UseDPDF=Y")</f>
        <v>-4381</v>
      </c>
      <c r="AF37" s="15">
        <f>_xll.BDH("WMT US Equity","CF_CASH_FROM_INV_ACT","FQ4 2023","FQ4 2023","Currency=USD","Period=FQ","BEST_FPERIOD_OVERRIDE=FQ","FILING_STATUS=MR","SCALING_FORMAT=MLN","Sort=A","Dates=H","DateFormat=P","Fill=—","Direction=H","UseDPDF=Y")</f>
        <v>-4757</v>
      </c>
      <c r="AG37" s="15">
        <f>_xll.BDH("WMT US Equity","CF_CASH_FROM_INV_ACT","FQ1 2024","FQ1 2024","Currency=USD","Period=FQ","BEST_FPERIOD_OVERRIDE=FQ","FILING_STATUS=MR","SCALING_FORMAT=MLN","Sort=A","Dates=H","DateFormat=P","Fill=—","Direction=H","UseDPDF=Y")</f>
        <v>-4860</v>
      </c>
      <c r="AH37" s="15">
        <f>_xll.BDH("WMT US Equity","CF_CASH_FROM_INV_ACT","FQ2 2024","FQ2 2024","Currency=USD","Period=FQ","BEST_FPERIOD_OVERRIDE=FQ","FILING_STATUS=MR","SCALING_FORMAT=MLN","Sort=A","Dates=H","DateFormat=P","Fill=—","Direction=H","UseDPDF=Y")</f>
        <v>-5049</v>
      </c>
      <c r="AI37" s="15">
        <f>_xll.BDH("WMT US Equity","CF_CASH_FROM_INV_ACT","FQ3 2024","FQ3 2024","Currency=USD","Period=FQ","BEST_FPERIOD_OVERRIDE=FQ","FILING_STATUS=MR","SCALING_FORMAT=MLN","Sort=A","Dates=H","DateFormat=P","Fill=—","Direction=H","UseDPDF=Y")</f>
        <v>-5465</v>
      </c>
      <c r="AJ37" s="15">
        <f>_xll.BDH("WMT US Equity","CF_CASH_FROM_INV_ACT","FQ4 2024","FQ4 2024","Currency=USD","Period=FQ","BEST_FPERIOD_OVERRIDE=FQ","FILING_STATUS=MR","SCALING_FORMAT=MLN","Sort=A","Dates=H","DateFormat=P","Fill=—","Direction=H","UseDPDF=Y")</f>
        <v>-5913</v>
      </c>
      <c r="AK37" s="15">
        <f>_xll.BDH("WMT US Equity","CF_CASH_FROM_INV_ACT","FQ1 2025","FQ1 2025","Currency=USD","Period=FQ","BEST_FPERIOD_OVERRIDE=FQ","FILING_STATUS=MR","SCALING_FORMAT=MLN","Sort=A","Dates=H","DateFormat=P","Fill=—","Direction=H","UseDPDF=Y")</f>
        <v>-4409</v>
      </c>
      <c r="AL37" s="15">
        <f>_xll.BDH("WMT US Equity","CF_CASH_FROM_INV_ACT","FQ2 2025","FQ2 2025","Currency=USD","Period=FQ","BEST_FPERIOD_OVERRIDE=FQ","FILING_STATUS=MR","SCALING_FORMAT=MLN","Sort=A","Dates=H","DateFormat=P","Fill=—","Direction=H","UseDPDF=Y")</f>
        <v>-5719</v>
      </c>
      <c r="AM37" s="15">
        <f>_xll.BDH("WMT US Equity","CF_CASH_FROM_INV_ACT","FQ3 2025","FQ3 2025","Currency=USD","Period=FQ","BEST_FPERIOD_OVERRIDE=FQ","FILING_STATUS=MR","SCALING_FORMAT=MLN","Sort=A","Dates=H","DateFormat=P","Fill=—","Direction=H","UseDPDF=Y")</f>
        <v>-2533</v>
      </c>
      <c r="AN37" s="15">
        <f>_xll.BDH("WMT US Equity","CF_CASH_FROM_INV_ACT","FQ4 2025","FQ4 2025","Currency=USD","Period=FQ","BEST_FPERIOD_OVERRIDE=FQ","FILING_STATUS=MR","SCALING_FORMAT=MLN","Sort=A","Dates=H","DateFormat=P","Fill=—","Direction=H","UseDPDF=Y")</f>
        <v>-8718</v>
      </c>
      <c r="AO37" s="15">
        <f>_xll.BDH("WMT US Equity","CF_CASH_FROM_INV_ACT","FQ1 2026","FQ1 2026","Currency=USD","Period=FQ","BEST_FPERIOD_OVERRIDE=FQ","FILING_STATUS=MR","SCALING_FORMAT=MLN","Sort=A","Dates=H","DateFormat=P","Fill=—","Direction=H","UseDPDF=Y")</f>
        <v>-5093</v>
      </c>
      <c r="AP37" s="15">
        <f>_xll.BDH("WMT US Equity","CF_CASH_FROM_INV_ACT","FQ2 2026","FQ2 2026","Currency=USD","Period=FQ","BEST_FPERIOD_OVERRIDE=FQ","FILING_STATUS=MR","SCALING_FORMAT=MLN","Sort=A","Dates=H","DateFormat=P","Fill=—","Direction=H","UseDPDF=Y")</f>
        <v>-6106</v>
      </c>
    </row>
    <row r="38" spans="1:42" x14ac:dyDescent="0.3">
      <c r="A38" s="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</row>
    <row r="39" spans="1:42" x14ac:dyDescent="0.3">
      <c r="A39" s="6" t="s">
        <v>115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</row>
    <row r="40" spans="1:42" x14ac:dyDescent="0.3">
      <c r="A40" s="10" t="s">
        <v>176</v>
      </c>
      <c r="B40" s="10" t="s">
        <v>116</v>
      </c>
      <c r="C40" s="12">
        <f>_xll.BDH("WMT US Equity","CF_DVD_PAID","FQ3 2016","FQ3 2016","Currency=USD","Period=FQ","BEST_FPERIOD_OVERRIDE=FQ","FILING_STATUS=MR","SCALING_FORMAT=MLN","Sort=A","Dates=H","DateFormat=P","Fill=—","Direction=H","UseDPDF=Y")</f>
        <v>-1571</v>
      </c>
      <c r="D40" s="12">
        <f>_xll.BDH("WMT US Equity","CF_DVD_PAID","FQ4 2016","FQ4 2016","Currency=USD","Period=FQ","BEST_FPERIOD_OVERRIDE=FQ","FILING_STATUS=MR","SCALING_FORMAT=MLN","Sort=A","Dates=H","DateFormat=P","Fill=—","Direction=H","UseDPDF=Y")</f>
        <v>-1566</v>
      </c>
      <c r="E40" s="12">
        <f>_xll.BDH("WMT US Equity","CF_DVD_PAID","FQ1 2017","FQ1 2017","Currency=USD","Period=FQ","BEST_FPERIOD_OVERRIDE=FQ","FILING_STATUS=MR","SCALING_FORMAT=MLN","Sort=A","Dates=H","DateFormat=P","Fill=—","Direction=H","UseDPDF=Y")</f>
        <v>-1573</v>
      </c>
      <c r="F40" s="12">
        <f>_xll.BDH("WMT US Equity","CF_DVD_PAID","FQ2 2017","FQ2 2017","Currency=USD","Period=FQ","BEST_FPERIOD_OVERRIDE=FQ","FILING_STATUS=MR","SCALING_FORMAT=MLN","Sort=A","Dates=H","DateFormat=P","Fill=—","Direction=H","UseDPDF=Y")</f>
        <v>-1560</v>
      </c>
      <c r="G40" s="12">
        <f>_xll.BDH("WMT US Equity","CF_DVD_PAID","FQ3 2017","FQ3 2017","Currency=USD","Period=FQ","BEST_FPERIOD_OVERRIDE=FQ","FILING_STATUS=MR","SCALING_FORMAT=MLN","Sort=A","Dates=H","DateFormat=P","Fill=—","Direction=H","UseDPDF=Y")</f>
        <v>-1549</v>
      </c>
      <c r="H40" s="12">
        <f>_xll.BDH("WMT US Equity","CF_DVD_PAID","FQ4 2017","FQ4 2017","Currency=USD","Period=FQ","BEST_FPERIOD_OVERRIDE=FQ","FILING_STATUS=MR","SCALING_FORMAT=MLN","Sort=A","Dates=H","DateFormat=P","Fill=—","Direction=H","UseDPDF=Y")</f>
        <v>-1534</v>
      </c>
      <c r="I40" s="12">
        <f>_xll.BDH("WMT US Equity","CF_DVD_PAID","FQ1 2018","FQ1 2018","Currency=USD","Period=FQ","BEST_FPERIOD_OVERRIDE=FQ","FILING_STATUS=MR","SCALING_FORMAT=MLN","Sort=A","Dates=H","DateFormat=P","Fill=—","Direction=H","UseDPDF=Y")</f>
        <v>-1549</v>
      </c>
      <c r="J40" s="12">
        <f>_xll.BDH("WMT US Equity","CF_DVD_PAID","FQ2 2018","FQ2 2018","Currency=USD","Period=FQ","BEST_FPERIOD_OVERRIDE=FQ","FILING_STATUS=MR","SCALING_FORMAT=MLN","Sort=A","Dates=H","DateFormat=P","Fill=—","Direction=H","UseDPDF=Y")</f>
        <v>-1539</v>
      </c>
      <c r="K40" s="12">
        <f>_xll.BDH("WMT US Equity","CF_DVD_PAID","FQ3 2018","FQ3 2018","Currency=USD","Period=FQ","BEST_FPERIOD_OVERRIDE=FQ","FILING_STATUS=MR","SCALING_FORMAT=MLN","Sort=A","Dates=H","DateFormat=P","Fill=—","Direction=H","UseDPDF=Y")</f>
        <v>-1526</v>
      </c>
      <c r="L40" s="12">
        <f>_xll.BDH("WMT US Equity","CF_DVD_PAID","FQ4 2018","FQ4 2018","Currency=USD","Period=FQ","BEST_FPERIOD_OVERRIDE=FQ","FILING_STATUS=MR","SCALING_FORMAT=MLN","Sort=A","Dates=H","DateFormat=P","Fill=—","Direction=H","UseDPDF=Y")</f>
        <v>-1510</v>
      </c>
      <c r="M40" s="12">
        <f>_xll.BDH("WMT US Equity","CF_DVD_PAID","FQ1 2019","FQ1 2019","Currency=USD","Period=FQ","BEST_FPERIOD_OVERRIDE=FQ","FILING_STATUS=MR","SCALING_FORMAT=MLN","Sort=A","Dates=H","DateFormat=P","Fill=—","Direction=H","UseDPDF=Y")</f>
        <v>-1533</v>
      </c>
      <c r="N40" s="12">
        <f>_xll.BDH("WMT US Equity","CF_DVD_PAID","FQ2 2019","FQ2 2019","Currency=USD","Period=FQ","BEST_FPERIOD_OVERRIDE=FQ","FILING_STATUS=MR","SCALING_FORMAT=MLN","Sort=A","Dates=H","DateFormat=P","Fill=—","Direction=H","UseDPDF=Y")</f>
        <v>-1534</v>
      </c>
      <c r="O40" s="12">
        <f>_xll.BDH("WMT US Equity","CF_DVD_PAID","FQ3 2019","FQ3 2019","Currency=USD","Period=FQ","BEST_FPERIOD_OVERRIDE=FQ","FILING_STATUS=MR","SCALING_FORMAT=MLN","Sort=A","Dates=H","DateFormat=P","Fill=—","Direction=H","UseDPDF=Y")</f>
        <v>-1530</v>
      </c>
      <c r="P40" s="12">
        <f>_xll.BDH("WMT US Equity","CF_DVD_PAID","FQ4 2019","FQ4 2019","Currency=USD","Period=FQ","BEST_FPERIOD_OVERRIDE=FQ","FILING_STATUS=MR","SCALING_FORMAT=MLN","Sort=A","Dates=H","DateFormat=P","Fill=—","Direction=H","UseDPDF=Y")</f>
        <v>-1505</v>
      </c>
      <c r="Q40" s="12">
        <f>_xll.BDH("WMT US Equity","CF_DVD_PAID","FQ1 2020","FQ1 2020","Currency=USD","Period=FQ","BEST_FPERIOD_OVERRIDE=FQ","FILING_STATUS=MR","SCALING_FORMAT=MLN","Sort=A","Dates=H","DateFormat=P","Fill=—","Direction=H","UseDPDF=Y")</f>
        <v>-1520</v>
      </c>
      <c r="R40" s="12">
        <f>_xll.BDH("WMT US Equity","CF_DVD_PAID","FQ2 2020","FQ2 2020","Currency=USD","Period=FQ","BEST_FPERIOD_OVERRIDE=FQ","FILING_STATUS=MR","SCALING_FORMAT=MLN","Sort=A","Dates=H","DateFormat=P","Fill=—","Direction=H","UseDPDF=Y")</f>
        <v>-1516</v>
      </c>
      <c r="S40" s="12">
        <f>_xll.BDH("WMT US Equity","CF_DVD_PAID","FQ3 2020","FQ3 2020","Currency=USD","Period=FQ","BEST_FPERIOD_OVERRIDE=FQ","FILING_STATUS=MR","SCALING_FORMAT=MLN","Sort=A","Dates=H","DateFormat=P","Fill=—","Direction=H","UseDPDF=Y")</f>
        <v>-1509</v>
      </c>
      <c r="T40" s="12">
        <f>_xll.BDH("WMT US Equity","CF_DVD_PAID","FQ4 2020","FQ4 2020","Currency=USD","Period=FQ","BEST_FPERIOD_OVERRIDE=FQ","FILING_STATUS=MR","SCALING_FORMAT=MLN","Sort=A","Dates=H","DateFormat=P","Fill=—","Direction=H","UseDPDF=Y")</f>
        <v>-1503</v>
      </c>
      <c r="U40" s="12">
        <f>_xll.BDH("WMT US Equity","CF_DVD_PAID","FQ1 2021","FQ1 2021","Currency=USD","Period=FQ","BEST_FPERIOD_OVERRIDE=FQ","FILING_STATUS=MR","SCALING_FORMAT=MLN","Sort=A","Dates=H","DateFormat=P","Fill=—","Direction=H","UseDPDF=Y")</f>
        <v>-1529</v>
      </c>
      <c r="V40" s="12">
        <f>_xll.BDH("WMT US Equity","CF_DVD_PAID","FQ2 2021","FQ2 2021","Currency=USD","Period=FQ","BEST_FPERIOD_OVERRIDE=FQ","FILING_STATUS=MR","SCALING_FORMAT=MLN","Sort=A","Dates=H","DateFormat=P","Fill=—","Direction=H","UseDPDF=Y")</f>
        <v>-1529</v>
      </c>
      <c r="W40" s="12">
        <f>_xll.BDH("WMT US Equity","CF_DVD_PAID","FQ3 2021","FQ3 2021","Currency=USD","Period=FQ","BEST_FPERIOD_OVERRIDE=FQ","FILING_STATUS=MR","SCALING_FORMAT=MLN","Sort=A","Dates=H","DateFormat=P","Fill=—","Direction=H","UseDPDF=Y")</f>
        <v>-1524</v>
      </c>
      <c r="X40" s="12">
        <f>_xll.BDH("WMT US Equity","CF_DVD_PAID","FQ4 2021","FQ4 2021","Currency=USD","Period=FQ","BEST_FPERIOD_OVERRIDE=FQ","FILING_STATUS=MR","SCALING_FORMAT=MLN","Sort=A","Dates=H","DateFormat=P","Fill=—","Direction=H","UseDPDF=Y")</f>
        <v>-1534</v>
      </c>
      <c r="Y40" s="12">
        <f>_xll.BDH("WMT US Equity","CF_DVD_PAID","FQ1 2022","FQ1 2022","Currency=USD","Period=FQ","BEST_FPERIOD_OVERRIDE=FQ","FILING_STATUS=MR","SCALING_FORMAT=MLN","Sort=A","Dates=H","DateFormat=P","Fill=—","Direction=H","UseDPDF=Y")</f>
        <v>-1549</v>
      </c>
      <c r="Z40" s="12">
        <f>_xll.BDH("WMT US Equity","CF_DVD_PAID","FQ2 2022","FQ2 2022","Currency=USD","Period=FQ","BEST_FPERIOD_OVERRIDE=FQ","FILING_STATUS=MR","SCALING_FORMAT=MLN","Sort=A","Dates=H","DateFormat=P","Fill=—","Direction=H","UseDPDF=Y")</f>
        <v>-1542</v>
      </c>
      <c r="AA40" s="12">
        <f>_xll.BDH("WMT US Equity","CF_DVD_PAID","FQ3 2022","FQ3 2022","Currency=USD","Period=FQ","BEST_FPERIOD_OVERRIDE=FQ","FILING_STATUS=MR","SCALING_FORMAT=MLN","Sort=A","Dates=H","DateFormat=P","Fill=—","Direction=H","UseDPDF=Y")</f>
        <v>-1536</v>
      </c>
      <c r="AB40" s="12">
        <f>_xll.BDH("WMT US Equity","CF_DVD_PAID","FQ4 2022","FQ4 2022","Currency=USD","Period=FQ","BEST_FPERIOD_OVERRIDE=FQ","FILING_STATUS=MR","SCALING_FORMAT=MLN","Sort=A","Dates=H","DateFormat=P","Fill=—","Direction=H","UseDPDF=Y")</f>
        <v>-1525</v>
      </c>
      <c r="AC40" s="12">
        <f>_xll.BDH("WMT US Equity","CF_DVD_PAID","FQ1 2023","FQ1 2023","Currency=USD","Period=FQ","BEST_FPERIOD_OVERRIDE=FQ","FILING_STATUS=MR","SCALING_FORMAT=MLN","Sort=A","Dates=H","DateFormat=P","Fill=—","Direction=H","UseDPDF=Y")</f>
        <v>-1543</v>
      </c>
      <c r="AD40" s="12">
        <f>_xll.BDH("WMT US Equity","CF_DVD_PAID","FQ2 2023","FQ2 2023","Currency=USD","Period=FQ","BEST_FPERIOD_OVERRIDE=FQ","FILING_STATUS=MR","SCALING_FORMAT=MLN","Sort=A","Dates=H","DateFormat=P","Fill=—","Direction=H","UseDPDF=Y")</f>
        <v>-1538</v>
      </c>
      <c r="AE40" s="12">
        <f>_xll.BDH("WMT US Equity","CF_DVD_PAID","FQ3 2023","FQ3 2023","Currency=USD","Period=FQ","BEST_FPERIOD_OVERRIDE=FQ","FILING_STATUS=MR","SCALING_FORMAT=MLN","Sort=A","Dates=H","DateFormat=P","Fill=—","Direction=H","UseDPDF=Y")</f>
        <v>-1519</v>
      </c>
      <c r="AF40" s="12">
        <f>_xll.BDH("WMT US Equity","CF_DVD_PAID","FQ4 2023","FQ4 2023","Currency=USD","Period=FQ","BEST_FPERIOD_OVERRIDE=FQ","FILING_STATUS=MR","SCALING_FORMAT=MLN","Sort=A","Dates=H","DateFormat=P","Fill=—","Direction=H","UseDPDF=Y")</f>
        <v>-1514</v>
      </c>
      <c r="AG40" s="12">
        <f>_xll.BDH("WMT US Equity","CF_DVD_PAID","FQ1 2024","FQ1 2024","Currency=USD","Period=FQ","BEST_FPERIOD_OVERRIDE=FQ","FILING_STATUS=MR","SCALING_FORMAT=MLN","Sort=A","Dates=H","DateFormat=P","Fill=—","Direction=H","UseDPDF=Y")</f>
        <v>-1538</v>
      </c>
      <c r="AH40" s="12">
        <f>_xll.BDH("WMT US Equity","CF_DVD_PAID","FQ2 2024","FQ2 2024","Currency=USD","Period=FQ","BEST_FPERIOD_OVERRIDE=FQ","FILING_STATUS=MR","SCALING_FORMAT=MLN","Sort=A","Dates=H","DateFormat=P","Fill=—","Direction=H","UseDPDF=Y")</f>
        <v>-1534</v>
      </c>
      <c r="AI40" s="12">
        <f>_xll.BDH("WMT US Equity","CF_DVD_PAID","FQ3 2024","FQ3 2024","Currency=USD","Period=FQ","BEST_FPERIOD_OVERRIDE=FQ","FILING_STATUS=MR","SCALING_FORMAT=MLN","Sort=A","Dates=H","DateFormat=P","Fill=—","Direction=H","UseDPDF=Y")</f>
        <v>-1534</v>
      </c>
      <c r="AJ40" s="12">
        <f>_xll.BDH("WMT US Equity","CF_DVD_PAID","FQ4 2024","FQ4 2024","Currency=USD","Period=FQ","BEST_FPERIOD_OVERRIDE=FQ","FILING_STATUS=MR","SCALING_FORMAT=MLN","Sort=A","Dates=H","DateFormat=P","Fill=—","Direction=H","UseDPDF=Y")</f>
        <v>-1534</v>
      </c>
      <c r="AK40" s="12">
        <f>_xll.BDH("WMT US Equity","CF_DVD_PAID","FQ1 2025","FQ1 2025","Currency=USD","Period=FQ","BEST_FPERIOD_OVERRIDE=FQ","FILING_STATUS=MR","SCALING_FORMAT=MLN","Sort=A","Dates=H","DateFormat=P","Fill=—","Direction=H","UseDPDF=Y")</f>
        <v>-1671</v>
      </c>
      <c r="AL40" s="12">
        <f>_xll.BDH("WMT US Equity","CF_DVD_PAID","FQ2 2025","FQ2 2025","Currency=USD","Period=FQ","BEST_FPERIOD_OVERRIDE=FQ","FILING_STATUS=MR","SCALING_FORMAT=MLN","Sort=A","Dates=H","DateFormat=P","Fill=—","Direction=H","UseDPDF=Y")</f>
        <v>-1665</v>
      </c>
      <c r="AM40" s="12">
        <f>_xll.BDH("WMT US Equity","CF_DVD_PAID","FQ3 2025","FQ3 2025","Currency=USD","Period=FQ","BEST_FPERIOD_OVERRIDE=FQ","FILING_STATUS=MR","SCALING_FORMAT=MLN","Sort=A","Dates=H","DateFormat=P","Fill=—","Direction=H","UseDPDF=Y")</f>
        <v>-1668</v>
      </c>
      <c r="AN40" s="12">
        <f>_xll.BDH("WMT US Equity","CF_DVD_PAID","FQ4 2025","FQ4 2025","Currency=USD","Period=FQ","BEST_FPERIOD_OVERRIDE=FQ","FILING_STATUS=MR","SCALING_FORMAT=MLN","Sort=A","Dates=H","DateFormat=P","Fill=—","Direction=H","UseDPDF=Y")</f>
        <v>-1684</v>
      </c>
      <c r="AO40" s="12">
        <f>_xll.BDH("WMT US Equity","CF_DVD_PAID","FQ1 2026","FQ1 2026","Currency=USD","Period=FQ","BEST_FPERIOD_OVERRIDE=FQ","FILING_STATUS=MR","SCALING_FORMAT=MLN","Sort=A","Dates=H","DateFormat=P","Fill=—","Direction=H","UseDPDF=Y")</f>
        <v>-1880</v>
      </c>
      <c r="AP40" s="12">
        <f>_xll.BDH("WMT US Equity","CF_DVD_PAID","FQ2 2026","FQ2 2026","Currency=USD","Period=FQ","BEST_FPERIOD_OVERRIDE=FQ","FILING_STATUS=MR","SCALING_FORMAT=MLN","Sort=A","Dates=H","DateFormat=P","Fill=—","Direction=H","UseDPDF=Y")</f>
        <v>-1875</v>
      </c>
    </row>
    <row r="41" spans="1:42" x14ac:dyDescent="0.3">
      <c r="A41" s="10" t="s">
        <v>177</v>
      </c>
      <c r="B41" s="10" t="s">
        <v>117</v>
      </c>
      <c r="C41" s="12">
        <f>_xll.BDH("WMT US Equity","PROC_FR_REPAYMNTS_BOR_DETAILED","FQ3 2016","FQ3 2016","Currency=USD","Period=FQ","BEST_FPERIOD_OVERRIDE=FQ","FILING_STATUS=MR","SCALING_FORMAT=MLN","Sort=A","Dates=H","DateFormat=P","Fill=—","Direction=H","UseDPDF=Y")</f>
        <v>1999</v>
      </c>
      <c r="D41" s="12">
        <f>_xll.BDH("WMT US Equity","PROC_FR_REPAYMNTS_BOR_DETAILED","FQ4 2016","FQ4 2016","Currency=USD","Period=FQ","BEST_FPERIOD_OVERRIDE=FQ","FILING_STATUS=MR","SCALING_FORMAT=MLN","Sort=A","Dates=H","DateFormat=P","Fill=—","Direction=H","UseDPDF=Y")</f>
        <v>-2314</v>
      </c>
      <c r="E41" s="12">
        <f>_xll.BDH("WMT US Equity","PROC_FR_REPAYMNTS_BOR_DETAILED","FQ1 2017","FQ1 2017","Currency=USD","Period=FQ","BEST_FPERIOD_OVERRIDE=FQ","FILING_STATUS=MR","SCALING_FORMAT=MLN","Sort=A","Dates=H","DateFormat=P","Fill=—","Direction=H","UseDPDF=Y")</f>
        <v>-821</v>
      </c>
      <c r="F41" s="12">
        <f>_xll.BDH("WMT US Equity","PROC_FR_REPAYMNTS_BOR_DETAILED","FQ2 2017","FQ2 2017","Currency=USD","Period=FQ","BEST_FPERIOD_OVERRIDE=FQ","FILING_STATUS=MR","SCALING_FORMAT=MLN","Sort=A","Dates=H","DateFormat=P","Fill=—","Direction=H","UseDPDF=Y")</f>
        <v>-1932</v>
      </c>
      <c r="G41" s="12">
        <f>_xll.BDH("WMT US Equity","PROC_FR_REPAYMNTS_BOR_DETAILED","FQ3 2017","FQ3 2017","Currency=USD","Period=FQ","BEST_FPERIOD_OVERRIDE=FQ","FILING_STATUS=MR","SCALING_FORMAT=MLN","Sort=A","Dates=H","DateFormat=P","Fill=—","Direction=H","UseDPDF=Y")</f>
        <v>3149</v>
      </c>
      <c r="H41" s="12">
        <f>_xll.BDH("WMT US Equity","PROC_FR_REPAYMNTS_BOR_DETAILED","FQ4 2017","FQ4 2017","Currency=USD","Period=FQ","BEST_FPERIOD_OVERRIDE=FQ","FILING_STATUS=MR","SCALING_FORMAT=MLN","Sort=A","Dates=H","DateFormat=P","Fill=—","Direction=H","UseDPDF=Y")</f>
        <v>-3987</v>
      </c>
      <c r="I41" s="12">
        <f>_xll.BDH("WMT US Equity","PROC_FR_REPAYMNTS_BOR_DETAILED","FQ1 2018","FQ1 2018","Currency=USD","Period=FQ","BEST_FPERIOD_OVERRIDE=FQ","FILING_STATUS=MR","SCALING_FORMAT=MLN","Sort=A","Dates=H","DateFormat=P","Fill=—","Direction=H","UseDPDF=Y")</f>
        <v>-31</v>
      </c>
      <c r="J41" s="12">
        <f>_xll.BDH("WMT US Equity","PROC_FR_REPAYMNTS_BOR_DETAILED","FQ2 2018","FQ2 2018","Currency=USD","Period=FQ","BEST_FPERIOD_OVERRIDE=FQ","FILING_STATUS=MR","SCALING_FORMAT=MLN","Sort=A","Dates=H","DateFormat=P","Fill=—","Direction=H","UseDPDF=Y")</f>
        <v>278</v>
      </c>
      <c r="K41" s="12">
        <f>_xll.BDH("WMT US Equity","PROC_FR_REPAYMNTS_BOR_DETAILED","FQ3 2018","FQ3 2018","Currency=USD","Period=FQ","BEST_FPERIOD_OVERRIDE=FQ","FILING_STATUS=MR","SCALING_FORMAT=MLN","Sort=A","Dates=H","DateFormat=P","Fill=—","Direction=H","UseDPDF=Y")</f>
        <v>307</v>
      </c>
      <c r="L41" s="12">
        <f>_xll.BDH("WMT US Equity","PROC_FR_REPAYMNTS_BOR_DETAILED","FQ4 2018","FQ4 2018","Currency=USD","Period=FQ","BEST_FPERIOD_OVERRIDE=FQ","FILING_STATUS=MR","SCALING_FORMAT=MLN","Sort=A","Dates=H","DateFormat=P","Fill=—","Direction=H","UseDPDF=Y")</f>
        <v>-1991</v>
      </c>
      <c r="M41" s="12">
        <f>_xll.BDH("WMT US Equity","PROC_FR_REPAYMNTS_BOR_DETAILED","FQ1 2019","FQ1 2019","Currency=USD","Period=FQ","BEST_FPERIOD_OVERRIDE=FQ","FILING_STATUS=MR","SCALING_FORMAT=MLN","Sort=A","Dates=H","DateFormat=P","Fill=—","Direction=H","UseDPDF=Y")</f>
        <v>-20</v>
      </c>
      <c r="N41" s="12">
        <f>_xll.BDH("WMT US Equity","PROC_FR_REPAYMNTS_BOR_DETAILED","FQ2 2019","FQ2 2019","Currency=USD","Period=FQ","BEST_FPERIOD_OVERRIDE=FQ","FILING_STATUS=MR","SCALING_FORMAT=MLN","Sort=A","Dates=H","DateFormat=P","Fill=—","Direction=H","UseDPDF=Y")</f>
        <v>8060</v>
      </c>
      <c r="O41" s="12">
        <f>_xll.BDH("WMT US Equity","PROC_FR_REPAYMNTS_BOR_DETAILED","FQ3 2019","FQ3 2019","Currency=USD","Period=FQ","BEST_FPERIOD_OVERRIDE=FQ","FILING_STATUS=MR","SCALING_FORMAT=MLN","Sort=A","Dates=H","DateFormat=P","Fill=—","Direction=H","UseDPDF=Y")</f>
        <v>7372</v>
      </c>
      <c r="P41" s="12">
        <f>_xll.BDH("WMT US Equity","PROC_FR_REPAYMNTS_BOR_DETAILED","FQ4 2019","FQ4 2019","Currency=USD","Period=FQ","BEST_FPERIOD_OVERRIDE=FQ","FILING_STATUS=MR","SCALING_FORMAT=MLN","Sort=A","Dates=H","DateFormat=P","Fill=—","Direction=H","UseDPDF=Y")</f>
        <v>-3377</v>
      </c>
      <c r="Q41" s="12">
        <f>_xll.BDH("WMT US Equity","PROC_FR_REPAYMNTS_BOR_DETAILED","FQ1 2020","FQ1 2020","Currency=USD","Period=FQ","BEST_FPERIOD_OVERRIDE=FQ","FILING_STATUS=MR","SCALING_FORMAT=MLN","Sort=A","Dates=H","DateFormat=P","Fill=—","Direction=H","UseDPDF=Y")</f>
        <v>3215</v>
      </c>
      <c r="R41" s="12">
        <f>_xll.BDH("WMT US Equity","PROC_FR_REPAYMNTS_BOR_DETAILED","FQ2 2020","FQ2 2020","Currency=USD","Period=FQ","BEST_FPERIOD_OVERRIDE=FQ","FILING_STATUS=MR","SCALING_FORMAT=MLN","Sort=A","Dates=H","DateFormat=P","Fill=—","Direction=H","UseDPDF=Y")</f>
        <v>-1166</v>
      </c>
      <c r="S41" s="12">
        <f>_xll.BDH("WMT US Equity","PROC_FR_REPAYMNTS_BOR_DETAILED","FQ3 2020","FQ3 2020","Currency=USD","Period=FQ","BEST_FPERIOD_OVERRIDE=FQ","FILING_STATUS=MR","SCALING_FORMAT=MLN","Sort=A","Dates=H","DateFormat=P","Fill=—","Direction=H","UseDPDF=Y")</f>
        <v>1254</v>
      </c>
      <c r="T41" s="12">
        <f>_xll.BDH("WMT US Equity","PROC_FR_REPAYMNTS_BOR_DETAILED","FQ4 2020","FQ4 2020","Currency=USD","Period=FQ","BEST_FPERIOD_OVERRIDE=FQ","FILING_STATUS=MR","SCALING_FORMAT=MLN","Sort=A","Dates=H","DateFormat=P","Fill=—","Direction=H","UseDPDF=Y")</f>
        <v>-4374</v>
      </c>
      <c r="U41" s="12">
        <f>_xll.BDH("WMT US Equity","PROC_FR_REPAYMNTS_BOR_DETAILED","FQ1 2021","FQ1 2021","Currency=USD","Period=FQ","BEST_FPERIOD_OVERRIDE=FQ","FILING_STATUS=MR","SCALING_FORMAT=MLN","Sort=A","Dates=H","DateFormat=P","Fill=—","Direction=H","UseDPDF=Y")</f>
        <v>3542</v>
      </c>
      <c r="V41" s="12">
        <f>_xll.BDH("WMT US Equity","PROC_FR_REPAYMNTS_BOR_DETAILED","FQ2 2021","FQ2 2021","Currency=USD","Period=FQ","BEST_FPERIOD_OVERRIDE=FQ","FILING_STATUS=MR","SCALING_FORMAT=MLN","Sort=A","Dates=H","DateFormat=P","Fill=—","Direction=H","UseDPDF=Y")</f>
        <v>-6657</v>
      </c>
      <c r="W41" s="12">
        <f>_xll.BDH("WMT US Equity","PROC_FR_REPAYMNTS_BOR_DETAILED","FQ3 2021","FQ3 2021","Currency=USD","Period=FQ","BEST_FPERIOD_OVERRIDE=FQ","FILING_STATUS=MR","SCALING_FORMAT=MLN","Sort=A","Dates=H","DateFormat=P","Fill=—","Direction=H","UseDPDF=Y")</f>
        <v>-1318</v>
      </c>
      <c r="X41" s="12">
        <f>_xll.BDH("WMT US Equity","PROC_FR_REPAYMNTS_BOR_DETAILED","FQ4 2021","FQ4 2021","Currency=USD","Period=FQ","BEST_FPERIOD_OVERRIDE=FQ","FILING_STATUS=MR","SCALING_FORMAT=MLN","Sort=A","Dates=H","DateFormat=P","Fill=—","Direction=H","UseDPDF=Y")</f>
        <v>-1273</v>
      </c>
      <c r="Y41" s="12">
        <f>_xll.BDH("WMT US Equity","PROC_FR_REPAYMNTS_BOR_DETAILED","FQ1 2022","FQ1 2022","Currency=USD","Period=FQ","BEST_FPERIOD_OVERRIDE=FQ","FILING_STATUS=MR","SCALING_FORMAT=MLN","Sort=A","Dates=H","DateFormat=P","Fill=—","Direction=H","UseDPDF=Y")</f>
        <v>-372</v>
      </c>
      <c r="Z41" s="12">
        <f>_xll.BDH("WMT US Equity","PROC_FR_REPAYMNTS_BOR_DETAILED","FQ2 2022","FQ2 2022","Currency=USD","Period=FQ","BEST_FPERIOD_OVERRIDE=FQ","FILING_STATUS=MR","SCALING_FORMAT=MLN","Sort=A","Dates=H","DateFormat=P","Fill=—","Direction=H","UseDPDF=Y")</f>
        <v>-2197</v>
      </c>
      <c r="AA41" s="12">
        <f>_xll.BDH("WMT US Equity","PROC_FR_REPAYMNTS_BOR_DETAILED","FQ3 2022","FQ3 2022","Currency=USD","Period=FQ","BEST_FPERIOD_OVERRIDE=FQ","FILING_STATUS=MR","SCALING_FORMAT=MLN","Sort=A","Dates=H","DateFormat=P","Fill=—","Direction=H","UseDPDF=Y")</f>
        <v>-3268</v>
      </c>
      <c r="AB41" s="12">
        <f>_xll.BDH("WMT US Equity","PROC_FR_REPAYMNTS_BOR_DETAILED","FQ4 2022","FQ4 2022","Currency=USD","Period=FQ","BEST_FPERIOD_OVERRIDE=FQ","FILING_STATUS=MR","SCALING_FORMAT=MLN","Sort=A","Dates=H","DateFormat=P","Fill=—","Direction=H","UseDPDF=Y")</f>
        <v>-35</v>
      </c>
      <c r="AC41" s="12">
        <f>_xll.BDH("WMT US Equity","PROC_FR_REPAYMNTS_BOR_DETAILED","FQ1 2023","FQ1 2023","Currency=USD","Period=FQ","BEST_FPERIOD_OVERRIDE=FQ","FILING_STATUS=MR","SCALING_FORMAT=MLN","Sort=A","Dates=H","DateFormat=P","Fill=—","Direction=H","UseDPDF=Y")</f>
        <v>10069</v>
      </c>
      <c r="AD41" s="12">
        <f>_xll.BDH("WMT US Equity","PROC_FR_REPAYMNTS_BOR_DETAILED","FQ2 2023","FQ2 2023","Currency=USD","Period=FQ","BEST_FPERIOD_OVERRIDE=FQ","FILING_STATUS=MR","SCALING_FORMAT=MLN","Sort=A","Dates=H","DateFormat=P","Fill=—","Direction=H","UseDPDF=Y")</f>
        <v>-1278</v>
      </c>
      <c r="AE41" s="12">
        <f>_xll.BDH("WMT US Equity","PROC_FR_REPAYMNTS_BOR_DETAILED","FQ3 2023","FQ3 2023","Currency=USD","Period=FQ","BEST_FPERIOD_OVERRIDE=FQ","FILING_STATUS=MR","SCALING_FORMAT=MLN","Sort=A","Dates=H","DateFormat=P","Fill=—","Direction=H","UseDPDF=Y")</f>
        <v>1190</v>
      </c>
      <c r="AF41" s="12">
        <f>_xll.BDH("WMT US Equity","PROC_FR_REPAYMNTS_BOR_DETAILED","FQ4 2023","FQ4 2023","Currency=USD","Period=FQ","BEST_FPERIOD_OVERRIDE=FQ","FILING_STATUS=MR","SCALING_FORMAT=MLN","Sort=A","Dates=H","DateFormat=P","Fill=—","Direction=H","UseDPDF=Y")</f>
        <v>-7663</v>
      </c>
      <c r="AG41" s="12">
        <f>_xll.BDH("WMT US Equity","PROC_FR_REPAYMNTS_BOR_DETAILED","FQ1 2024","FQ1 2024","Currency=USD","Period=FQ","BEST_FPERIOD_OVERRIDE=FQ","FILING_STATUS=MR","SCALING_FORMAT=MLN","Sort=A","Dates=H","DateFormat=P","Fill=—","Direction=H","UseDPDF=Y")</f>
        <v>4526</v>
      </c>
      <c r="AH41" s="12">
        <f>_xll.BDH("WMT US Equity","PROC_FR_REPAYMNTS_BOR_DETAILED","FQ2 2024","FQ2 2024","Currency=USD","Period=FQ","BEST_FPERIOD_OVERRIDE=FQ","FILING_STATUS=MR","SCALING_FORMAT=MLN","Sort=A","Dates=H","DateFormat=P","Fill=—","Direction=H","UseDPDF=Y")</f>
        <v>559</v>
      </c>
      <c r="AI41" s="12">
        <f>_xll.BDH("WMT US Equity","PROC_FR_REPAYMNTS_BOR_DETAILED","FQ3 2024","FQ3 2024","Currency=USD","Period=FQ","BEST_FPERIOD_OVERRIDE=FQ","FILING_STATUS=MR","SCALING_FORMAT=MLN","Sort=A","Dates=H","DateFormat=P","Fill=—","Direction=H","UseDPDF=Y")</f>
        <v>5252</v>
      </c>
      <c r="AJ41" s="12">
        <f>_xll.BDH("WMT US Equity","PROC_FR_REPAYMNTS_BOR_DETAILED","FQ4 2024","FQ4 2024","Currency=USD","Period=FQ","BEST_FPERIOD_OVERRIDE=FQ","FILING_STATUS=MR","SCALING_FORMAT=MLN","Sort=A","Dates=H","DateFormat=P","Fill=—","Direction=H","UseDPDF=Y")</f>
        <v>-9075</v>
      </c>
      <c r="AK41" s="12">
        <f>_xll.BDH("WMT US Equity","PROC_FR_REPAYMNTS_BOR_DETAILED","FQ1 2025","FQ1 2025","Currency=USD","Period=FQ","BEST_FPERIOD_OVERRIDE=FQ","FILING_STATUS=MR","SCALING_FORMAT=MLN","Sort=A","Dates=H","DateFormat=P","Fill=—","Direction=H","UseDPDF=Y")</f>
        <v>3011</v>
      </c>
      <c r="AL41" s="12">
        <f>_xll.BDH("WMT US Equity","PROC_FR_REPAYMNTS_BOR_DETAILED","FQ2 2025","FQ2 2025","Currency=USD","Period=FQ","BEST_FPERIOD_OVERRIDE=FQ","FILING_STATUS=MR","SCALING_FORMAT=MLN","Sort=A","Dates=H","DateFormat=P","Fill=—","Direction=H","UseDPDF=Y")</f>
        <v>-3513</v>
      </c>
      <c r="AM41" s="12">
        <f>_xll.BDH("WMT US Equity","PROC_FR_REPAYMNTS_BOR_DETAILED","FQ3 2025","FQ3 2025","Currency=USD","Period=FQ","BEST_FPERIOD_OVERRIDE=FQ","FILING_STATUS=MR","SCALING_FORMAT=MLN","Sort=A","Dates=H","DateFormat=P","Fill=—","Direction=H","UseDPDF=Y")</f>
        <v>365</v>
      </c>
      <c r="AN41" s="12">
        <f>_xll.BDH("WMT US Equity","PROC_FR_REPAYMNTS_BOR_DETAILED","FQ4 2025","FQ4 2025","Currency=USD","Period=FQ","BEST_FPERIOD_OVERRIDE=FQ","FILING_STATUS=MR","SCALING_FORMAT=MLN","Sort=A","Dates=H","DateFormat=P","Fill=—","Direction=H","UseDPDF=Y")</f>
        <v>-1119</v>
      </c>
      <c r="AO41" s="12">
        <f>_xll.BDH("WMT US Equity","PROC_FR_REPAYMNTS_BOR_DETAILED","FQ1 2026","FQ1 2026","Currency=USD","Period=FQ","BEST_FPERIOD_OVERRIDE=FQ","FILING_STATUS=MR","SCALING_FORMAT=MLN","Sort=A","Dates=H","DateFormat=P","Fill=—","Direction=H","UseDPDF=Y")</f>
        <v>6504</v>
      </c>
      <c r="AP41" s="12">
        <f>_xll.BDH("WMT US Equity","PROC_FR_REPAYMNTS_BOR_DETAILED","FQ2 2026","FQ2 2026","Currency=USD","Period=FQ","BEST_FPERIOD_OVERRIDE=FQ","FILING_STATUS=MR","SCALING_FORMAT=MLN","Sort=A","Dates=H","DateFormat=P","Fill=—","Direction=H","UseDPDF=Y")</f>
        <v>-2637</v>
      </c>
    </row>
    <row r="42" spans="1:42" x14ac:dyDescent="0.3">
      <c r="A42" s="10" t="s">
        <v>178</v>
      </c>
      <c r="B42" s="10" t="s">
        <v>118</v>
      </c>
      <c r="C42" s="12">
        <f>_xll.BDH("WMT US Equity","CF_NET_CHG_ST_DEBT_CPTL_LEAS","FQ3 2016","FQ3 2016","Currency=USD","Period=FQ","BEST_FPERIOD_OVERRIDE=FQ","FILING_STATUS=MR","SCALING_FORMAT=MLN","Sort=A","Dates=H","DateFormat=P","Fill=—","Direction=H","UseDPDF=Y")</f>
        <v>3263</v>
      </c>
      <c r="D42" s="12" t="str">
        <f>_xll.BDH("WMT US Equity","CF_NET_CHG_ST_DEBT_CPTL_LEAS","FQ4 2016","FQ4 2016","Currency=USD","Period=FQ","BEST_FPERIOD_OVERRIDE=FQ","FILING_STATUS=MR","SCALING_FORMAT=MLN","Sort=A","Dates=H","DateFormat=P","Fill=—","Direction=H","UseDPDF=Y")</f>
        <v>—</v>
      </c>
      <c r="E42" s="12">
        <f>_xll.BDH("WMT US Equity","CF_NET_CHG_ST_DEBT_CPTL_LEAS","FQ1 2017","FQ1 2017","Currency=USD","Period=FQ","BEST_FPERIOD_OVERRIDE=FQ","FILING_STATUS=MR","SCALING_FORMAT=MLN","Sort=A","Dates=H","DateFormat=P","Fill=—","Direction=H","UseDPDF=Y")</f>
        <v>1065</v>
      </c>
      <c r="F42" s="12">
        <f>_xll.BDH("WMT US Equity","CF_NET_CHG_ST_DEBT_CPTL_LEAS","FQ2 2017","FQ2 2017","Currency=USD","Period=FQ","BEST_FPERIOD_OVERRIDE=FQ","FILING_STATUS=MR","SCALING_FORMAT=MLN","Sort=A","Dates=H","DateFormat=P","Fill=—","Direction=H","UseDPDF=Y")</f>
        <v>-1922</v>
      </c>
      <c r="G42" s="12">
        <f>_xll.BDH("WMT US Equity","CF_NET_CHG_ST_DEBT_CPTL_LEAS","FQ3 2017","FQ3 2017","Currency=USD","Period=FQ","BEST_FPERIOD_OVERRIDE=FQ","FILING_STATUS=MR","SCALING_FORMAT=MLN","Sort=A","Dates=H","DateFormat=P","Fill=—","Direction=H","UseDPDF=Y")</f>
        <v>3159</v>
      </c>
      <c r="H42" s="12">
        <f>_xll.BDH("WMT US Equity","CF_NET_CHG_ST_DEBT_CPTL_LEAS","FQ4 2017","FQ4 2017","Currency=USD","Period=FQ","BEST_FPERIOD_OVERRIDE=FQ","FILING_STATUS=MR","SCALING_FORMAT=MLN","Sort=A","Dates=H","DateFormat=P","Fill=—","Direction=H","UseDPDF=Y")</f>
        <v>-3975</v>
      </c>
      <c r="I42" s="12">
        <f>_xll.BDH("WMT US Equity","CF_NET_CHG_ST_DEBT_CPTL_LEAS","FQ1 2018","FQ1 2018","Currency=USD","Period=FQ","BEST_FPERIOD_OVERRIDE=FQ","FILING_STATUS=MR","SCALING_FORMAT=MLN","Sort=A","Dates=H","DateFormat=P","Fill=—","Direction=H","UseDPDF=Y")</f>
        <v>1482</v>
      </c>
      <c r="J42" s="12">
        <f>_xll.BDH("WMT US Equity","CF_NET_CHG_ST_DEBT_CPTL_LEAS","FQ2 2018","FQ2 2018","Currency=USD","Period=FQ","BEST_FPERIOD_OVERRIDE=FQ","FILING_STATUS=MR","SCALING_FORMAT=MLN","Sort=A","Dates=H","DateFormat=P","Fill=—","Direction=H","UseDPDF=Y")</f>
        <v>662</v>
      </c>
      <c r="K42" s="12">
        <f>_xll.BDH("WMT US Equity","CF_NET_CHG_ST_DEBT_CPTL_LEAS","FQ3 2018","FQ3 2018","Currency=USD","Period=FQ","BEST_FPERIOD_OVERRIDE=FQ","FILING_STATUS=MR","SCALING_FORMAT=MLN","Sort=A","Dates=H","DateFormat=P","Fill=—","Direction=H","UseDPDF=Y")</f>
        <v>1860</v>
      </c>
      <c r="L42" s="12">
        <f>_xll.BDH("WMT US Equity","CF_NET_CHG_ST_DEBT_CPTL_LEAS","FQ4 2018","FQ4 2018","Currency=USD","Period=FQ","BEST_FPERIOD_OVERRIDE=FQ","FILING_STATUS=MR","SCALING_FORMAT=MLN","Sort=A","Dates=H","DateFormat=P","Fill=—","Direction=H","UseDPDF=Y")</f>
        <v>144</v>
      </c>
      <c r="M42" s="12">
        <f>_xll.BDH("WMT US Equity","CF_NET_CHG_ST_DEBT_CPTL_LEAS","FQ1 2019","FQ1 2019","Currency=USD","Period=FQ","BEST_FPERIOD_OVERRIDE=FQ","FILING_STATUS=MR","SCALING_FORMAT=MLN","Sort=A","Dates=H","DateFormat=P","Fill=—","Direction=H","UseDPDF=Y")</f>
        <v>2501</v>
      </c>
      <c r="N42" s="12">
        <f>_xll.BDH("WMT US Equity","CF_NET_CHG_ST_DEBT_CPTL_LEAS","FQ2 2019","FQ2 2019","Currency=USD","Period=FQ","BEST_FPERIOD_OVERRIDE=FQ","FILING_STATUS=MR","SCALING_FORMAT=MLN","Sort=A","Dates=H","DateFormat=P","Fill=—","Direction=H","UseDPDF=Y")</f>
        <v>-7262</v>
      </c>
      <c r="O42" s="12">
        <f>_xll.BDH("WMT US Equity","CF_NET_CHG_ST_DEBT_CPTL_LEAS","FQ3 2019","FQ3 2019","Currency=USD","Period=FQ","BEST_FPERIOD_OVERRIDE=FQ","FILING_STATUS=MR","SCALING_FORMAT=MLN","Sort=A","Dates=H","DateFormat=P","Fill=—","Direction=H","UseDPDF=Y")</f>
        <v>7372</v>
      </c>
      <c r="P42" s="12">
        <f>_xll.BDH("WMT US Equity","CF_NET_CHG_ST_DEBT_CPTL_LEAS","FQ4 2019","FQ4 2019","Currency=USD","Period=FQ","BEST_FPERIOD_OVERRIDE=FQ","FILING_STATUS=MR","SCALING_FORMAT=MLN","Sort=A","Dates=H","DateFormat=P","Fill=—","Direction=H","UseDPDF=Y")</f>
        <v>-2664</v>
      </c>
      <c r="Q42" s="12">
        <f>_xll.BDH("WMT US Equity","CF_NET_CHG_ST_DEBT_CPTL_LEAS","FQ1 2020","FQ1 2020","Currency=USD","Period=FQ","BEST_FPERIOD_OVERRIDE=FQ","FILING_STATUS=MR","SCALING_FORMAT=MLN","Sort=A","Dates=H","DateFormat=P","Fill=—","Direction=H","UseDPDF=Y")</f>
        <v>-399</v>
      </c>
      <c r="R42" s="12">
        <f>_xll.BDH("WMT US Equity","CF_NET_CHG_ST_DEBT_CPTL_LEAS","FQ2 2020","FQ2 2020","Currency=USD","Period=FQ","BEST_FPERIOD_OVERRIDE=FQ","FILING_STATUS=MR","SCALING_FORMAT=MLN","Sort=A","Dates=H","DateFormat=P","Fill=—","Direction=H","UseDPDF=Y")</f>
        <v>-1165</v>
      </c>
      <c r="S42" s="12">
        <f>_xll.BDH("WMT US Equity","CF_NET_CHG_ST_DEBT_CPTL_LEAS","FQ3 2020","FQ3 2020","Currency=USD","Period=FQ","BEST_FPERIOD_OVERRIDE=FQ","FILING_STATUS=MR","SCALING_FORMAT=MLN","Sort=A","Dates=H","DateFormat=P","Fill=—","Direction=H","UseDPDF=Y")</f>
        <v>1282</v>
      </c>
      <c r="T42" s="12">
        <f>_xll.BDH("WMT US Equity","CF_NET_CHG_ST_DEBT_CPTL_LEAS","FQ4 2020","FQ4 2020","Currency=USD","Period=FQ","BEST_FPERIOD_OVERRIDE=FQ","FILING_STATUS=MR","SCALING_FORMAT=MLN","Sort=A","Dates=H","DateFormat=P","Fill=—","Direction=H","UseDPDF=Y")</f>
        <v>-4374</v>
      </c>
      <c r="U42" s="12">
        <f>_xll.BDH("WMT US Equity","CF_NET_CHG_ST_DEBT_CPTL_LEAS","FQ1 2021","FQ1 2021","Currency=USD","Period=FQ","BEST_FPERIOD_OVERRIDE=FQ","FILING_STATUS=MR","SCALING_FORMAT=MLN","Sort=A","Dates=H","DateFormat=P","Fill=—","Direction=H","UseDPDF=Y")</f>
        <v>3542</v>
      </c>
      <c r="V42" s="12">
        <f>_xll.BDH("WMT US Equity","CF_NET_CHG_ST_DEBT_CPTL_LEAS","FQ2 2021","FQ2 2021","Currency=USD","Period=FQ","BEST_FPERIOD_OVERRIDE=FQ","FILING_STATUS=MR","SCALING_FORMAT=MLN","Sort=A","Dates=H","DateFormat=P","Fill=—","Direction=H","UseDPDF=Y")</f>
        <v>-3720</v>
      </c>
      <c r="W42" s="12">
        <f>_xll.BDH("WMT US Equity","CF_NET_CHG_ST_DEBT_CPTL_LEAS","FQ3 2021","FQ3 2021","Currency=USD","Period=FQ","BEST_FPERIOD_OVERRIDE=FQ","FILING_STATUS=MR","SCALING_FORMAT=MLN","Sort=A","Dates=H","DateFormat=P","Fill=—","Direction=H","UseDPDF=Y")</f>
        <v>-123</v>
      </c>
      <c r="X42" s="12">
        <f>_xll.BDH("WMT US Equity","CF_NET_CHG_ST_DEBT_CPTL_LEAS","FQ4 2021","FQ4 2021","Currency=USD","Period=FQ","BEST_FPERIOD_OVERRIDE=FQ","FILING_STATUS=MR","SCALING_FORMAT=MLN","Sort=A","Dates=H","DateFormat=P","Fill=—","Direction=H","UseDPDF=Y")</f>
        <v>-23</v>
      </c>
      <c r="Y42" s="12">
        <f>_xll.BDH("WMT US Equity","CF_NET_CHG_ST_DEBT_CPTL_LEAS","FQ1 2022","FQ1 2022","Currency=USD","Period=FQ","BEST_FPERIOD_OVERRIDE=FQ","FILING_STATUS=MR","SCALING_FORMAT=MLN","Sort=A","Dates=H","DateFormat=P","Fill=—","Direction=H","UseDPDF=Y")</f>
        <v>138</v>
      </c>
      <c r="Z42" s="12">
        <f>_xll.BDH("WMT US Equity","CF_NET_CHG_ST_DEBT_CPTL_LEAS","FQ2 2022","FQ2 2022","Currency=USD","Period=FQ","BEST_FPERIOD_OVERRIDE=FQ","FILING_STATUS=MR","SCALING_FORMAT=MLN","Sort=A","Dates=H","DateFormat=P","Fill=—","Direction=H","UseDPDF=Y")</f>
        <v>303</v>
      </c>
      <c r="AA42" s="12">
        <f>_xll.BDH("WMT US Equity","CF_NET_CHG_ST_DEBT_CPTL_LEAS","FQ3 2022","FQ3 2022","Currency=USD","Period=FQ","BEST_FPERIOD_OVERRIDE=FQ","FILING_STATUS=MR","SCALING_FORMAT=MLN","Sort=A","Dates=H","DateFormat=P","Fill=—","Direction=H","UseDPDF=Y")</f>
        <v>-213</v>
      </c>
      <c r="AB42" s="12">
        <f>_xll.BDH("WMT US Equity","CF_NET_CHG_ST_DEBT_CPTL_LEAS","FQ4 2022","FQ4 2022","Currency=USD","Period=FQ","BEST_FPERIOD_OVERRIDE=FQ","FILING_STATUS=MR","SCALING_FORMAT=MLN","Sort=A","Dates=H","DateFormat=P","Fill=—","Direction=H","UseDPDF=Y")</f>
        <v>-35</v>
      </c>
      <c r="AC42" s="12">
        <f>_xll.BDH("WMT US Equity","CF_NET_CHG_ST_DEBT_CPTL_LEAS","FQ1 2023","FQ1 2023","Currency=USD","Period=FQ","BEST_FPERIOD_OVERRIDE=FQ","FILING_STATUS=MR","SCALING_FORMAT=MLN","Sort=A","Dates=H","DateFormat=P","Fill=—","Direction=H","UseDPDF=Y")</f>
        <v>10995</v>
      </c>
      <c r="AD42" s="12">
        <f>_xll.BDH("WMT US Equity","CF_NET_CHG_ST_DEBT_CPTL_LEAS","FQ2 2023","FQ2 2023","Currency=USD","Period=FQ","BEST_FPERIOD_OVERRIDE=FQ","FILING_STATUS=MR","SCALING_FORMAT=MLN","Sort=A","Dates=H","DateFormat=P","Fill=—","Direction=H","UseDPDF=Y")</f>
        <v>-765</v>
      </c>
      <c r="AE42" s="12">
        <f>_xll.BDH("WMT US Equity","CF_NET_CHG_ST_DEBT_CPTL_LEAS","FQ3 2023","FQ3 2023","Currency=USD","Period=FQ","BEST_FPERIOD_OVERRIDE=FQ","FILING_STATUS=MR","SCALING_FORMAT=MLN","Sort=A","Dates=H","DateFormat=P","Fill=—","Direction=H","UseDPDF=Y")</f>
        <v>-3779</v>
      </c>
      <c r="AF42" s="12">
        <f>_xll.BDH("WMT US Equity","CF_NET_CHG_ST_DEBT_CPTL_LEAS","FQ4 2023","FQ4 2023","Currency=USD","Period=FQ","BEST_FPERIOD_OVERRIDE=FQ","FILING_STATUS=MR","SCALING_FORMAT=MLN","Sort=A","Dates=H","DateFormat=P","Fill=—","Direction=H","UseDPDF=Y")</f>
        <v>-6485</v>
      </c>
      <c r="AG42" s="12">
        <f>_xll.BDH("WMT US Equity","CF_NET_CHG_ST_DEBT_CPTL_LEAS","FQ1 2024","FQ1 2024","Currency=USD","Period=FQ","BEST_FPERIOD_OVERRIDE=FQ","FILING_STATUS=MR","SCALING_FORMAT=MLN","Sort=A","Dates=H","DateFormat=P","Fill=—","Direction=H","UseDPDF=Y")</f>
        <v>1343</v>
      </c>
      <c r="AH42" s="12">
        <f>_xll.BDH("WMT US Equity","CF_NET_CHG_ST_DEBT_CPTL_LEAS","FQ2 2024","FQ2 2024","Currency=USD","Period=FQ","BEST_FPERIOD_OVERRIDE=FQ","FILING_STATUS=MR","SCALING_FORMAT=MLN","Sort=A","Dates=H","DateFormat=P","Fill=—","Direction=H","UseDPDF=Y")</f>
        <v>2838</v>
      </c>
      <c r="AI42" s="12">
        <f>_xll.BDH("WMT US Equity","CF_NET_CHG_ST_DEBT_CPTL_LEAS","FQ3 2024","FQ3 2024","Currency=USD","Period=FQ","BEST_FPERIOD_OVERRIDE=FQ","FILING_STATUS=MR","SCALING_FORMAT=MLN","Sort=A","Dates=H","DateFormat=P","Fill=—","Direction=H","UseDPDF=Y")</f>
        <v>5402</v>
      </c>
      <c r="AJ42" s="12">
        <f>_xll.BDH("WMT US Equity","CF_NET_CHG_ST_DEBT_CPTL_LEAS","FQ4 2024","FQ4 2024","Currency=USD","Period=FQ","BEST_FPERIOD_OVERRIDE=FQ","FILING_STATUS=MR","SCALING_FORMAT=MLN","Sort=A","Dates=H","DateFormat=P","Fill=—","Direction=H","UseDPDF=Y")</f>
        <v>-9071</v>
      </c>
      <c r="AK42" s="12">
        <f>_xll.BDH("WMT US Equity","CF_NET_CHG_ST_DEBT_CPTL_LEAS","FQ1 2025","FQ1 2025","Currency=USD","Period=FQ","BEST_FPERIOD_OVERRIDE=FQ","FILING_STATUS=MR","SCALING_FORMAT=MLN","Sort=A","Dates=H","DateFormat=P","Fill=—","Direction=H","UseDPDF=Y")</f>
        <v>4585</v>
      </c>
      <c r="AL42" s="12">
        <f>_xll.BDH("WMT US Equity","CF_NET_CHG_ST_DEBT_CPTL_LEAS","FQ2 2025","FQ2 2025","Currency=USD","Period=FQ","BEST_FPERIOD_OVERRIDE=FQ","FILING_STATUS=MR","SCALING_FORMAT=MLN","Sort=A","Dates=H","DateFormat=P","Fill=—","Direction=H","UseDPDF=Y")</f>
        <v>-2270</v>
      </c>
      <c r="AM42" s="12">
        <f>_xll.BDH("WMT US Equity","CF_NET_CHG_ST_DEBT_CPTL_LEAS","FQ3 2025","FQ3 2025","Currency=USD","Period=FQ","BEST_FPERIOD_OVERRIDE=FQ","FILING_STATUS=MR","SCALING_FORMAT=MLN","Sort=A","Dates=H","DateFormat=P","Fill=—","Direction=H","UseDPDF=Y")</f>
        <v>365</v>
      </c>
      <c r="AN42" s="12">
        <f>_xll.BDH("WMT US Equity","CF_NET_CHG_ST_DEBT_CPTL_LEAS","FQ4 2025","FQ4 2025","Currency=USD","Period=FQ","BEST_FPERIOD_OVERRIDE=FQ","FILING_STATUS=MR","SCALING_FORMAT=MLN","Sort=A","Dates=H","DateFormat=P","Fill=—","Direction=H","UseDPDF=Y")</f>
        <v>-468</v>
      </c>
      <c r="AO42" s="12">
        <f>_xll.BDH("WMT US Equity","CF_NET_CHG_ST_DEBT_CPTL_LEAS","FQ1 2026","FQ1 2026","Currency=USD","Period=FQ","BEST_FPERIOD_OVERRIDE=FQ","FILING_STATUS=MR","SCALING_FORMAT=MLN","Sort=A","Dates=H","DateFormat=P","Fill=—","Direction=H","UseDPDF=Y")</f>
        <v>2521</v>
      </c>
      <c r="AP42" s="12">
        <f>_xll.BDH("WMT US Equity","CF_NET_CHG_ST_DEBT_CPTL_LEAS","FQ2 2026","FQ2 2026","Currency=USD","Period=FQ","BEST_FPERIOD_OVERRIDE=FQ","FILING_STATUS=MR","SCALING_FORMAT=MLN","Sort=A","Dates=H","DateFormat=P","Fill=—","Direction=H","UseDPDF=Y")</f>
        <v>-1762</v>
      </c>
    </row>
    <row r="43" spans="1:42" x14ac:dyDescent="0.3">
      <c r="A43" s="10" t="s">
        <v>179</v>
      </c>
      <c r="B43" s="10" t="s">
        <v>119</v>
      </c>
      <c r="C43" s="12">
        <f>_xll.BDH("WMT US Equity","CF_LT_DEBT_CAP_LEAS_PROCEEDS","FQ3 2016","FQ3 2016","Currency=USD","Period=FQ","BEST_FPERIOD_OVERRIDE=FQ","FILING_STATUS=MR","SCALING_FORMAT=MLN","Sort=A","Dates=H","DateFormat=P","Fill=—","Direction=H","UseDPDF=Y")</f>
        <v>0</v>
      </c>
      <c r="D43" s="12" t="str">
        <f>_xll.BDH("WMT US Equity","CF_LT_DEBT_CAP_LEAS_PROCEEDS","FQ4 2016","FQ4 2016","Currency=USD","Period=FQ","BEST_FPERIOD_OVERRIDE=FQ","FILING_STATUS=MR","SCALING_FORMAT=MLN","Sort=A","Dates=H","DateFormat=P","Fill=—","Direction=H","UseDPDF=Y")</f>
        <v>—</v>
      </c>
      <c r="E43" s="12">
        <f>_xll.BDH("WMT US Equity","CF_LT_DEBT_CAP_LEAS_PROCEEDS","FQ1 2017","FQ1 2017","Currency=USD","Period=FQ","BEST_FPERIOD_OVERRIDE=FQ","FILING_STATUS=MR","SCALING_FORMAT=MLN","Sort=A","Dates=H","DateFormat=P","Fill=—","Direction=H","UseDPDF=Y")</f>
        <v>127</v>
      </c>
      <c r="F43" s="12">
        <f>_xll.BDH("WMT US Equity","CF_LT_DEBT_CAP_LEAS_PROCEEDS","FQ2 2017","FQ2 2017","Currency=USD","Period=FQ","BEST_FPERIOD_OVERRIDE=FQ","FILING_STATUS=MR","SCALING_FORMAT=MLN","Sort=A","Dates=H","DateFormat=P","Fill=—","Direction=H","UseDPDF=Y")</f>
        <v>3</v>
      </c>
      <c r="G43" s="12">
        <f>_xll.BDH("WMT US Equity","CF_LT_DEBT_CAP_LEAS_PROCEEDS","FQ3 2017","FQ3 2017","Currency=USD","Period=FQ","BEST_FPERIOD_OVERRIDE=FQ","FILING_STATUS=MR","SCALING_FORMAT=MLN","Sort=A","Dates=H","DateFormat=P","Fill=—","Direction=H","UseDPDF=Y")</f>
        <v>4</v>
      </c>
      <c r="H43" s="12">
        <f>_xll.BDH("WMT US Equity","CF_LT_DEBT_CAP_LEAS_PROCEEDS","FQ4 2017","FQ4 2017","Currency=USD","Period=FQ","BEST_FPERIOD_OVERRIDE=FQ","FILING_STATUS=MR","SCALING_FORMAT=MLN","Sort=A","Dates=H","DateFormat=P","Fill=—","Direction=H","UseDPDF=Y")</f>
        <v>3</v>
      </c>
      <c r="I43" s="12">
        <f>_xll.BDH("WMT US Equity","CF_LT_DEBT_CAP_LEAS_PROCEEDS","FQ1 2018","FQ1 2018","Currency=USD","Period=FQ","BEST_FPERIOD_OVERRIDE=FQ","FILING_STATUS=MR","SCALING_FORMAT=MLN","Sort=A","Dates=H","DateFormat=P","Fill=—","Direction=H","UseDPDF=Y")</f>
        <v>0</v>
      </c>
      <c r="J43" s="12">
        <f>_xll.BDH("WMT US Equity","CF_LT_DEBT_CAP_LEAS_PROCEEDS","FQ2 2018","FQ2 2018","Currency=USD","Period=FQ","BEST_FPERIOD_OVERRIDE=FQ","FILING_STATUS=MR","SCALING_FORMAT=MLN","Sort=A","Dates=H","DateFormat=P","Fill=—","Direction=H","UseDPDF=Y")</f>
        <v>1503</v>
      </c>
      <c r="K43" s="12">
        <f>_xll.BDH("WMT US Equity","CF_LT_DEBT_CAP_LEAS_PROCEEDS","FQ3 2018","FQ3 2018","Currency=USD","Period=FQ","BEST_FPERIOD_OVERRIDE=FQ","FILING_STATUS=MR","SCALING_FORMAT=MLN","Sort=A","Dates=H","DateFormat=P","Fill=—","Direction=H","UseDPDF=Y")</f>
        <v>5973</v>
      </c>
      <c r="L43" s="12">
        <f>_xll.BDH("WMT US Equity","CF_LT_DEBT_CAP_LEAS_PROCEEDS","FQ4 2018","FQ4 2018","Currency=USD","Period=FQ","BEST_FPERIOD_OVERRIDE=FQ","FILING_STATUS=MR","SCALING_FORMAT=MLN","Sort=A","Dates=H","DateFormat=P","Fill=—","Direction=H","UseDPDF=Y")</f>
        <v>0</v>
      </c>
      <c r="M43" s="12">
        <f>_xll.BDH("WMT US Equity","CF_LT_DEBT_CAP_LEAS_PROCEEDS","FQ1 2019","FQ1 2019","Currency=USD","Period=FQ","BEST_FPERIOD_OVERRIDE=FQ","FILING_STATUS=MR","SCALING_FORMAT=MLN","Sort=A","Dates=H","DateFormat=P","Fill=—","Direction=H","UseDPDF=Y")</f>
        <v>0</v>
      </c>
      <c r="N43" s="12">
        <f>_xll.BDH("WMT US Equity","CF_LT_DEBT_CAP_LEAS_PROCEEDS","FQ2 2019","FQ2 2019","Currency=USD","Period=FQ","BEST_FPERIOD_OVERRIDE=FQ","FILING_STATUS=MR","SCALING_FORMAT=MLN","Sort=A","Dates=H","DateFormat=P","Fill=—","Direction=H","UseDPDF=Y")</f>
        <v>15851</v>
      </c>
      <c r="O43" s="12">
        <f>_xll.BDH("WMT US Equity","CF_LT_DEBT_CAP_LEAS_PROCEEDS","FQ3 2019","FQ3 2019","Currency=USD","Period=FQ","BEST_FPERIOD_OVERRIDE=FQ","FILING_STATUS=MR","SCALING_FORMAT=MLN","Sort=A","Dates=H","DateFormat=P","Fill=—","Direction=H","UseDPDF=Y")</f>
        <v>0</v>
      </c>
      <c r="P43" s="12">
        <f>_xll.BDH("WMT US Equity","CF_LT_DEBT_CAP_LEAS_PROCEEDS","FQ4 2019","FQ4 2019","Currency=USD","Period=FQ","BEST_FPERIOD_OVERRIDE=FQ","FILING_STATUS=MR","SCALING_FORMAT=MLN","Sort=A","Dates=H","DateFormat=P","Fill=—","Direction=H","UseDPDF=Y")</f>
        <v>21</v>
      </c>
      <c r="Q43" s="12">
        <f>_xll.BDH("WMT US Equity","CF_LT_DEBT_CAP_LEAS_PROCEEDS","FQ1 2020","FQ1 2020","Currency=USD","Period=FQ","BEST_FPERIOD_OVERRIDE=FQ","FILING_STATUS=MR","SCALING_FORMAT=MLN","Sort=A","Dates=H","DateFormat=P","Fill=—","Direction=H","UseDPDF=Y")</f>
        <v>3978</v>
      </c>
      <c r="R43" s="12">
        <f>_xll.BDH("WMT US Equity","CF_LT_DEBT_CAP_LEAS_PROCEEDS","FQ2 2020","FQ2 2020","Currency=USD","Period=FQ","BEST_FPERIOD_OVERRIDE=FQ","FILING_STATUS=MR","SCALING_FORMAT=MLN","Sort=A","Dates=H","DateFormat=P","Fill=—","Direction=H","UseDPDF=Y")</f>
        <v>42</v>
      </c>
      <c r="S43" s="12">
        <f>_xll.BDH("WMT US Equity","CF_LT_DEBT_CAP_LEAS_PROCEEDS","FQ3 2020","FQ3 2020","Currency=USD","Period=FQ","BEST_FPERIOD_OVERRIDE=FQ","FILING_STATUS=MR","SCALING_FORMAT=MLN","Sort=A","Dates=H","DateFormat=P","Fill=—","Direction=H","UseDPDF=Y")</f>
        <v>1472</v>
      </c>
      <c r="T43" s="12">
        <f>_xll.BDH("WMT US Equity","CF_LT_DEBT_CAP_LEAS_PROCEEDS","FQ4 2020","FQ4 2020","Currency=USD","Period=FQ","BEST_FPERIOD_OVERRIDE=FQ","FILING_STATUS=MR","SCALING_FORMAT=MLN","Sort=A","Dates=H","DateFormat=P","Fill=—","Direction=H","UseDPDF=Y")</f>
        <v>0</v>
      </c>
      <c r="U43" s="12">
        <f>_xll.BDH("WMT US Equity","CF_LT_DEBT_CAP_LEAS_PROCEEDS","FQ1 2021","FQ1 2021","Currency=USD","Period=FQ","BEST_FPERIOD_OVERRIDE=FQ","FILING_STATUS=MR","SCALING_FORMAT=MLN","Sort=A","Dates=H","DateFormat=P","Fill=—","Direction=H","UseDPDF=Y")</f>
        <v>0</v>
      </c>
      <c r="V43" s="12">
        <f>_xll.BDH("WMT US Equity","CF_LT_DEBT_CAP_LEAS_PROCEEDS","FQ2 2021","FQ2 2021","Currency=USD","Period=FQ","BEST_FPERIOD_OVERRIDE=FQ","FILING_STATUS=MR","SCALING_FORMAT=MLN","Sort=A","Dates=H","DateFormat=P","Fill=—","Direction=H","UseDPDF=Y")</f>
        <v>0</v>
      </c>
      <c r="W43" s="12">
        <f>_xll.BDH("WMT US Equity","CF_LT_DEBT_CAP_LEAS_PROCEEDS","FQ3 2021","FQ3 2021","Currency=USD","Period=FQ","BEST_FPERIOD_OVERRIDE=FQ","FILING_STATUS=MR","SCALING_FORMAT=MLN","Sort=A","Dates=H","DateFormat=P","Fill=—","Direction=H","UseDPDF=Y")</f>
        <v>0</v>
      </c>
      <c r="X43" s="12">
        <f>_xll.BDH("WMT US Equity","CF_LT_DEBT_CAP_LEAS_PROCEEDS","FQ4 2021","FQ4 2021","Currency=USD","Period=FQ","BEST_FPERIOD_OVERRIDE=FQ","FILING_STATUS=MR","SCALING_FORMAT=MLN","Sort=A","Dates=H","DateFormat=P","Fill=—","Direction=H","UseDPDF=Y")</f>
        <v>0</v>
      </c>
      <c r="Y43" s="12">
        <f>_xll.BDH("WMT US Equity","CF_LT_DEBT_CAP_LEAS_PROCEEDS","FQ1 2022","FQ1 2022","Currency=USD","Period=FQ","BEST_FPERIOD_OVERRIDE=FQ","FILING_STATUS=MR","SCALING_FORMAT=MLN","Sort=A","Dates=H","DateFormat=P","Fill=—","Direction=H","UseDPDF=Y")</f>
        <v>0</v>
      </c>
      <c r="Z43" s="12">
        <f>_xll.BDH("WMT US Equity","CF_LT_DEBT_CAP_LEAS_PROCEEDS","FQ2 2022","FQ2 2022","Currency=USD","Period=FQ","BEST_FPERIOD_OVERRIDE=FQ","FILING_STATUS=MR","SCALING_FORMAT=MLN","Sort=A","Dates=H","DateFormat=P","Fill=—","Direction=H","UseDPDF=Y")</f>
        <v>0</v>
      </c>
      <c r="AA43" s="12">
        <f>_xll.BDH("WMT US Equity","CF_LT_DEBT_CAP_LEAS_PROCEEDS","FQ3 2022","FQ3 2022","Currency=USD","Period=FQ","BEST_FPERIOD_OVERRIDE=FQ","FILING_STATUS=MR","SCALING_FORMAT=MLN","Sort=A","Dates=H","DateFormat=P","Fill=—","Direction=H","UseDPDF=Y")</f>
        <v>6945</v>
      </c>
      <c r="AB43" s="12">
        <f>_xll.BDH("WMT US Equity","CF_LT_DEBT_CAP_LEAS_PROCEEDS","FQ4 2022","FQ4 2022","Currency=USD","Period=FQ","BEST_FPERIOD_OVERRIDE=FQ","FILING_STATUS=MR","SCALING_FORMAT=MLN","Sort=A","Dates=H","DateFormat=P","Fill=—","Direction=H","UseDPDF=Y")</f>
        <v>0</v>
      </c>
      <c r="AC43" s="12">
        <f>_xll.BDH("WMT US Equity","CF_LT_DEBT_CAP_LEAS_PROCEEDS","FQ1 2023","FQ1 2023","Currency=USD","Period=FQ","BEST_FPERIOD_OVERRIDE=FQ","FILING_STATUS=MR","SCALING_FORMAT=MLN","Sort=A","Dates=H","DateFormat=P","Fill=—","Direction=H","UseDPDF=Y")</f>
        <v>0</v>
      </c>
      <c r="AD43" s="12">
        <f>_xll.BDH("WMT US Equity","CF_LT_DEBT_CAP_LEAS_PROCEEDS","FQ2 2023","FQ2 2023","Currency=USD","Period=FQ","BEST_FPERIOD_OVERRIDE=FQ","FILING_STATUS=MR","SCALING_FORMAT=MLN","Sort=A","Dates=H","DateFormat=P","Fill=—","Direction=H","UseDPDF=Y")</f>
        <v>0</v>
      </c>
      <c r="AE43" s="12">
        <f>_xll.BDH("WMT US Equity","CF_LT_DEBT_CAP_LEAS_PROCEEDS","FQ3 2023","FQ3 2023","Currency=USD","Period=FQ","BEST_FPERIOD_OVERRIDE=FQ","FILING_STATUS=MR","SCALING_FORMAT=MLN","Sort=A","Dates=H","DateFormat=P","Fill=—","Direction=H","UseDPDF=Y")</f>
        <v>4969</v>
      </c>
      <c r="AF43" s="12">
        <f>_xll.BDH("WMT US Equity","CF_LT_DEBT_CAP_LEAS_PROCEEDS","FQ4 2023","FQ4 2023","Currency=USD","Period=FQ","BEST_FPERIOD_OVERRIDE=FQ","FILING_STATUS=MR","SCALING_FORMAT=MLN","Sort=A","Dates=H","DateFormat=P","Fill=—","Direction=H","UseDPDF=Y")</f>
        <v>72</v>
      </c>
      <c r="AG43" s="12">
        <f>_xll.BDH("WMT US Equity","CF_LT_DEBT_CAP_LEAS_PROCEEDS","FQ1 2024","FQ1 2024","Currency=USD","Period=FQ","BEST_FPERIOD_OVERRIDE=FQ","FILING_STATUS=MR","SCALING_FORMAT=MLN","Sort=A","Dates=H","DateFormat=P","Fill=—","Direction=H","UseDPDF=Y")</f>
        <v>4967</v>
      </c>
      <c r="AH43" s="12">
        <f>_xll.BDH("WMT US Equity","CF_LT_DEBT_CAP_LEAS_PROCEEDS","FQ2 2024","FQ2 2024","Currency=USD","Period=FQ","BEST_FPERIOD_OVERRIDE=FQ","FILING_STATUS=MR","SCALING_FORMAT=MLN","Sort=A","Dates=H","DateFormat=P","Fill=—","Direction=H","UseDPDF=Y")</f>
        <v>0</v>
      </c>
      <c r="AI43" s="12">
        <f>_xll.BDH("WMT US Equity","CF_LT_DEBT_CAP_LEAS_PROCEEDS","FQ3 2024","FQ3 2024","Currency=USD","Period=FQ","BEST_FPERIOD_OVERRIDE=FQ","FILING_STATUS=MR","SCALING_FORMAT=MLN","Sort=A","Dates=H","DateFormat=P","Fill=—","Direction=H","UseDPDF=Y")</f>
        <v>0</v>
      </c>
      <c r="AJ43" s="12">
        <f>_xll.BDH("WMT US Equity","CF_LT_DEBT_CAP_LEAS_PROCEEDS","FQ4 2024","FQ4 2024","Currency=USD","Period=FQ","BEST_FPERIOD_OVERRIDE=FQ","FILING_STATUS=MR","SCALING_FORMAT=MLN","Sort=A","Dates=H","DateFormat=P","Fill=—","Direction=H","UseDPDF=Y")</f>
        <v>0</v>
      </c>
      <c r="AK43" s="12">
        <f>_xll.BDH("WMT US Equity","CF_LT_DEBT_CAP_LEAS_PROCEEDS","FQ1 2025","FQ1 2025","Currency=USD","Period=FQ","BEST_FPERIOD_OVERRIDE=FQ","FILING_STATUS=MR","SCALING_FORMAT=MLN","Sort=A","Dates=H","DateFormat=P","Fill=—","Direction=H","UseDPDF=Y")</f>
        <v>0</v>
      </c>
      <c r="AL43" s="12">
        <f>_xll.BDH("WMT US Equity","CF_LT_DEBT_CAP_LEAS_PROCEEDS","FQ2 2025","FQ2 2025","Currency=USD","Period=FQ","BEST_FPERIOD_OVERRIDE=FQ","FILING_STATUS=MR","SCALING_FORMAT=MLN","Sort=A","Dates=H","DateFormat=P","Fill=—","Direction=H","UseDPDF=Y")</f>
        <v>0</v>
      </c>
      <c r="AM43" s="12">
        <f>_xll.BDH("WMT US Equity","CF_LT_DEBT_CAP_LEAS_PROCEEDS","FQ3 2025","FQ3 2025","Currency=USD","Period=FQ","BEST_FPERIOD_OVERRIDE=FQ","FILING_STATUS=MR","SCALING_FORMAT=MLN","Sort=A","Dates=H","DateFormat=P","Fill=—","Direction=H","UseDPDF=Y")</f>
        <v>0</v>
      </c>
      <c r="AN43" s="12">
        <f>_xll.BDH("WMT US Equity","CF_LT_DEBT_CAP_LEAS_PROCEEDS","FQ4 2025","FQ4 2025","Currency=USD","Period=FQ","BEST_FPERIOD_OVERRIDE=FQ","FILING_STATUS=MR","SCALING_FORMAT=MLN","Sort=A","Dates=H","DateFormat=P","Fill=—","Direction=H","UseDPDF=Y")</f>
        <v>0</v>
      </c>
      <c r="AO43" s="12">
        <f>_xll.BDH("WMT US Equity","CF_LT_DEBT_CAP_LEAS_PROCEEDS","FQ1 2026","FQ1 2026","Currency=USD","Period=FQ","BEST_FPERIOD_OVERRIDE=FQ","FILING_STATUS=MR","SCALING_FORMAT=MLN","Sort=A","Dates=H","DateFormat=P","Fill=—","Direction=H","UseDPDF=Y")</f>
        <v>3983</v>
      </c>
      <c r="AP43" s="12">
        <f>_xll.BDH("WMT US Equity","CF_LT_DEBT_CAP_LEAS_PROCEEDS","FQ2 2026","FQ2 2026","Currency=USD","Period=FQ","BEST_FPERIOD_OVERRIDE=FQ","FILING_STATUS=MR","SCALING_FORMAT=MLN","Sort=A","Dates=H","DateFormat=P","Fill=—","Direction=H","UseDPDF=Y")</f>
        <v>0</v>
      </c>
    </row>
    <row r="44" spans="1:42" x14ac:dyDescent="0.3">
      <c r="A44" s="10" t="s">
        <v>180</v>
      </c>
      <c r="B44" s="10" t="s">
        <v>120</v>
      </c>
      <c r="C44" s="12">
        <f>_xll.BDH("WMT US Equity","CF_LT_DEBT_CAP_LEAS_PAYMENT","FQ3 2016","FQ3 2016","Currency=USD","Period=FQ","BEST_FPERIOD_OVERRIDE=FQ","FILING_STATUS=MR","SCALING_FORMAT=MLN","Sort=A","Dates=H","DateFormat=P","Fill=—","Direction=H","UseDPDF=Y")</f>
        <v>-1264</v>
      </c>
      <c r="D44" s="12" t="str">
        <f>_xll.BDH("WMT US Equity","CF_LT_DEBT_CAP_LEAS_PAYMENT","FQ4 2016","FQ4 2016","Currency=USD","Period=FQ","BEST_FPERIOD_OVERRIDE=FQ","FILING_STATUS=MR","SCALING_FORMAT=MLN","Sort=A","Dates=H","DateFormat=P","Fill=—","Direction=H","UseDPDF=Y")</f>
        <v>—</v>
      </c>
      <c r="E44" s="12">
        <f>_xll.BDH("WMT US Equity","CF_LT_DEBT_CAP_LEAS_PAYMENT","FQ1 2017","FQ1 2017","Currency=USD","Period=FQ","BEST_FPERIOD_OVERRIDE=FQ","FILING_STATUS=MR","SCALING_FORMAT=MLN","Sort=A","Dates=H","DateFormat=P","Fill=—","Direction=H","UseDPDF=Y")</f>
        <v>-2013</v>
      </c>
      <c r="F44" s="12">
        <f>_xll.BDH("WMT US Equity","CF_LT_DEBT_CAP_LEAS_PAYMENT","FQ2 2017","FQ2 2017","Currency=USD","Period=FQ","BEST_FPERIOD_OVERRIDE=FQ","FILING_STATUS=MR","SCALING_FORMAT=MLN","Sort=A","Dates=H","DateFormat=P","Fill=—","Direction=H","UseDPDF=Y")</f>
        <v>-13</v>
      </c>
      <c r="G44" s="12">
        <f>_xll.BDH("WMT US Equity","CF_LT_DEBT_CAP_LEAS_PAYMENT","FQ3 2017","FQ3 2017","Currency=USD","Period=FQ","BEST_FPERIOD_OVERRIDE=FQ","FILING_STATUS=MR","SCALING_FORMAT=MLN","Sort=A","Dates=H","DateFormat=P","Fill=—","Direction=H","UseDPDF=Y")</f>
        <v>-14</v>
      </c>
      <c r="H44" s="12">
        <f>_xll.BDH("WMT US Equity","CF_LT_DEBT_CAP_LEAS_PAYMENT","FQ4 2017","FQ4 2017","Currency=USD","Period=FQ","BEST_FPERIOD_OVERRIDE=FQ","FILING_STATUS=MR","SCALING_FORMAT=MLN","Sort=A","Dates=H","DateFormat=P","Fill=—","Direction=H","UseDPDF=Y")</f>
        <v>-15</v>
      </c>
      <c r="I44" s="12">
        <f>_xll.BDH("WMT US Equity","CF_LT_DEBT_CAP_LEAS_PAYMENT","FQ1 2018","FQ1 2018","Currency=USD","Period=FQ","BEST_FPERIOD_OVERRIDE=FQ","FILING_STATUS=MR","SCALING_FORMAT=MLN","Sort=A","Dates=H","DateFormat=P","Fill=—","Direction=H","UseDPDF=Y")</f>
        <v>-1513</v>
      </c>
      <c r="J44" s="12">
        <f>_xll.BDH("WMT US Equity","CF_LT_DEBT_CAP_LEAS_PAYMENT","FQ2 2018","FQ2 2018","Currency=USD","Period=FQ","BEST_FPERIOD_OVERRIDE=FQ","FILING_STATUS=MR","SCALING_FORMAT=MLN","Sort=A","Dates=H","DateFormat=P","Fill=—","Direction=H","UseDPDF=Y")</f>
        <v>-1887</v>
      </c>
      <c r="K44" s="12">
        <f>_xll.BDH("WMT US Equity","CF_LT_DEBT_CAP_LEAS_PAYMENT","FQ3 2018","FQ3 2018","Currency=USD","Period=FQ","BEST_FPERIOD_OVERRIDE=FQ","FILING_STATUS=MR","SCALING_FORMAT=MLN","Sort=A","Dates=H","DateFormat=P","Fill=—","Direction=H","UseDPDF=Y")</f>
        <v>-7526</v>
      </c>
      <c r="L44" s="12">
        <f>_xll.BDH("WMT US Equity","CF_LT_DEBT_CAP_LEAS_PAYMENT","FQ4 2018","FQ4 2018","Currency=USD","Period=FQ","BEST_FPERIOD_OVERRIDE=FQ","FILING_STATUS=MR","SCALING_FORMAT=MLN","Sort=A","Dates=H","DateFormat=P","Fill=—","Direction=H","UseDPDF=Y")</f>
        <v>-2135</v>
      </c>
      <c r="M44" s="12">
        <f>_xll.BDH("WMT US Equity","CF_LT_DEBT_CAP_LEAS_PAYMENT","FQ1 2019","FQ1 2019","Currency=USD","Period=FQ","BEST_FPERIOD_OVERRIDE=FQ","FILING_STATUS=MR","SCALING_FORMAT=MLN","Sort=A","Dates=H","DateFormat=P","Fill=—","Direction=H","UseDPDF=Y")</f>
        <v>-2521</v>
      </c>
      <c r="N44" s="12">
        <f>_xll.BDH("WMT US Equity","CF_LT_DEBT_CAP_LEAS_PAYMENT","FQ2 2019","FQ2 2019","Currency=USD","Period=FQ","BEST_FPERIOD_OVERRIDE=FQ","FILING_STATUS=MR","SCALING_FORMAT=MLN","Sort=A","Dates=H","DateFormat=P","Fill=—","Direction=H","UseDPDF=Y")</f>
        <v>-529</v>
      </c>
      <c r="O44" s="12">
        <f>_xll.BDH("WMT US Equity","CF_LT_DEBT_CAP_LEAS_PAYMENT","FQ3 2019","FQ3 2019","Currency=USD","Period=FQ","BEST_FPERIOD_OVERRIDE=FQ","FILING_STATUS=MR","SCALING_FORMAT=MLN","Sort=A","Dates=H","DateFormat=P","Fill=—","Direction=H","UseDPDF=Y")</f>
        <v>0</v>
      </c>
      <c r="P44" s="12">
        <f>_xll.BDH("WMT US Equity","CF_LT_DEBT_CAP_LEAS_PAYMENT","FQ4 2019","FQ4 2019","Currency=USD","Period=FQ","BEST_FPERIOD_OVERRIDE=FQ","FILING_STATUS=MR","SCALING_FORMAT=MLN","Sort=A","Dates=H","DateFormat=P","Fill=—","Direction=H","UseDPDF=Y")</f>
        <v>-734</v>
      </c>
      <c r="Q44" s="12">
        <f>_xll.BDH("WMT US Equity","CF_LT_DEBT_CAP_LEAS_PAYMENT","FQ1 2020","FQ1 2020","Currency=USD","Period=FQ","BEST_FPERIOD_OVERRIDE=FQ","FILING_STATUS=MR","SCALING_FORMAT=MLN","Sort=A","Dates=H","DateFormat=P","Fill=—","Direction=H","UseDPDF=Y")</f>
        <v>-364</v>
      </c>
      <c r="R44" s="12">
        <f>_xll.BDH("WMT US Equity","CF_LT_DEBT_CAP_LEAS_PAYMENT","FQ2 2020","FQ2 2020","Currency=USD","Period=FQ","BEST_FPERIOD_OVERRIDE=FQ","FILING_STATUS=MR","SCALING_FORMAT=MLN","Sort=A","Dates=H","DateFormat=P","Fill=—","Direction=H","UseDPDF=Y")</f>
        <v>-43</v>
      </c>
      <c r="S44" s="12">
        <f>_xll.BDH("WMT US Equity","CF_LT_DEBT_CAP_LEAS_PAYMENT","FQ3 2020","FQ3 2020","Currency=USD","Period=FQ","BEST_FPERIOD_OVERRIDE=FQ","FILING_STATUS=MR","SCALING_FORMAT=MLN","Sort=A","Dates=H","DateFormat=P","Fill=—","Direction=H","UseDPDF=Y")</f>
        <v>-1500</v>
      </c>
      <c r="T44" s="12">
        <f>_xll.BDH("WMT US Equity","CF_LT_DEBT_CAP_LEAS_PAYMENT","FQ4 2020","FQ4 2020","Currency=USD","Period=FQ","BEST_FPERIOD_OVERRIDE=FQ","FILING_STATUS=MR","SCALING_FORMAT=MLN","Sort=A","Dates=H","DateFormat=P","Fill=—","Direction=H","UseDPDF=Y")</f>
        <v>0</v>
      </c>
      <c r="U44" s="12">
        <f>_xll.BDH("WMT US Equity","CF_LT_DEBT_CAP_LEAS_PAYMENT","FQ1 2021","FQ1 2021","Currency=USD","Period=FQ","BEST_FPERIOD_OVERRIDE=FQ","FILING_STATUS=MR","SCALING_FORMAT=MLN","Sort=A","Dates=H","DateFormat=P","Fill=—","Direction=H","UseDPDF=Y")</f>
        <v>0</v>
      </c>
      <c r="V44" s="12">
        <f>_xll.BDH("WMT US Equity","CF_LT_DEBT_CAP_LEAS_PAYMENT","FQ2 2021","FQ2 2021","Currency=USD","Period=FQ","BEST_FPERIOD_OVERRIDE=FQ","FILING_STATUS=MR","SCALING_FORMAT=MLN","Sort=A","Dates=H","DateFormat=P","Fill=—","Direction=H","UseDPDF=Y")</f>
        <v>-2937</v>
      </c>
      <c r="W44" s="12">
        <f>_xll.BDH("WMT US Equity","CF_LT_DEBT_CAP_LEAS_PAYMENT","FQ3 2021","FQ3 2021","Currency=USD","Period=FQ","BEST_FPERIOD_OVERRIDE=FQ","FILING_STATUS=MR","SCALING_FORMAT=MLN","Sort=A","Dates=H","DateFormat=P","Fill=—","Direction=H","UseDPDF=Y")</f>
        <v>-1195</v>
      </c>
      <c r="X44" s="12">
        <f>_xll.BDH("WMT US Equity","CF_LT_DEBT_CAP_LEAS_PAYMENT","FQ4 2021","FQ4 2021","Currency=USD","Period=FQ","BEST_FPERIOD_OVERRIDE=FQ","FILING_STATUS=MR","SCALING_FORMAT=MLN","Sort=A","Dates=H","DateFormat=P","Fill=—","Direction=H","UseDPDF=Y")</f>
        <v>-1250</v>
      </c>
      <c r="Y44" s="12">
        <f>_xll.BDH("WMT US Equity","CF_LT_DEBT_CAP_LEAS_PAYMENT","FQ1 2022","FQ1 2022","Currency=USD","Period=FQ","BEST_FPERIOD_OVERRIDE=FQ","FILING_STATUS=MR","SCALING_FORMAT=MLN","Sort=A","Dates=H","DateFormat=P","Fill=—","Direction=H","UseDPDF=Y")</f>
        <v>-510</v>
      </c>
      <c r="Z44" s="12">
        <f>_xll.BDH("WMT US Equity","CF_LT_DEBT_CAP_LEAS_PAYMENT","FQ2 2022","FQ2 2022","Currency=USD","Period=FQ","BEST_FPERIOD_OVERRIDE=FQ","FILING_STATUS=MR","SCALING_FORMAT=MLN","Sort=A","Dates=H","DateFormat=P","Fill=—","Direction=H","UseDPDF=Y")</f>
        <v>-2500</v>
      </c>
      <c r="AA44" s="12">
        <f>_xll.BDH("WMT US Equity","CF_LT_DEBT_CAP_LEAS_PAYMENT","FQ3 2022","FQ3 2022","Currency=USD","Period=FQ","BEST_FPERIOD_OVERRIDE=FQ","FILING_STATUS=MR","SCALING_FORMAT=MLN","Sort=A","Dates=H","DateFormat=P","Fill=—","Direction=H","UseDPDF=Y")</f>
        <v>-10000</v>
      </c>
      <c r="AB44" s="12">
        <f>_xll.BDH("WMT US Equity","CF_LT_DEBT_CAP_LEAS_PAYMENT","FQ4 2022","FQ4 2022","Currency=USD","Period=FQ","BEST_FPERIOD_OVERRIDE=FQ","FILING_STATUS=MR","SCALING_FORMAT=MLN","Sort=A","Dates=H","DateFormat=P","Fill=—","Direction=H","UseDPDF=Y")</f>
        <v>0</v>
      </c>
      <c r="AC44" s="12">
        <f>_xll.BDH("WMT US Equity","CF_LT_DEBT_CAP_LEAS_PAYMENT","FQ1 2023","FQ1 2023","Currency=USD","Period=FQ","BEST_FPERIOD_OVERRIDE=FQ","FILING_STATUS=MR","SCALING_FORMAT=MLN","Sort=A","Dates=H","DateFormat=P","Fill=—","Direction=H","UseDPDF=Y")</f>
        <v>-926</v>
      </c>
      <c r="AD44" s="12">
        <f>_xll.BDH("WMT US Equity","CF_LT_DEBT_CAP_LEAS_PAYMENT","FQ2 2023","FQ2 2023","Currency=USD","Period=FQ","BEST_FPERIOD_OVERRIDE=FQ","FILING_STATUS=MR","SCALING_FORMAT=MLN","Sort=A","Dates=H","DateFormat=P","Fill=—","Direction=H","UseDPDF=Y")</f>
        <v>-513</v>
      </c>
      <c r="AE44" s="12">
        <f>_xll.BDH("WMT US Equity","CF_LT_DEBT_CAP_LEAS_PAYMENT","FQ3 2023","FQ3 2023","Currency=USD","Period=FQ","BEST_FPERIOD_OVERRIDE=FQ","FILING_STATUS=MR","SCALING_FORMAT=MLN","Sort=A","Dates=H","DateFormat=P","Fill=—","Direction=H","UseDPDF=Y")</f>
        <v>0</v>
      </c>
      <c r="AF44" s="12">
        <f>_xll.BDH("WMT US Equity","CF_LT_DEBT_CAP_LEAS_PAYMENT","FQ4 2023","FQ4 2023","Currency=USD","Period=FQ","BEST_FPERIOD_OVERRIDE=FQ","FILING_STATUS=MR","SCALING_FORMAT=MLN","Sort=A","Dates=H","DateFormat=P","Fill=—","Direction=H","UseDPDF=Y")</f>
        <v>-1250</v>
      </c>
      <c r="AG44" s="12">
        <f>_xll.BDH("WMT US Equity","CF_LT_DEBT_CAP_LEAS_PAYMENT","FQ1 2024","FQ1 2024","Currency=USD","Period=FQ","BEST_FPERIOD_OVERRIDE=FQ","FILING_STATUS=MR","SCALING_FORMAT=MLN","Sort=A","Dates=H","DateFormat=P","Fill=—","Direction=H","UseDPDF=Y")</f>
        <v>-1784</v>
      </c>
      <c r="AH44" s="12">
        <f>_xll.BDH("WMT US Equity","CF_LT_DEBT_CAP_LEAS_PAYMENT","FQ2 2024","FQ2 2024","Currency=USD","Period=FQ","BEST_FPERIOD_OVERRIDE=FQ","FILING_STATUS=MR","SCALING_FORMAT=MLN","Sort=A","Dates=H","DateFormat=P","Fill=—","Direction=H","UseDPDF=Y")</f>
        <v>-2279</v>
      </c>
      <c r="AI44" s="12">
        <f>_xll.BDH("WMT US Equity","CF_LT_DEBT_CAP_LEAS_PAYMENT","FQ3 2024","FQ3 2024","Currency=USD","Period=FQ","BEST_FPERIOD_OVERRIDE=FQ","FILING_STATUS=MR","SCALING_FORMAT=MLN","Sort=A","Dates=H","DateFormat=P","Fill=—","Direction=H","UseDPDF=Y")</f>
        <v>-150</v>
      </c>
      <c r="AJ44" s="12">
        <f>_xll.BDH("WMT US Equity","CF_LT_DEBT_CAP_LEAS_PAYMENT","FQ4 2024","FQ4 2024","Currency=USD","Period=FQ","BEST_FPERIOD_OVERRIDE=FQ","FILING_STATUS=MR","SCALING_FORMAT=MLN","Sort=A","Dates=H","DateFormat=P","Fill=—","Direction=H","UseDPDF=Y")</f>
        <v>-4</v>
      </c>
      <c r="AK44" s="12">
        <f>_xll.BDH("WMT US Equity","CF_LT_DEBT_CAP_LEAS_PAYMENT","FQ1 2025","FQ1 2025","Currency=USD","Period=FQ","BEST_FPERIOD_OVERRIDE=FQ","FILING_STATUS=MR","SCALING_FORMAT=MLN","Sort=A","Dates=H","DateFormat=P","Fill=—","Direction=H","UseDPDF=Y")</f>
        <v>-1574</v>
      </c>
      <c r="AL44" s="12">
        <f>_xll.BDH("WMT US Equity","CF_LT_DEBT_CAP_LEAS_PAYMENT","FQ2 2025","FQ2 2025","Currency=USD","Period=FQ","BEST_FPERIOD_OVERRIDE=FQ","FILING_STATUS=MR","SCALING_FORMAT=MLN","Sort=A","Dates=H","DateFormat=P","Fill=—","Direction=H","UseDPDF=Y")</f>
        <v>-1243</v>
      </c>
      <c r="AM44" s="12">
        <f>_xll.BDH("WMT US Equity","CF_LT_DEBT_CAP_LEAS_PAYMENT","FQ3 2025","FQ3 2025","Currency=USD","Period=FQ","BEST_FPERIOD_OVERRIDE=FQ","FILING_STATUS=MR","SCALING_FORMAT=MLN","Sort=A","Dates=H","DateFormat=P","Fill=—","Direction=H","UseDPDF=Y")</f>
        <v>0</v>
      </c>
      <c r="AN44" s="12">
        <f>_xll.BDH("WMT US Equity","CF_LT_DEBT_CAP_LEAS_PAYMENT","FQ4 2025","FQ4 2025","Currency=USD","Period=FQ","BEST_FPERIOD_OVERRIDE=FQ","FILING_STATUS=MR","SCALING_FORMAT=MLN","Sort=A","Dates=H","DateFormat=P","Fill=—","Direction=H","UseDPDF=Y")</f>
        <v>-651</v>
      </c>
      <c r="AO44" s="12">
        <f>_xll.BDH("WMT US Equity","CF_LT_DEBT_CAP_LEAS_PAYMENT","FQ1 2026","FQ1 2026","Currency=USD","Period=FQ","BEST_FPERIOD_OVERRIDE=FQ","FILING_STATUS=MR","SCALING_FORMAT=MLN","Sort=A","Dates=H","DateFormat=P","Fill=—","Direction=H","UseDPDF=Y")</f>
        <v>0</v>
      </c>
      <c r="AP44" s="12">
        <f>_xll.BDH("WMT US Equity","CF_LT_DEBT_CAP_LEAS_PAYMENT","FQ2 2026","FQ2 2026","Currency=USD","Period=FQ","BEST_FPERIOD_OVERRIDE=FQ","FILING_STATUS=MR","SCALING_FORMAT=MLN","Sort=A","Dates=H","DateFormat=P","Fill=—","Direction=H","UseDPDF=Y")</f>
        <v>-875</v>
      </c>
    </row>
    <row r="45" spans="1:42" x14ac:dyDescent="0.3">
      <c r="A45" s="10" t="s">
        <v>181</v>
      </c>
      <c r="B45" s="10" t="s">
        <v>121</v>
      </c>
      <c r="C45" s="12">
        <f>_xll.BDH("WMT US Equity","PROC_FR_REPURCH_EQTY_DETAILED","FQ3 2016","FQ3 2016","Currency=USD","Period=FQ","BEST_FPERIOD_OVERRIDE=FQ","FILING_STATUS=MR","SCALING_FORMAT=MLN","Sort=A","Dates=H","DateFormat=P","Fill=—","Direction=H","UseDPDF=Y")</f>
        <v>-437</v>
      </c>
      <c r="D45" s="12">
        <f>_xll.BDH("WMT US Equity","PROC_FR_REPURCH_EQTY_DETAILED","FQ4 2016","FQ4 2016","Currency=USD","Period=FQ","BEST_FPERIOD_OVERRIDE=FQ","FILING_STATUS=MR","SCALING_FORMAT=MLN","Sort=A","Dates=H","DateFormat=P","Fill=—","Direction=H","UseDPDF=Y")</f>
        <v>-2392</v>
      </c>
      <c r="E45" s="12">
        <f>_xll.BDH("WMT US Equity","PROC_FR_REPURCH_EQTY_DETAILED","FQ1 2017","FQ1 2017","Currency=USD","Period=FQ","BEST_FPERIOD_OVERRIDE=FQ","FILING_STATUS=MR","SCALING_FORMAT=MLN","Sort=A","Dates=H","DateFormat=P","Fill=—","Direction=H","UseDPDF=Y")</f>
        <v>-2735</v>
      </c>
      <c r="F45" s="12">
        <f>_xll.BDH("WMT US Equity","PROC_FR_REPURCH_EQTY_DETAILED","FQ2 2017","FQ2 2017","Currency=USD","Period=FQ","BEST_FPERIOD_OVERRIDE=FQ","FILING_STATUS=MR","SCALING_FORMAT=MLN","Sort=A","Dates=H","DateFormat=P","Fill=—","Direction=H","UseDPDF=Y")</f>
        <v>-2117</v>
      </c>
      <c r="G45" s="12">
        <f>_xll.BDH("WMT US Equity","PROC_FR_REPURCH_EQTY_DETAILED","FQ3 2017","FQ3 2017","Currency=USD","Period=FQ","BEST_FPERIOD_OVERRIDE=FQ","FILING_STATUS=MR","SCALING_FORMAT=MLN","Sort=A","Dates=H","DateFormat=P","Fill=—","Direction=H","UseDPDF=Y")</f>
        <v>-1402</v>
      </c>
      <c r="H45" s="12">
        <f>_xll.BDH("WMT US Equity","PROC_FR_REPURCH_EQTY_DETAILED","FQ4 2017","FQ4 2017","Currency=USD","Period=FQ","BEST_FPERIOD_OVERRIDE=FQ","FILING_STATUS=MR","SCALING_FORMAT=MLN","Sort=A","Dates=H","DateFormat=P","Fill=—","Direction=H","UseDPDF=Y")</f>
        <v>-2044</v>
      </c>
      <c r="I45" s="12">
        <f>_xll.BDH("WMT US Equity","PROC_FR_REPURCH_EQTY_DETAILED","FQ1 2018","FQ1 2018","Currency=USD","Period=FQ","BEST_FPERIOD_OVERRIDE=FQ","FILING_STATUS=MR","SCALING_FORMAT=MLN","Sort=A","Dates=H","DateFormat=P","Fill=—","Direction=H","UseDPDF=Y")</f>
        <v>-2185</v>
      </c>
      <c r="J45" s="12">
        <f>_xll.BDH("WMT US Equity","PROC_FR_REPURCH_EQTY_DETAILED","FQ2 2018","FQ2 2018","Currency=USD","Period=FQ","BEST_FPERIOD_OVERRIDE=FQ","FILING_STATUS=MR","SCALING_FORMAT=MLN","Sort=A","Dates=H","DateFormat=P","Fill=—","Direction=H","UseDPDF=Y")</f>
        <v>-2262</v>
      </c>
      <c r="K45" s="12">
        <f>_xll.BDH("WMT US Equity","PROC_FR_REPURCH_EQTY_DETAILED","FQ3 2018","FQ3 2018","Currency=USD","Period=FQ","BEST_FPERIOD_OVERRIDE=FQ","FILING_STATUS=MR","SCALING_FORMAT=MLN","Sort=A","Dates=H","DateFormat=P","Fill=—","Direction=H","UseDPDF=Y")</f>
        <v>-2209</v>
      </c>
      <c r="L45" s="12">
        <f>_xll.BDH("WMT US Equity","PROC_FR_REPURCH_EQTY_DETAILED","FQ4 2018","FQ4 2018","Currency=USD","Period=FQ","BEST_FPERIOD_OVERRIDE=FQ","FILING_STATUS=MR","SCALING_FORMAT=MLN","Sort=A","Dates=H","DateFormat=P","Fill=—","Direction=H","UseDPDF=Y")</f>
        <v>-1640</v>
      </c>
      <c r="M45" s="12">
        <f>_xll.BDH("WMT US Equity","PROC_FR_REPURCH_EQTY_DETAILED","FQ1 2019","FQ1 2019","Currency=USD","Period=FQ","BEST_FPERIOD_OVERRIDE=FQ","FILING_STATUS=MR","SCALING_FORMAT=MLN","Sort=A","Dates=H","DateFormat=P","Fill=—","Direction=H","UseDPDF=Y")</f>
        <v>-539</v>
      </c>
      <c r="N45" s="12">
        <f>_xll.BDH("WMT US Equity","PROC_FR_REPURCH_EQTY_DETAILED","FQ2 2019","FQ2 2019","Currency=USD","Period=FQ","BEST_FPERIOD_OVERRIDE=FQ","FILING_STATUS=MR","SCALING_FORMAT=MLN","Sort=A","Dates=H","DateFormat=P","Fill=—","Direction=H","UseDPDF=Y")</f>
        <v>-1305</v>
      </c>
      <c r="O45" s="12">
        <f>_xll.BDH("WMT US Equity","PROC_FR_REPURCH_EQTY_DETAILED","FQ3 2019","FQ3 2019","Currency=USD","Period=FQ","BEST_FPERIOD_OVERRIDE=FQ","FILING_STATUS=MR","SCALING_FORMAT=MLN","Sort=A","Dates=H","DateFormat=P","Fill=—","Direction=H","UseDPDF=Y")</f>
        <v>-2317</v>
      </c>
      <c r="P45" s="12">
        <f>_xll.BDH("WMT US Equity","PROC_FR_REPURCH_EQTY_DETAILED","FQ4 2019","FQ4 2019","Currency=USD","Period=FQ","BEST_FPERIOD_OVERRIDE=FQ","FILING_STATUS=MR","SCALING_FORMAT=MLN","Sort=A","Dates=H","DateFormat=P","Fill=—","Direction=H","UseDPDF=Y")</f>
        <v>-3249</v>
      </c>
      <c r="Q45" s="12">
        <f>_xll.BDH("WMT US Equity","PROC_FR_REPURCH_EQTY_DETAILED","FQ1 2020","FQ1 2020","Currency=USD","Period=FQ","BEST_FPERIOD_OVERRIDE=FQ","FILING_STATUS=MR","SCALING_FORMAT=MLN","Sort=A","Dates=H","DateFormat=P","Fill=—","Direction=H","UseDPDF=Y")</f>
        <v>-2135</v>
      </c>
      <c r="R45" s="12">
        <f>_xll.BDH("WMT US Equity","PROC_FR_REPURCH_EQTY_DETAILED","FQ2 2020","FQ2 2020","Currency=USD","Period=FQ","BEST_FPERIOD_OVERRIDE=FQ","FILING_STATUS=MR","SCALING_FORMAT=MLN","Sort=A","Dates=H","DateFormat=P","Fill=—","Direction=H","UseDPDF=Y")</f>
        <v>-1572</v>
      </c>
      <c r="S45" s="12">
        <f>_xll.BDH("WMT US Equity","PROC_FR_REPURCH_EQTY_DETAILED","FQ3 2020","FQ3 2020","Currency=USD","Period=FQ","BEST_FPERIOD_OVERRIDE=FQ","FILING_STATUS=MR","SCALING_FORMAT=MLN","Sort=A","Dates=H","DateFormat=P","Fill=—","Direction=H","UseDPDF=Y")</f>
        <v>-1122</v>
      </c>
      <c r="T45" s="12">
        <f>_xll.BDH("WMT US Equity","PROC_FR_REPURCH_EQTY_DETAILED","FQ4 2020","FQ4 2020","Currency=USD","Period=FQ","BEST_FPERIOD_OVERRIDE=FQ","FILING_STATUS=MR","SCALING_FORMAT=MLN","Sort=A","Dates=H","DateFormat=P","Fill=—","Direction=H","UseDPDF=Y")</f>
        <v>-888</v>
      </c>
      <c r="U45" s="12">
        <f>_xll.BDH("WMT US Equity","PROC_FR_REPURCH_EQTY_DETAILED","FQ1 2021","FQ1 2021","Currency=USD","Period=FQ","BEST_FPERIOD_OVERRIDE=FQ","FILING_STATUS=MR","SCALING_FORMAT=MLN","Sort=A","Dates=H","DateFormat=P","Fill=—","Direction=H","UseDPDF=Y")</f>
        <v>-723</v>
      </c>
      <c r="V45" s="12">
        <f>_xll.BDH("WMT US Equity","PROC_FR_REPURCH_EQTY_DETAILED","FQ2 2021","FQ2 2021","Currency=USD","Period=FQ","BEST_FPERIOD_OVERRIDE=FQ","FILING_STATUS=MR","SCALING_FORMAT=MLN","Sort=A","Dates=H","DateFormat=P","Fill=—","Direction=H","UseDPDF=Y")</f>
        <v>0</v>
      </c>
      <c r="W45" s="12">
        <f>_xll.BDH("WMT US Equity","PROC_FR_REPURCH_EQTY_DETAILED","FQ3 2021","FQ3 2021","Currency=USD","Period=FQ","BEST_FPERIOD_OVERRIDE=FQ","FILING_STATUS=MR","SCALING_FORMAT=MLN","Sort=A","Dates=H","DateFormat=P","Fill=—","Direction=H","UseDPDF=Y")</f>
        <v>-463</v>
      </c>
      <c r="X45" s="12">
        <f>_xll.BDH("WMT US Equity","PROC_FR_REPURCH_EQTY_DETAILED","FQ4 2021","FQ4 2021","Currency=USD","Period=FQ","BEST_FPERIOD_OVERRIDE=FQ","FILING_STATUS=MR","SCALING_FORMAT=MLN","Sort=A","Dates=H","DateFormat=P","Fill=—","Direction=H","UseDPDF=Y")</f>
        <v>-1439</v>
      </c>
      <c r="Y45" s="12">
        <f>_xll.BDH("WMT US Equity","PROC_FR_REPURCH_EQTY_DETAILED","FQ1 2022","FQ1 2022","Currency=USD","Period=FQ","BEST_FPERIOD_OVERRIDE=FQ","FILING_STATUS=MR","SCALING_FORMAT=MLN","Sort=A","Dates=H","DateFormat=P","Fill=—","Direction=H","UseDPDF=Y")</f>
        <v>-2809</v>
      </c>
      <c r="Z45" s="12">
        <f>_xll.BDH("WMT US Equity","PROC_FR_REPURCH_EQTY_DETAILED","FQ2 2022","FQ2 2022","Currency=USD","Period=FQ","BEST_FPERIOD_OVERRIDE=FQ","FILING_STATUS=MR","SCALING_FORMAT=MLN","Sort=A","Dates=H","DateFormat=P","Fill=—","Direction=H","UseDPDF=Y")</f>
        <v>-2391</v>
      </c>
      <c r="AA45" s="12">
        <f>_xll.BDH("WMT US Equity","PROC_FR_REPURCH_EQTY_DETAILED","FQ3 2022","FQ3 2022","Currency=USD","Period=FQ","BEST_FPERIOD_OVERRIDE=FQ","FILING_STATUS=MR","SCALING_FORMAT=MLN","Sort=A","Dates=H","DateFormat=P","Fill=—","Direction=H","UseDPDF=Y")</f>
        <v>-2168</v>
      </c>
      <c r="AB45" s="12">
        <f>_xll.BDH("WMT US Equity","PROC_FR_REPURCH_EQTY_DETAILED","FQ4 2022","FQ4 2022","Currency=USD","Period=FQ","BEST_FPERIOD_OVERRIDE=FQ","FILING_STATUS=MR","SCALING_FORMAT=MLN","Sort=A","Dates=H","DateFormat=P","Fill=—","Direction=H","UseDPDF=Y")</f>
        <v>-2419</v>
      </c>
      <c r="AC45" s="12">
        <f>_xll.BDH("WMT US Equity","PROC_FR_REPURCH_EQTY_DETAILED","FQ1 2023","FQ1 2023","Currency=USD","Period=FQ","BEST_FPERIOD_OVERRIDE=FQ","FILING_STATUS=MR","SCALING_FORMAT=MLN","Sort=A","Dates=H","DateFormat=P","Fill=—","Direction=H","UseDPDF=Y")</f>
        <v>-2408</v>
      </c>
      <c r="AD45" s="12">
        <f>_xll.BDH("WMT US Equity","PROC_FR_REPURCH_EQTY_DETAILED","FQ2 2023","FQ2 2023","Currency=USD","Period=FQ","BEST_FPERIOD_OVERRIDE=FQ","FILING_STATUS=MR","SCALING_FORMAT=MLN","Sort=A","Dates=H","DateFormat=P","Fill=—","Direction=H","UseDPDF=Y")</f>
        <v>-3339</v>
      </c>
      <c r="AE45" s="12">
        <f>_xll.BDH("WMT US Equity","PROC_FR_REPURCH_EQTY_DETAILED","FQ3 2023","FQ3 2023","Currency=USD","Period=FQ","BEST_FPERIOD_OVERRIDE=FQ","FILING_STATUS=MR","SCALING_FORMAT=MLN","Sort=A","Dates=H","DateFormat=P","Fill=—","Direction=H","UseDPDF=Y")</f>
        <v>-2961</v>
      </c>
      <c r="AF45" s="12">
        <f>_xll.BDH("WMT US Equity","PROC_FR_REPURCH_EQTY_DETAILED","FQ4 2023","FQ4 2023","Currency=USD","Period=FQ","BEST_FPERIOD_OVERRIDE=FQ","FILING_STATUS=MR","SCALING_FORMAT=MLN","Sort=A","Dates=H","DateFormat=P","Fill=—","Direction=H","UseDPDF=Y")</f>
        <v>-1212</v>
      </c>
      <c r="AG45" s="12">
        <f>_xll.BDH("WMT US Equity","PROC_FR_REPURCH_EQTY_DETAILED","FQ1 2024","FQ1 2024","Currency=USD","Period=FQ","BEST_FPERIOD_OVERRIDE=FQ","FILING_STATUS=MR","SCALING_FORMAT=MLN","Sort=A","Dates=H","DateFormat=P","Fill=—","Direction=H","UseDPDF=Y")</f>
        <v>-686</v>
      </c>
      <c r="AH45" s="12">
        <f>_xll.BDH("WMT US Equity","PROC_FR_REPURCH_EQTY_DETAILED","FQ2 2024","FQ2 2024","Currency=USD","Period=FQ","BEST_FPERIOD_OVERRIDE=FQ","FILING_STATUS=MR","SCALING_FORMAT=MLN","Sort=A","Dates=H","DateFormat=P","Fill=—","Direction=H","UseDPDF=Y")</f>
        <v>-485</v>
      </c>
      <c r="AI45" s="12">
        <f>_xll.BDH("WMT US Equity","PROC_FR_REPURCH_EQTY_DETAILED","FQ3 2024","FQ3 2024","Currency=USD","Period=FQ","BEST_FPERIOD_OVERRIDE=FQ","FILING_STATUS=MR","SCALING_FORMAT=MLN","Sort=A","Dates=H","DateFormat=P","Fill=—","Direction=H","UseDPDF=Y")</f>
        <v>-111</v>
      </c>
      <c r="AJ45" s="12">
        <f>_xll.BDH("WMT US Equity","PROC_FR_REPURCH_EQTY_DETAILED","FQ4 2024","FQ4 2024","Currency=USD","Period=FQ","BEST_FPERIOD_OVERRIDE=FQ","FILING_STATUS=MR","SCALING_FORMAT=MLN","Sort=A","Dates=H","DateFormat=P","Fill=—","Direction=H","UseDPDF=Y")</f>
        <v>-1497</v>
      </c>
      <c r="AK45" s="12">
        <f>_xll.BDH("WMT US Equity","PROC_FR_REPURCH_EQTY_DETAILED","FQ1 2025","FQ1 2025","Currency=USD","Period=FQ","BEST_FPERIOD_OVERRIDE=FQ","FILING_STATUS=MR","SCALING_FORMAT=MLN","Sort=A","Dates=H","DateFormat=P","Fill=—","Direction=H","UseDPDF=Y")</f>
        <v>-1059</v>
      </c>
      <c r="AL45" s="12">
        <f>_xll.BDH("WMT US Equity","PROC_FR_REPURCH_EQTY_DETAILED","FQ2 2025","FQ2 2025","Currency=USD","Period=FQ","BEST_FPERIOD_OVERRIDE=FQ","FILING_STATUS=MR","SCALING_FORMAT=MLN","Sort=A","Dates=H","DateFormat=P","Fill=—","Direction=H","UseDPDF=Y")</f>
        <v>-1013</v>
      </c>
      <c r="AM45" s="12">
        <f>_xll.BDH("WMT US Equity","PROC_FR_REPURCH_EQTY_DETAILED","FQ3 2025","FQ3 2025","Currency=USD","Period=FQ","BEST_FPERIOD_OVERRIDE=FQ","FILING_STATUS=MR","SCALING_FORMAT=MLN","Sort=A","Dates=H","DateFormat=P","Fill=—","Direction=H","UseDPDF=Y")</f>
        <v>-977</v>
      </c>
      <c r="AN45" s="12">
        <f>_xll.BDH("WMT US Equity","PROC_FR_REPURCH_EQTY_DETAILED","FQ4 2025","FQ4 2025","Currency=USD","Period=FQ","BEST_FPERIOD_OVERRIDE=FQ","FILING_STATUS=MR","SCALING_FORMAT=MLN","Sort=A","Dates=H","DateFormat=P","Fill=—","Direction=H","UseDPDF=Y")</f>
        <v>-1445</v>
      </c>
      <c r="AO45" s="12">
        <f>_xll.BDH("WMT US Equity","PROC_FR_REPURCH_EQTY_DETAILED","FQ1 2026","FQ1 2026","Currency=USD","Period=FQ","BEST_FPERIOD_OVERRIDE=FQ","FILING_STATUS=MR","SCALING_FORMAT=MLN","Sort=A","Dates=H","DateFormat=P","Fill=—","Direction=H","UseDPDF=Y")</f>
        <v>-4555</v>
      </c>
      <c r="AP45" s="12">
        <f>_xll.BDH("WMT US Equity","PROC_FR_REPURCH_EQTY_DETAILED","FQ2 2026","FQ2 2026","Currency=USD","Period=FQ","BEST_FPERIOD_OVERRIDE=FQ","FILING_STATUS=MR","SCALING_FORMAT=MLN","Sort=A","Dates=H","DateFormat=P","Fill=—","Direction=H","UseDPDF=Y")</f>
        <v>-1645</v>
      </c>
    </row>
    <row r="46" spans="1:42" x14ac:dyDescent="0.3">
      <c r="A46" s="10" t="s">
        <v>182</v>
      </c>
      <c r="B46" s="10" t="s">
        <v>122</v>
      </c>
      <c r="C46" s="12">
        <f>_xll.BDH("WMT US Equity","CF_INCR_CAP_STOCK","FQ3 2016","FQ3 2016","Currency=USD","Period=FQ","BEST_FPERIOD_OVERRIDE=FQ","FILING_STATUS=MR","SCALING_FORMAT=MLN","Sort=A","Dates=H","DateFormat=P","Fill=—","Direction=H","UseDPDF=Y")</f>
        <v>0</v>
      </c>
      <c r="D46" s="12">
        <f>_xll.BDH("WMT US Equity","CF_INCR_CAP_STOCK","FQ4 2016","FQ4 2016","Currency=USD","Period=FQ","BEST_FPERIOD_OVERRIDE=FQ","FILING_STATUS=MR","SCALING_FORMAT=MLN","Sort=A","Dates=H","DateFormat=P","Fill=—","Direction=H","UseDPDF=Y")</f>
        <v>0</v>
      </c>
      <c r="E46" s="12">
        <f>_xll.BDH("WMT US Equity","CF_INCR_CAP_STOCK","FQ1 2017","FQ1 2017","Currency=USD","Period=FQ","BEST_FPERIOD_OVERRIDE=FQ","FILING_STATUS=MR","SCALING_FORMAT=MLN","Sort=A","Dates=H","DateFormat=P","Fill=—","Direction=H","UseDPDF=Y")</f>
        <v>0</v>
      </c>
      <c r="F46" s="12">
        <f>_xll.BDH("WMT US Equity","CF_INCR_CAP_STOCK","FQ2 2017","FQ2 2017","Currency=USD","Period=FQ","BEST_FPERIOD_OVERRIDE=FQ","FILING_STATUS=MR","SCALING_FORMAT=MLN","Sort=A","Dates=H","DateFormat=P","Fill=—","Direction=H","UseDPDF=Y")</f>
        <v>0</v>
      </c>
      <c r="G46" s="12">
        <f>_xll.BDH("WMT US Equity","CF_INCR_CAP_STOCK","FQ3 2017","FQ3 2017","Currency=USD","Period=FQ","BEST_FPERIOD_OVERRIDE=FQ","FILING_STATUS=MR","SCALING_FORMAT=MLN","Sort=A","Dates=H","DateFormat=P","Fill=—","Direction=H","UseDPDF=Y")</f>
        <v>0</v>
      </c>
      <c r="H46" s="12">
        <f>_xll.BDH("WMT US Equity","CF_INCR_CAP_STOCK","FQ4 2017","FQ4 2017","Currency=USD","Period=FQ","BEST_FPERIOD_OVERRIDE=FQ","FILING_STATUS=MR","SCALING_FORMAT=MLN","Sort=A","Dates=H","DateFormat=P","Fill=—","Direction=H","UseDPDF=Y")</f>
        <v>0</v>
      </c>
      <c r="I46" s="12">
        <f>_xll.BDH("WMT US Equity","CF_INCR_CAP_STOCK","FQ1 2018","FQ1 2018","Currency=USD","Period=FQ","BEST_FPERIOD_OVERRIDE=FQ","FILING_STATUS=MR","SCALING_FORMAT=MLN","Sort=A","Dates=H","DateFormat=P","Fill=—","Direction=H","UseDPDF=Y")</f>
        <v>0</v>
      </c>
      <c r="J46" s="12">
        <f>_xll.BDH("WMT US Equity","CF_INCR_CAP_STOCK","FQ2 2018","FQ2 2018","Currency=USD","Period=FQ","BEST_FPERIOD_OVERRIDE=FQ","FILING_STATUS=MR","SCALING_FORMAT=MLN","Sort=A","Dates=H","DateFormat=P","Fill=—","Direction=H","UseDPDF=Y")</f>
        <v>0</v>
      </c>
      <c r="K46" s="12">
        <f>_xll.BDH("WMT US Equity","CF_INCR_CAP_STOCK","FQ3 2018","FQ3 2018","Currency=USD","Period=FQ","BEST_FPERIOD_OVERRIDE=FQ","FILING_STATUS=MR","SCALING_FORMAT=MLN","Sort=A","Dates=H","DateFormat=P","Fill=—","Direction=H","UseDPDF=Y")</f>
        <v>0</v>
      </c>
      <c r="L46" s="12">
        <f>_xll.BDH("WMT US Equity","CF_INCR_CAP_STOCK","FQ4 2018","FQ4 2018","Currency=USD","Period=FQ","BEST_FPERIOD_OVERRIDE=FQ","FILING_STATUS=MR","SCALING_FORMAT=MLN","Sort=A","Dates=H","DateFormat=P","Fill=—","Direction=H","UseDPDF=Y")</f>
        <v>0</v>
      </c>
      <c r="M46" s="12">
        <f>_xll.BDH("WMT US Equity","CF_INCR_CAP_STOCK","FQ1 2019","FQ1 2019","Currency=USD","Period=FQ","BEST_FPERIOD_OVERRIDE=FQ","FILING_STATUS=MR","SCALING_FORMAT=MLN","Sort=A","Dates=H","DateFormat=P","Fill=—","Direction=H","UseDPDF=Y")</f>
        <v>0</v>
      </c>
      <c r="N46" s="12">
        <f>_xll.BDH("WMT US Equity","CF_INCR_CAP_STOCK","FQ2 2019","FQ2 2019","Currency=USD","Period=FQ","BEST_FPERIOD_OVERRIDE=FQ","FILING_STATUS=MR","SCALING_FORMAT=MLN","Sort=A","Dates=H","DateFormat=P","Fill=—","Direction=H","UseDPDF=Y")</f>
        <v>0</v>
      </c>
      <c r="O46" s="12">
        <f>_xll.BDH("WMT US Equity","CF_INCR_CAP_STOCK","FQ3 2019","FQ3 2019","Currency=USD","Period=FQ","BEST_FPERIOD_OVERRIDE=FQ","FILING_STATUS=MR","SCALING_FORMAT=MLN","Sort=A","Dates=H","DateFormat=P","Fill=—","Direction=H","UseDPDF=Y")</f>
        <v>0</v>
      </c>
      <c r="P46" s="12">
        <f>_xll.BDH("WMT US Equity","CF_INCR_CAP_STOCK","FQ4 2019","FQ4 2019","Currency=USD","Period=FQ","BEST_FPERIOD_OVERRIDE=FQ","FILING_STATUS=MR","SCALING_FORMAT=MLN","Sort=A","Dates=H","DateFormat=P","Fill=—","Direction=H","UseDPDF=Y")</f>
        <v>0</v>
      </c>
      <c r="Q46" s="12">
        <f>_xll.BDH("WMT US Equity","CF_INCR_CAP_STOCK","FQ1 2020","FQ1 2020","Currency=USD","Period=FQ","BEST_FPERIOD_OVERRIDE=FQ","FILING_STATUS=MR","SCALING_FORMAT=MLN","Sort=A","Dates=H","DateFormat=P","Fill=—","Direction=H","UseDPDF=Y")</f>
        <v>0</v>
      </c>
      <c r="R46" s="12">
        <f>_xll.BDH("WMT US Equity","CF_INCR_CAP_STOCK","FQ2 2020","FQ2 2020","Currency=USD","Period=FQ","BEST_FPERIOD_OVERRIDE=FQ","FILING_STATUS=MR","SCALING_FORMAT=MLN","Sort=A","Dates=H","DateFormat=P","Fill=—","Direction=H","UseDPDF=Y")</f>
        <v>0</v>
      </c>
      <c r="S46" s="12">
        <f>_xll.BDH("WMT US Equity","CF_INCR_CAP_STOCK","FQ3 2020","FQ3 2020","Currency=USD","Period=FQ","BEST_FPERIOD_OVERRIDE=FQ","FILING_STATUS=MR","SCALING_FORMAT=MLN","Sort=A","Dates=H","DateFormat=P","Fill=—","Direction=H","UseDPDF=Y")</f>
        <v>0</v>
      </c>
      <c r="T46" s="12">
        <f>_xll.BDH("WMT US Equity","CF_INCR_CAP_STOCK","FQ4 2020","FQ4 2020","Currency=USD","Period=FQ","BEST_FPERIOD_OVERRIDE=FQ","FILING_STATUS=MR","SCALING_FORMAT=MLN","Sort=A","Dates=H","DateFormat=P","Fill=—","Direction=H","UseDPDF=Y")</f>
        <v>0</v>
      </c>
      <c r="U46" s="12">
        <f>_xll.BDH("WMT US Equity","CF_INCR_CAP_STOCK","FQ1 2021","FQ1 2021","Currency=USD","Period=FQ","BEST_FPERIOD_OVERRIDE=FQ","FILING_STATUS=MR","SCALING_FORMAT=MLN","Sort=A","Dates=H","DateFormat=P","Fill=—","Direction=H","UseDPDF=Y")</f>
        <v>0</v>
      </c>
      <c r="V46" s="12">
        <f>_xll.BDH("WMT US Equity","CF_INCR_CAP_STOCK","FQ2 2021","FQ2 2021","Currency=USD","Period=FQ","BEST_FPERIOD_OVERRIDE=FQ","FILING_STATUS=MR","SCALING_FORMAT=MLN","Sort=A","Dates=H","DateFormat=P","Fill=—","Direction=H","UseDPDF=Y")</f>
        <v>0</v>
      </c>
      <c r="W46" s="12">
        <f>_xll.BDH("WMT US Equity","CF_INCR_CAP_STOCK","FQ3 2021","FQ3 2021","Currency=USD","Period=FQ","BEST_FPERIOD_OVERRIDE=FQ","FILING_STATUS=MR","SCALING_FORMAT=MLN","Sort=A","Dates=H","DateFormat=P","Fill=—","Direction=H","UseDPDF=Y")</f>
        <v>0</v>
      </c>
      <c r="X46" s="12">
        <f>_xll.BDH("WMT US Equity","CF_INCR_CAP_STOCK","FQ4 2021","FQ4 2021","Currency=USD","Period=FQ","BEST_FPERIOD_OVERRIDE=FQ","FILING_STATUS=MR","SCALING_FORMAT=MLN","Sort=A","Dates=H","DateFormat=P","Fill=—","Direction=H","UseDPDF=Y")</f>
        <v>0</v>
      </c>
      <c r="Y46" s="12">
        <f>_xll.BDH("WMT US Equity","CF_INCR_CAP_STOCK","FQ1 2022","FQ1 2022","Currency=USD","Period=FQ","BEST_FPERIOD_OVERRIDE=FQ","FILING_STATUS=MR","SCALING_FORMAT=MLN","Sort=A","Dates=H","DateFormat=P","Fill=—","Direction=H","UseDPDF=Y")</f>
        <v>0</v>
      </c>
      <c r="Z46" s="12">
        <f>_xll.BDH("WMT US Equity","CF_INCR_CAP_STOCK","FQ2 2022","FQ2 2022","Currency=USD","Period=FQ","BEST_FPERIOD_OVERRIDE=FQ","FILING_STATUS=MR","SCALING_FORMAT=MLN","Sort=A","Dates=H","DateFormat=P","Fill=—","Direction=H","UseDPDF=Y")</f>
        <v>0</v>
      </c>
      <c r="AA46" s="12">
        <f>_xll.BDH("WMT US Equity","CF_INCR_CAP_STOCK","FQ3 2022","FQ3 2022","Currency=USD","Period=FQ","BEST_FPERIOD_OVERRIDE=FQ","FILING_STATUS=MR","SCALING_FORMAT=MLN","Sort=A","Dates=H","DateFormat=P","Fill=—","Direction=H","UseDPDF=Y")</f>
        <v>0</v>
      </c>
      <c r="AB46" s="12">
        <f>_xll.BDH("WMT US Equity","CF_INCR_CAP_STOCK","FQ4 2022","FQ4 2022","Currency=USD","Period=FQ","BEST_FPERIOD_OVERRIDE=FQ","FILING_STATUS=MR","SCALING_FORMAT=MLN","Sort=A","Dates=H","DateFormat=P","Fill=—","Direction=H","UseDPDF=Y")</f>
        <v>0</v>
      </c>
      <c r="AC46" s="12">
        <f>_xll.BDH("WMT US Equity","CF_INCR_CAP_STOCK","FQ1 2023","FQ1 2023","Currency=USD","Period=FQ","BEST_FPERIOD_OVERRIDE=FQ","FILING_STATUS=MR","SCALING_FORMAT=MLN","Sort=A","Dates=H","DateFormat=P","Fill=—","Direction=H","UseDPDF=Y")</f>
        <v>0</v>
      </c>
      <c r="AD46" s="12">
        <f>_xll.BDH("WMT US Equity","CF_INCR_CAP_STOCK","FQ2 2023","FQ2 2023","Currency=USD","Period=FQ","BEST_FPERIOD_OVERRIDE=FQ","FILING_STATUS=MR","SCALING_FORMAT=MLN","Sort=A","Dates=H","DateFormat=P","Fill=—","Direction=H","UseDPDF=Y")</f>
        <v>0</v>
      </c>
      <c r="AE46" s="12">
        <f>_xll.BDH("WMT US Equity","CF_INCR_CAP_STOCK","FQ3 2023","FQ3 2023","Currency=USD","Period=FQ","BEST_FPERIOD_OVERRIDE=FQ","FILING_STATUS=MR","SCALING_FORMAT=MLN","Sort=A","Dates=H","DateFormat=P","Fill=—","Direction=H","UseDPDF=Y")</f>
        <v>0</v>
      </c>
      <c r="AF46" s="12">
        <f>_xll.BDH("WMT US Equity","CF_INCR_CAP_STOCK","FQ4 2023","FQ4 2023","Currency=USD","Period=FQ","BEST_FPERIOD_OVERRIDE=FQ","FILING_STATUS=MR","SCALING_FORMAT=MLN","Sort=A","Dates=H","DateFormat=P","Fill=—","Direction=H","UseDPDF=Y")</f>
        <v>0</v>
      </c>
      <c r="AG46" s="12">
        <f>_xll.BDH("WMT US Equity","CF_INCR_CAP_STOCK","FQ1 2024","FQ1 2024","Currency=USD","Period=FQ","BEST_FPERIOD_OVERRIDE=FQ","FILING_STATUS=MR","SCALING_FORMAT=MLN","Sort=A","Dates=H","DateFormat=P","Fill=—","Direction=H","UseDPDF=Y")</f>
        <v>0</v>
      </c>
      <c r="AH46" s="12">
        <f>_xll.BDH("WMT US Equity","CF_INCR_CAP_STOCK","FQ2 2024","FQ2 2024","Currency=USD","Period=FQ","BEST_FPERIOD_OVERRIDE=FQ","FILING_STATUS=MR","SCALING_FORMAT=MLN","Sort=A","Dates=H","DateFormat=P","Fill=—","Direction=H","UseDPDF=Y")</f>
        <v>0</v>
      </c>
      <c r="AI46" s="12">
        <f>_xll.BDH("WMT US Equity","CF_INCR_CAP_STOCK","FQ3 2024","FQ3 2024","Currency=USD","Period=FQ","BEST_FPERIOD_OVERRIDE=FQ","FILING_STATUS=MR","SCALING_FORMAT=MLN","Sort=A","Dates=H","DateFormat=P","Fill=—","Direction=H","UseDPDF=Y")</f>
        <v>0</v>
      </c>
      <c r="AJ46" s="12">
        <f>_xll.BDH("WMT US Equity","CF_INCR_CAP_STOCK","FQ4 2024","FQ4 2024","Currency=USD","Period=FQ","BEST_FPERIOD_OVERRIDE=FQ","FILING_STATUS=MR","SCALING_FORMAT=MLN","Sort=A","Dates=H","DateFormat=P","Fill=—","Direction=H","UseDPDF=Y")</f>
        <v>0</v>
      </c>
      <c r="AK46" s="12">
        <f>_xll.BDH("WMT US Equity","CF_INCR_CAP_STOCK","FQ1 2025","FQ1 2025","Currency=USD","Period=FQ","BEST_FPERIOD_OVERRIDE=FQ","FILING_STATUS=MR","SCALING_FORMAT=MLN","Sort=A","Dates=H","DateFormat=P","Fill=—","Direction=H","UseDPDF=Y")</f>
        <v>0</v>
      </c>
      <c r="AL46" s="12">
        <f>_xll.BDH("WMT US Equity","CF_INCR_CAP_STOCK","FQ2 2025","FQ2 2025","Currency=USD","Period=FQ","BEST_FPERIOD_OVERRIDE=FQ","FILING_STATUS=MR","SCALING_FORMAT=MLN","Sort=A","Dates=H","DateFormat=P","Fill=—","Direction=H","UseDPDF=Y")</f>
        <v>0</v>
      </c>
      <c r="AM46" s="12">
        <f>_xll.BDH("WMT US Equity","CF_INCR_CAP_STOCK","FQ3 2025","FQ3 2025","Currency=USD","Period=FQ","BEST_FPERIOD_OVERRIDE=FQ","FILING_STATUS=MR","SCALING_FORMAT=MLN","Sort=A","Dates=H","DateFormat=P","Fill=—","Direction=H","UseDPDF=Y")</f>
        <v>0</v>
      </c>
      <c r="AN46" s="12">
        <f>_xll.BDH("WMT US Equity","CF_INCR_CAP_STOCK","FQ4 2025","FQ4 2025","Currency=USD","Period=FQ","BEST_FPERIOD_OVERRIDE=FQ","FILING_STATUS=MR","SCALING_FORMAT=MLN","Sort=A","Dates=H","DateFormat=P","Fill=—","Direction=H","UseDPDF=Y")</f>
        <v>0</v>
      </c>
      <c r="AO46" s="12">
        <f>_xll.BDH("WMT US Equity","CF_INCR_CAP_STOCK","FQ1 2026","FQ1 2026","Currency=USD","Period=FQ","BEST_FPERIOD_OVERRIDE=FQ","FILING_STATUS=MR","SCALING_FORMAT=MLN","Sort=A","Dates=H","DateFormat=P","Fill=—","Direction=H","UseDPDF=Y")</f>
        <v>0</v>
      </c>
      <c r="AP46" s="12">
        <f>_xll.BDH("WMT US Equity","CF_INCR_CAP_STOCK","FQ2 2026","FQ2 2026","Currency=USD","Period=FQ","BEST_FPERIOD_OVERRIDE=FQ","FILING_STATUS=MR","SCALING_FORMAT=MLN","Sort=A","Dates=H","DateFormat=P","Fill=—","Direction=H","UseDPDF=Y")</f>
        <v>0</v>
      </c>
    </row>
    <row r="47" spans="1:42" x14ac:dyDescent="0.3">
      <c r="A47" s="10" t="s">
        <v>183</v>
      </c>
      <c r="B47" s="10" t="s">
        <v>123</v>
      </c>
      <c r="C47" s="12">
        <f>_xll.BDH("WMT US Equity","CF_DECR_CAP_STOCK","FQ3 2016","FQ3 2016","Currency=USD","Period=FQ","BEST_FPERIOD_OVERRIDE=FQ","FILING_STATUS=MR","SCALING_FORMAT=MLN","Sort=A","Dates=H","DateFormat=P","Fill=—","Direction=H","UseDPDF=Y")</f>
        <v>-437</v>
      </c>
      <c r="D47" s="12">
        <f>_xll.BDH("WMT US Equity","CF_DECR_CAP_STOCK","FQ4 2016","FQ4 2016","Currency=USD","Period=FQ","BEST_FPERIOD_OVERRIDE=FQ","FILING_STATUS=MR","SCALING_FORMAT=MLN","Sort=A","Dates=H","DateFormat=P","Fill=—","Direction=H","UseDPDF=Y")</f>
        <v>-2392</v>
      </c>
      <c r="E47" s="12">
        <f>_xll.BDH("WMT US Equity","CF_DECR_CAP_STOCK","FQ1 2017","FQ1 2017","Currency=USD","Period=FQ","BEST_FPERIOD_OVERRIDE=FQ","FILING_STATUS=MR","SCALING_FORMAT=MLN","Sort=A","Dates=H","DateFormat=P","Fill=—","Direction=H","UseDPDF=Y")</f>
        <v>-2735</v>
      </c>
      <c r="F47" s="12">
        <f>_xll.BDH("WMT US Equity","CF_DECR_CAP_STOCK","FQ2 2017","FQ2 2017","Currency=USD","Period=FQ","BEST_FPERIOD_OVERRIDE=FQ","FILING_STATUS=MR","SCALING_FORMAT=MLN","Sort=A","Dates=H","DateFormat=P","Fill=—","Direction=H","UseDPDF=Y")</f>
        <v>-2117</v>
      </c>
      <c r="G47" s="12">
        <f>_xll.BDH("WMT US Equity","CF_DECR_CAP_STOCK","FQ3 2017","FQ3 2017","Currency=USD","Period=FQ","BEST_FPERIOD_OVERRIDE=FQ","FILING_STATUS=MR","SCALING_FORMAT=MLN","Sort=A","Dates=H","DateFormat=P","Fill=—","Direction=H","UseDPDF=Y")</f>
        <v>-1402</v>
      </c>
      <c r="H47" s="12">
        <f>_xll.BDH("WMT US Equity","CF_DECR_CAP_STOCK","FQ4 2017","FQ4 2017","Currency=USD","Period=FQ","BEST_FPERIOD_OVERRIDE=FQ","FILING_STATUS=MR","SCALING_FORMAT=MLN","Sort=A","Dates=H","DateFormat=P","Fill=—","Direction=H","UseDPDF=Y")</f>
        <v>-2044</v>
      </c>
      <c r="I47" s="12">
        <f>_xll.BDH("WMT US Equity","CF_DECR_CAP_STOCK","FQ1 2018","FQ1 2018","Currency=USD","Period=FQ","BEST_FPERIOD_OVERRIDE=FQ","FILING_STATUS=MR","SCALING_FORMAT=MLN","Sort=A","Dates=H","DateFormat=P","Fill=—","Direction=H","UseDPDF=Y")</f>
        <v>-2185</v>
      </c>
      <c r="J47" s="12">
        <f>_xll.BDH("WMT US Equity","CF_DECR_CAP_STOCK","FQ2 2018","FQ2 2018","Currency=USD","Period=FQ","BEST_FPERIOD_OVERRIDE=FQ","FILING_STATUS=MR","SCALING_FORMAT=MLN","Sort=A","Dates=H","DateFormat=P","Fill=—","Direction=H","UseDPDF=Y")</f>
        <v>-2262</v>
      </c>
      <c r="K47" s="12">
        <f>_xll.BDH("WMT US Equity","CF_DECR_CAP_STOCK","FQ3 2018","FQ3 2018","Currency=USD","Period=FQ","BEST_FPERIOD_OVERRIDE=FQ","FILING_STATUS=MR","SCALING_FORMAT=MLN","Sort=A","Dates=H","DateFormat=P","Fill=—","Direction=H","UseDPDF=Y")</f>
        <v>-2209</v>
      </c>
      <c r="L47" s="12">
        <f>_xll.BDH("WMT US Equity","CF_DECR_CAP_STOCK","FQ4 2018","FQ4 2018","Currency=USD","Period=FQ","BEST_FPERIOD_OVERRIDE=FQ","FILING_STATUS=MR","SCALING_FORMAT=MLN","Sort=A","Dates=H","DateFormat=P","Fill=—","Direction=H","UseDPDF=Y")</f>
        <v>-1640</v>
      </c>
      <c r="M47" s="12">
        <f>_xll.BDH("WMT US Equity","CF_DECR_CAP_STOCK","FQ1 2019","FQ1 2019","Currency=USD","Period=FQ","BEST_FPERIOD_OVERRIDE=FQ","FILING_STATUS=MR","SCALING_FORMAT=MLN","Sort=A","Dates=H","DateFormat=P","Fill=—","Direction=H","UseDPDF=Y")</f>
        <v>-539</v>
      </c>
      <c r="N47" s="12">
        <f>_xll.BDH("WMT US Equity","CF_DECR_CAP_STOCK","FQ2 2019","FQ2 2019","Currency=USD","Period=FQ","BEST_FPERIOD_OVERRIDE=FQ","FILING_STATUS=MR","SCALING_FORMAT=MLN","Sort=A","Dates=H","DateFormat=P","Fill=—","Direction=H","UseDPDF=Y")</f>
        <v>-1305</v>
      </c>
      <c r="O47" s="12">
        <f>_xll.BDH("WMT US Equity","CF_DECR_CAP_STOCK","FQ3 2019","FQ3 2019","Currency=USD","Period=FQ","BEST_FPERIOD_OVERRIDE=FQ","FILING_STATUS=MR","SCALING_FORMAT=MLN","Sort=A","Dates=H","DateFormat=P","Fill=—","Direction=H","UseDPDF=Y")</f>
        <v>-2317</v>
      </c>
      <c r="P47" s="12">
        <f>_xll.BDH("WMT US Equity","CF_DECR_CAP_STOCK","FQ4 2019","FQ4 2019","Currency=USD","Period=FQ","BEST_FPERIOD_OVERRIDE=FQ","FILING_STATUS=MR","SCALING_FORMAT=MLN","Sort=A","Dates=H","DateFormat=P","Fill=—","Direction=H","UseDPDF=Y")</f>
        <v>-3249</v>
      </c>
      <c r="Q47" s="12">
        <f>_xll.BDH("WMT US Equity","CF_DECR_CAP_STOCK","FQ1 2020","FQ1 2020","Currency=USD","Period=FQ","BEST_FPERIOD_OVERRIDE=FQ","FILING_STATUS=MR","SCALING_FORMAT=MLN","Sort=A","Dates=H","DateFormat=P","Fill=—","Direction=H","UseDPDF=Y")</f>
        <v>-2135</v>
      </c>
      <c r="R47" s="12">
        <f>_xll.BDH("WMT US Equity","CF_DECR_CAP_STOCK","FQ2 2020","FQ2 2020","Currency=USD","Period=FQ","BEST_FPERIOD_OVERRIDE=FQ","FILING_STATUS=MR","SCALING_FORMAT=MLN","Sort=A","Dates=H","DateFormat=P","Fill=—","Direction=H","UseDPDF=Y")</f>
        <v>-1572</v>
      </c>
      <c r="S47" s="12">
        <f>_xll.BDH("WMT US Equity","CF_DECR_CAP_STOCK","FQ3 2020","FQ3 2020","Currency=USD","Period=FQ","BEST_FPERIOD_OVERRIDE=FQ","FILING_STATUS=MR","SCALING_FORMAT=MLN","Sort=A","Dates=H","DateFormat=P","Fill=—","Direction=H","UseDPDF=Y")</f>
        <v>-1122</v>
      </c>
      <c r="T47" s="12">
        <f>_xll.BDH("WMT US Equity","CF_DECR_CAP_STOCK","FQ4 2020","FQ4 2020","Currency=USD","Period=FQ","BEST_FPERIOD_OVERRIDE=FQ","FILING_STATUS=MR","SCALING_FORMAT=MLN","Sort=A","Dates=H","DateFormat=P","Fill=—","Direction=H","UseDPDF=Y")</f>
        <v>-888</v>
      </c>
      <c r="U47" s="12">
        <f>_xll.BDH("WMT US Equity","CF_DECR_CAP_STOCK","FQ1 2021","FQ1 2021","Currency=USD","Period=FQ","BEST_FPERIOD_OVERRIDE=FQ","FILING_STATUS=MR","SCALING_FORMAT=MLN","Sort=A","Dates=H","DateFormat=P","Fill=—","Direction=H","UseDPDF=Y")</f>
        <v>-723</v>
      </c>
      <c r="V47" s="12">
        <f>_xll.BDH("WMT US Equity","CF_DECR_CAP_STOCK","FQ2 2021","FQ2 2021","Currency=USD","Period=FQ","BEST_FPERIOD_OVERRIDE=FQ","FILING_STATUS=MR","SCALING_FORMAT=MLN","Sort=A","Dates=H","DateFormat=P","Fill=—","Direction=H","UseDPDF=Y")</f>
        <v>0</v>
      </c>
      <c r="W47" s="12">
        <f>_xll.BDH("WMT US Equity","CF_DECR_CAP_STOCK","FQ3 2021","FQ3 2021","Currency=USD","Period=FQ","BEST_FPERIOD_OVERRIDE=FQ","FILING_STATUS=MR","SCALING_FORMAT=MLN","Sort=A","Dates=H","DateFormat=P","Fill=—","Direction=H","UseDPDF=Y")</f>
        <v>-463</v>
      </c>
      <c r="X47" s="12">
        <f>_xll.BDH("WMT US Equity","CF_DECR_CAP_STOCK","FQ4 2021","FQ4 2021","Currency=USD","Period=FQ","BEST_FPERIOD_OVERRIDE=FQ","FILING_STATUS=MR","SCALING_FORMAT=MLN","Sort=A","Dates=H","DateFormat=P","Fill=—","Direction=H","UseDPDF=Y")</f>
        <v>-1439</v>
      </c>
      <c r="Y47" s="12">
        <f>_xll.BDH("WMT US Equity","CF_DECR_CAP_STOCK","FQ1 2022","FQ1 2022","Currency=USD","Period=FQ","BEST_FPERIOD_OVERRIDE=FQ","FILING_STATUS=MR","SCALING_FORMAT=MLN","Sort=A","Dates=H","DateFormat=P","Fill=—","Direction=H","UseDPDF=Y")</f>
        <v>-2809</v>
      </c>
      <c r="Z47" s="12">
        <f>_xll.BDH("WMT US Equity","CF_DECR_CAP_STOCK","FQ2 2022","FQ2 2022","Currency=USD","Period=FQ","BEST_FPERIOD_OVERRIDE=FQ","FILING_STATUS=MR","SCALING_FORMAT=MLN","Sort=A","Dates=H","DateFormat=P","Fill=—","Direction=H","UseDPDF=Y")</f>
        <v>-2391</v>
      </c>
      <c r="AA47" s="12">
        <f>_xll.BDH("WMT US Equity","CF_DECR_CAP_STOCK","FQ3 2022","FQ3 2022","Currency=USD","Period=FQ","BEST_FPERIOD_OVERRIDE=FQ","FILING_STATUS=MR","SCALING_FORMAT=MLN","Sort=A","Dates=H","DateFormat=P","Fill=—","Direction=H","UseDPDF=Y")</f>
        <v>-2168</v>
      </c>
      <c r="AB47" s="12">
        <f>_xll.BDH("WMT US Equity","CF_DECR_CAP_STOCK","FQ4 2022","FQ4 2022","Currency=USD","Period=FQ","BEST_FPERIOD_OVERRIDE=FQ","FILING_STATUS=MR","SCALING_FORMAT=MLN","Sort=A","Dates=H","DateFormat=P","Fill=—","Direction=H","UseDPDF=Y")</f>
        <v>-2419</v>
      </c>
      <c r="AC47" s="12">
        <f>_xll.BDH("WMT US Equity","CF_DECR_CAP_STOCK","FQ1 2023","FQ1 2023","Currency=USD","Period=FQ","BEST_FPERIOD_OVERRIDE=FQ","FILING_STATUS=MR","SCALING_FORMAT=MLN","Sort=A","Dates=H","DateFormat=P","Fill=—","Direction=H","UseDPDF=Y")</f>
        <v>-2408</v>
      </c>
      <c r="AD47" s="12">
        <f>_xll.BDH("WMT US Equity","CF_DECR_CAP_STOCK","FQ2 2023","FQ2 2023","Currency=USD","Period=FQ","BEST_FPERIOD_OVERRIDE=FQ","FILING_STATUS=MR","SCALING_FORMAT=MLN","Sort=A","Dates=H","DateFormat=P","Fill=—","Direction=H","UseDPDF=Y")</f>
        <v>-3339</v>
      </c>
      <c r="AE47" s="12">
        <f>_xll.BDH("WMT US Equity","CF_DECR_CAP_STOCK","FQ3 2023","FQ3 2023","Currency=USD","Period=FQ","BEST_FPERIOD_OVERRIDE=FQ","FILING_STATUS=MR","SCALING_FORMAT=MLN","Sort=A","Dates=H","DateFormat=P","Fill=—","Direction=H","UseDPDF=Y")</f>
        <v>-2961</v>
      </c>
      <c r="AF47" s="12">
        <f>_xll.BDH("WMT US Equity","CF_DECR_CAP_STOCK","FQ4 2023","FQ4 2023","Currency=USD","Period=FQ","BEST_FPERIOD_OVERRIDE=FQ","FILING_STATUS=MR","SCALING_FORMAT=MLN","Sort=A","Dates=H","DateFormat=P","Fill=—","Direction=H","UseDPDF=Y")</f>
        <v>-1212</v>
      </c>
      <c r="AG47" s="12">
        <f>_xll.BDH("WMT US Equity","CF_DECR_CAP_STOCK","FQ1 2024","FQ1 2024","Currency=USD","Period=FQ","BEST_FPERIOD_OVERRIDE=FQ","FILING_STATUS=MR","SCALING_FORMAT=MLN","Sort=A","Dates=H","DateFormat=P","Fill=—","Direction=H","UseDPDF=Y")</f>
        <v>-686</v>
      </c>
      <c r="AH47" s="12">
        <f>_xll.BDH("WMT US Equity","CF_DECR_CAP_STOCK","FQ2 2024","FQ2 2024","Currency=USD","Period=FQ","BEST_FPERIOD_OVERRIDE=FQ","FILING_STATUS=MR","SCALING_FORMAT=MLN","Sort=A","Dates=H","DateFormat=P","Fill=—","Direction=H","UseDPDF=Y")</f>
        <v>-485</v>
      </c>
      <c r="AI47" s="12">
        <f>_xll.BDH("WMT US Equity","CF_DECR_CAP_STOCK","FQ3 2024","FQ3 2024","Currency=USD","Period=FQ","BEST_FPERIOD_OVERRIDE=FQ","FILING_STATUS=MR","SCALING_FORMAT=MLN","Sort=A","Dates=H","DateFormat=P","Fill=—","Direction=H","UseDPDF=Y")</f>
        <v>-111</v>
      </c>
      <c r="AJ47" s="12">
        <f>_xll.BDH("WMT US Equity","CF_DECR_CAP_STOCK","FQ4 2024","FQ4 2024","Currency=USD","Period=FQ","BEST_FPERIOD_OVERRIDE=FQ","FILING_STATUS=MR","SCALING_FORMAT=MLN","Sort=A","Dates=H","DateFormat=P","Fill=—","Direction=H","UseDPDF=Y")</f>
        <v>-1497</v>
      </c>
      <c r="AK47" s="12">
        <f>_xll.BDH("WMT US Equity","CF_DECR_CAP_STOCK","FQ1 2025","FQ1 2025","Currency=USD","Period=FQ","BEST_FPERIOD_OVERRIDE=FQ","FILING_STATUS=MR","SCALING_FORMAT=MLN","Sort=A","Dates=H","DateFormat=P","Fill=—","Direction=H","UseDPDF=Y")</f>
        <v>-1059</v>
      </c>
      <c r="AL47" s="12">
        <f>_xll.BDH("WMT US Equity","CF_DECR_CAP_STOCK","FQ2 2025","FQ2 2025","Currency=USD","Period=FQ","BEST_FPERIOD_OVERRIDE=FQ","FILING_STATUS=MR","SCALING_FORMAT=MLN","Sort=A","Dates=H","DateFormat=P","Fill=—","Direction=H","UseDPDF=Y")</f>
        <v>-1013</v>
      </c>
      <c r="AM47" s="12">
        <f>_xll.BDH("WMT US Equity","CF_DECR_CAP_STOCK","FQ3 2025","FQ3 2025","Currency=USD","Period=FQ","BEST_FPERIOD_OVERRIDE=FQ","FILING_STATUS=MR","SCALING_FORMAT=MLN","Sort=A","Dates=H","DateFormat=P","Fill=—","Direction=H","UseDPDF=Y")</f>
        <v>-977</v>
      </c>
      <c r="AN47" s="12">
        <f>_xll.BDH("WMT US Equity","CF_DECR_CAP_STOCK","FQ4 2025","FQ4 2025","Currency=USD","Period=FQ","BEST_FPERIOD_OVERRIDE=FQ","FILING_STATUS=MR","SCALING_FORMAT=MLN","Sort=A","Dates=H","DateFormat=P","Fill=—","Direction=H","UseDPDF=Y")</f>
        <v>-1445</v>
      </c>
      <c r="AO47" s="12">
        <f>_xll.BDH("WMT US Equity","CF_DECR_CAP_STOCK","FQ1 2026","FQ1 2026","Currency=USD","Period=FQ","BEST_FPERIOD_OVERRIDE=FQ","FILING_STATUS=MR","SCALING_FORMAT=MLN","Sort=A","Dates=H","DateFormat=P","Fill=—","Direction=H","UseDPDF=Y")</f>
        <v>-4555</v>
      </c>
      <c r="AP47" s="12">
        <f>_xll.BDH("WMT US Equity","CF_DECR_CAP_STOCK","FQ2 2026","FQ2 2026","Currency=USD","Period=FQ","BEST_FPERIOD_OVERRIDE=FQ","FILING_STATUS=MR","SCALING_FORMAT=MLN","Sort=A","Dates=H","DateFormat=P","Fill=—","Direction=H","UseDPDF=Y")</f>
        <v>-1645</v>
      </c>
    </row>
    <row r="48" spans="1:42" x14ac:dyDescent="0.3">
      <c r="A48" s="10" t="s">
        <v>184</v>
      </c>
      <c r="B48" s="10" t="s">
        <v>124</v>
      </c>
      <c r="C48" s="12">
        <f>_xll.BDH("WMT US Equity","OTHER_FIN_AND_DEC_CAP","FQ3 2016","FQ3 2016","Currency=USD","Period=FQ","BEST_FPERIOD_OVERRIDE=FQ","FILING_STATUS=MR","SCALING_FORMAT=MLN","Sort=A","Dates=H","DateFormat=P","Fill=—","Direction=H","UseDPDF=Y")</f>
        <v>-476</v>
      </c>
      <c r="D48" s="12">
        <f>_xll.BDH("WMT US Equity","OTHER_FIN_AND_DEC_CAP","FQ4 2016","FQ4 2016","Currency=USD","Period=FQ","BEST_FPERIOD_OVERRIDE=FQ","FILING_STATUS=MR","SCALING_FORMAT=MLN","Sort=A","Dates=H","DateFormat=P","Fill=—","Direction=H","UseDPDF=Y")</f>
        <v>-754</v>
      </c>
      <c r="E48" s="12">
        <f>_xll.BDH("WMT US Equity","OTHER_FIN_AND_DEC_CAP","FQ1 2017","FQ1 2017","Currency=USD","Period=FQ","BEST_FPERIOD_OVERRIDE=FQ","FILING_STATUS=MR","SCALING_FORMAT=MLN","Sort=A","Dates=H","DateFormat=P","Fill=—","Direction=H","UseDPDF=Y")</f>
        <v>-303</v>
      </c>
      <c r="F48" s="12">
        <f>_xll.BDH("WMT US Equity","OTHER_FIN_AND_DEC_CAP","FQ2 2017","FQ2 2017","Currency=USD","Period=FQ","BEST_FPERIOD_OVERRIDE=FQ","FILING_STATUS=MR","SCALING_FORMAT=MLN","Sort=A","Dates=H","DateFormat=P","Fill=—","Direction=H","UseDPDF=Y")</f>
        <v>-173</v>
      </c>
      <c r="G48" s="12">
        <f>_xll.BDH("WMT US Equity","OTHER_FIN_AND_DEC_CAP","FQ3 2017","FQ3 2017","Currency=USD","Period=FQ","BEST_FPERIOD_OVERRIDE=FQ","FILING_STATUS=MR","SCALING_FORMAT=MLN","Sort=A","Dates=H","DateFormat=P","Fill=—","Direction=H","UseDPDF=Y")</f>
        <v>-256</v>
      </c>
      <c r="H48" s="12">
        <f>_xll.BDH("WMT US Equity","OTHER_FIN_AND_DEC_CAP","FQ4 2017","FQ4 2017","Currency=USD","Period=FQ","BEST_FPERIOD_OVERRIDE=FQ","FILING_STATUS=MR","SCALING_FORMAT=MLN","Sort=A","Dates=H","DateFormat=P","Fill=—","Direction=H","UseDPDF=Y")</f>
        <v>-235</v>
      </c>
      <c r="I48" s="12">
        <f>_xll.BDH("WMT US Equity","OTHER_FIN_AND_DEC_CAP","FQ1 2018","FQ1 2018","Currency=USD","Period=FQ","BEST_FPERIOD_OVERRIDE=FQ","FILING_STATUS=MR","SCALING_FORMAT=MLN","Sort=A","Dates=H","DateFormat=P","Fill=—","Direction=H","UseDPDF=Y")</f>
        <v>-207</v>
      </c>
      <c r="J48" s="12">
        <f>_xll.BDH("WMT US Equity","OTHER_FIN_AND_DEC_CAP","FQ2 2018","FQ2 2018","Currency=USD","Period=FQ","BEST_FPERIOD_OVERRIDE=FQ","FILING_STATUS=MR","SCALING_FORMAT=MLN","Sort=A","Dates=H","DateFormat=P","Fill=—","Direction=H","UseDPDF=Y")</f>
        <v>-1136</v>
      </c>
      <c r="K48" s="12">
        <f>_xll.BDH("WMT US Equity","OTHER_FIN_AND_DEC_CAP","FQ3 2018","FQ3 2018","Currency=USD","Period=FQ","BEST_FPERIOD_OVERRIDE=FQ","FILING_STATUS=MR","SCALING_FORMAT=MLN","Sort=A","Dates=H","DateFormat=P","Fill=—","Direction=H","UseDPDF=Y")</f>
        <v>643</v>
      </c>
      <c r="L48" s="12">
        <f>_xll.BDH("WMT US Equity","OTHER_FIN_AND_DEC_CAP","FQ4 2018","FQ4 2018","Currency=USD","Period=FQ","BEST_FPERIOD_OVERRIDE=FQ","FILING_STATUS=MR","SCALING_FORMAT=MLN","Sort=A","Dates=H","DateFormat=P","Fill=—","Direction=H","UseDPDF=Y")</f>
        <v>-3318</v>
      </c>
      <c r="M48" s="12">
        <f>_xll.BDH("WMT US Equity","OTHER_FIN_AND_DEC_CAP","FQ1 2019","FQ1 2019","Currency=USD","Period=FQ","BEST_FPERIOD_OVERRIDE=FQ","FILING_STATUS=MR","SCALING_FORMAT=MLN","Sort=A","Dates=H","DateFormat=P","Fill=—","Direction=H","UseDPDF=Y")</f>
        <v>-394</v>
      </c>
      <c r="N48" s="12">
        <f>_xll.BDH("WMT US Equity","OTHER_FIN_AND_DEC_CAP","FQ2 2019","FQ2 2019","Currency=USD","Period=FQ","BEST_FPERIOD_OVERRIDE=FQ","FILING_STATUS=MR","SCALING_FORMAT=MLN","Sort=A","Dates=H","DateFormat=P","Fill=—","Direction=H","UseDPDF=Y")</f>
        <v>-255</v>
      </c>
      <c r="O48" s="12">
        <f>_xll.BDH("WMT US Equity","OTHER_FIN_AND_DEC_CAP","FQ3 2019","FQ3 2019","Currency=USD","Period=FQ","BEST_FPERIOD_OVERRIDE=FQ","FILING_STATUS=MR","SCALING_FORMAT=MLN","Sort=A","Dates=H","DateFormat=P","Fill=—","Direction=H","UseDPDF=Y")</f>
        <v>-84</v>
      </c>
      <c r="P48" s="12">
        <f>_xll.BDH("WMT US Equity","OTHER_FIN_AND_DEC_CAP","FQ4 2019","FQ4 2019","Currency=USD","Period=FQ","BEST_FPERIOD_OVERRIDE=FQ","FILING_STATUS=MR","SCALING_FORMAT=MLN","Sort=A","Dates=H","DateFormat=P","Fill=—","Direction=H","UseDPDF=Y")</f>
        <v>-327</v>
      </c>
      <c r="Q48" s="12">
        <f>_xll.BDH("WMT US Equity","OTHER_FIN_AND_DEC_CAP","FQ1 2020","FQ1 2020","Currency=USD","Period=FQ","BEST_FPERIOD_OVERRIDE=FQ","FILING_STATUS=MR","SCALING_FORMAT=MLN","Sort=A","Dates=H","DateFormat=P","Fill=—","Direction=H","UseDPDF=Y")</f>
        <v>-406</v>
      </c>
      <c r="R48" s="12">
        <f>_xll.BDH("WMT US Equity","OTHER_FIN_AND_DEC_CAP","FQ2 2020","FQ2 2020","Currency=USD","Period=FQ","BEST_FPERIOD_OVERRIDE=FQ","FILING_STATUS=MR","SCALING_FORMAT=MLN","Sort=A","Dates=H","DateFormat=P","Fill=—","Direction=H","UseDPDF=Y")</f>
        <v>-431</v>
      </c>
      <c r="S48" s="12">
        <f>_xll.BDH("WMT US Equity","OTHER_FIN_AND_DEC_CAP","FQ3 2020","FQ3 2020","Currency=USD","Period=FQ","BEST_FPERIOD_OVERRIDE=FQ","FILING_STATUS=MR","SCALING_FORMAT=MLN","Sort=A","Dates=H","DateFormat=P","Fill=—","Direction=H","UseDPDF=Y")</f>
        <v>-305</v>
      </c>
      <c r="T48" s="12">
        <f>_xll.BDH("WMT US Equity","OTHER_FIN_AND_DEC_CAP","FQ4 2020","FQ4 2020","Currency=USD","Period=FQ","BEST_FPERIOD_OVERRIDE=FQ","FILING_STATUS=MR","SCALING_FORMAT=MLN","Sort=A","Dates=H","DateFormat=P","Fill=—","Direction=H","UseDPDF=Y")</f>
        <v>-321</v>
      </c>
      <c r="U48" s="12">
        <f>_xll.BDH("WMT US Equity","OTHER_FIN_AND_DEC_CAP","FQ1 2021","FQ1 2021","Currency=USD","Period=FQ","BEST_FPERIOD_OVERRIDE=FQ","FILING_STATUS=MR","SCALING_FORMAT=MLN","Sort=A","Dates=H","DateFormat=P","Fill=—","Direction=H","UseDPDF=Y")</f>
        <v>-725</v>
      </c>
      <c r="V48" s="12">
        <f>_xll.BDH("WMT US Equity","OTHER_FIN_AND_DEC_CAP","FQ2 2021","FQ2 2021","Currency=USD","Period=FQ","BEST_FPERIOD_OVERRIDE=FQ","FILING_STATUS=MR","SCALING_FORMAT=MLN","Sort=A","Dates=H","DateFormat=P","Fill=—","Direction=H","UseDPDF=Y")</f>
        <v>-193</v>
      </c>
      <c r="W48" s="12">
        <f>_xll.BDH("WMT US Equity","OTHER_FIN_AND_DEC_CAP","FQ3 2021","FQ3 2021","Currency=USD","Period=FQ","BEST_FPERIOD_OVERRIDE=FQ","FILING_STATUS=MR","SCALING_FORMAT=MLN","Sort=A","Dates=H","DateFormat=P","Fill=—","Direction=H","UseDPDF=Y")</f>
        <v>-221</v>
      </c>
      <c r="X48" s="12">
        <f>_xll.BDH("WMT US Equity","OTHER_FIN_AND_DEC_CAP","FQ4 2021","FQ4 2021","Currency=USD","Period=FQ","BEST_FPERIOD_OVERRIDE=FQ","FILING_STATUS=MR","SCALING_FORMAT=MLN","Sort=A","Dates=H","DateFormat=P","Fill=—","Direction=H","UseDPDF=Y")</f>
        <v>-531</v>
      </c>
      <c r="Y48" s="12">
        <f>_xll.BDH("WMT US Equity","OTHER_FIN_AND_DEC_CAP","FQ1 2022","FQ1 2022","Currency=USD","Period=FQ","BEST_FPERIOD_OVERRIDE=FQ","FILING_STATUS=MR","SCALING_FORMAT=MLN","Sort=A","Dates=H","DateFormat=P","Fill=—","Direction=H","UseDPDF=Y")</f>
        <v>-669</v>
      </c>
      <c r="Z48" s="12">
        <f>_xll.BDH("WMT US Equity","OTHER_FIN_AND_DEC_CAP","FQ2 2022","FQ2 2022","Currency=USD","Period=FQ","BEST_FPERIOD_OVERRIDE=FQ","FILING_STATUS=MR","SCALING_FORMAT=MLN","Sort=A","Dates=H","DateFormat=P","Fill=—","Direction=H","UseDPDF=Y")</f>
        <v>-30</v>
      </c>
      <c r="AA48" s="12">
        <f>_xll.BDH("WMT US Equity","OTHER_FIN_AND_DEC_CAP","FQ3 2022","FQ3 2022","Currency=USD","Period=FQ","BEST_FPERIOD_OVERRIDE=FQ","FILING_STATUS=MR","SCALING_FORMAT=MLN","Sort=A","Dates=H","DateFormat=P","Fill=—","Direction=H","UseDPDF=Y")</f>
        <v>418</v>
      </c>
      <c r="AB48" s="12">
        <f>_xll.BDH("WMT US Equity","OTHER_FIN_AND_DEC_CAP","FQ4 2022","FQ4 2022","Currency=USD","Period=FQ","BEST_FPERIOD_OVERRIDE=FQ","FILING_STATUS=MR","SCALING_FORMAT=MLN","Sort=A","Dates=H","DateFormat=P","Fill=—","Direction=H","UseDPDF=Y")</f>
        <v>-736</v>
      </c>
      <c r="AC48" s="12">
        <f>_xll.BDH("WMT US Equity","OTHER_FIN_AND_DEC_CAP","FQ1 2023","FQ1 2023","Currency=USD","Period=FQ","BEST_FPERIOD_OVERRIDE=FQ","FILING_STATUS=MR","SCALING_FORMAT=MLN","Sort=A","Dates=H","DateFormat=P","Fill=—","Direction=H","UseDPDF=Y")</f>
        <v>-803</v>
      </c>
      <c r="AD48" s="12">
        <f>_xll.BDH("WMT US Equity","OTHER_FIN_AND_DEC_CAP","FQ2 2023","FQ2 2023","Currency=USD","Period=FQ","BEST_FPERIOD_OVERRIDE=FQ","FILING_STATUS=MR","SCALING_FORMAT=MLN","Sort=A","Dates=H","DateFormat=P","Fill=—","Direction=H","UseDPDF=Y")</f>
        <v>-560</v>
      </c>
      <c r="AE48" s="12">
        <f>_xll.BDH("WMT US Equity","OTHER_FIN_AND_DEC_CAP","FQ3 2023","FQ3 2023","Currency=USD","Period=FQ","BEST_FPERIOD_OVERRIDE=FQ","FILING_STATUS=MR","SCALING_FORMAT=MLN","Sort=A","Dates=H","DateFormat=P","Fill=—","Direction=H","UseDPDF=Y")</f>
        <v>-891</v>
      </c>
      <c r="AF48" s="12">
        <f>_xll.BDH("WMT US Equity","OTHER_FIN_AND_DEC_CAP","FQ4 2023","FQ4 2023","Currency=USD","Period=FQ","BEST_FPERIOD_OVERRIDE=FQ","FILING_STATUS=MR","SCALING_FORMAT=MLN","Sort=A","Dates=H","DateFormat=P","Fill=—","Direction=H","UseDPDF=Y")</f>
        <v>-1069</v>
      </c>
      <c r="AG48" s="12">
        <f>_xll.BDH("WMT US Equity","OTHER_FIN_AND_DEC_CAP","FQ1 2024","FQ1 2024","Currency=USD","Period=FQ","BEST_FPERIOD_OVERRIDE=FQ","FILING_STATUS=MR","SCALING_FORMAT=MLN","Sort=A","Dates=H","DateFormat=P","Fill=—","Direction=H","UseDPDF=Y")</f>
        <v>-362</v>
      </c>
      <c r="AH48" s="12">
        <f>_xll.BDH("WMT US Equity","OTHER_FIN_AND_DEC_CAP","FQ2 2024","FQ2 2024","Currency=USD","Period=FQ","BEST_FPERIOD_OVERRIDE=FQ","FILING_STATUS=MR","SCALING_FORMAT=MLN","Sort=A","Dates=H","DateFormat=P","Fill=—","Direction=H","UseDPDF=Y")</f>
        <v>-3789</v>
      </c>
      <c r="AI48" s="12">
        <f>_xll.BDH("WMT US Equity","OTHER_FIN_AND_DEC_CAP","FQ3 2024","FQ3 2024","Currency=USD","Period=FQ","BEST_FPERIOD_OVERRIDE=FQ","FILING_STATUS=MR","SCALING_FORMAT=MLN","Sort=A","Dates=H","DateFormat=P","Fill=—","Direction=H","UseDPDF=Y")</f>
        <v>-477</v>
      </c>
      <c r="AJ48" s="12">
        <f>_xll.BDH("WMT US Equity","OTHER_FIN_AND_DEC_CAP","FQ4 2024","FQ4 2024","Currency=USD","Period=FQ","BEST_FPERIOD_OVERRIDE=FQ","FILING_STATUS=MR","SCALING_FORMAT=MLN","Sort=A","Dates=H","DateFormat=P","Fill=—","Direction=H","UseDPDF=Y")</f>
        <v>-1129</v>
      </c>
      <c r="AK48" s="12">
        <f>_xll.BDH("WMT US Equity","OTHER_FIN_AND_DEC_CAP","FQ1 2025","FQ1 2025","Currency=USD","Period=FQ","BEST_FPERIOD_OVERRIDE=FQ","FILING_STATUS=MR","SCALING_FORMAT=MLN","Sort=A","Dates=H","DateFormat=P","Fill=—","Direction=H","UseDPDF=Y")</f>
        <v>-602</v>
      </c>
      <c r="AL48" s="12">
        <f>_xll.BDH("WMT US Equity","OTHER_FIN_AND_DEC_CAP","FQ2 2025","FQ2 2025","Currency=USD","Period=FQ","BEST_FPERIOD_OVERRIDE=FQ","FILING_STATUS=MR","SCALING_FORMAT=MLN","Sort=A","Dates=H","DateFormat=P","Fill=—","Direction=H","UseDPDF=Y")</f>
        <v>-433</v>
      </c>
      <c r="AM48" s="12">
        <f>_xll.BDH("WMT US Equity","OTHER_FIN_AND_DEC_CAP","FQ3 2025","FQ3 2025","Currency=USD","Period=FQ","BEST_FPERIOD_OVERRIDE=FQ","FILING_STATUS=MR","SCALING_FORMAT=MLN","Sort=A","Dates=H","DateFormat=P","Fill=—","Direction=H","UseDPDF=Y")</f>
        <v>-448</v>
      </c>
      <c r="AN48" s="12">
        <f>_xll.BDH("WMT US Equity","OTHER_FIN_AND_DEC_CAP","FQ4 2025","FQ4 2025","Currency=USD","Period=FQ","BEST_FPERIOD_OVERRIDE=FQ","FILING_STATUS=MR","SCALING_FORMAT=MLN","Sort=A","Dates=H","DateFormat=P","Fill=—","Direction=H","UseDPDF=Y")</f>
        <v>-901</v>
      </c>
      <c r="AO48" s="12">
        <f>_xll.BDH("WMT US Equity","OTHER_FIN_AND_DEC_CAP","FQ1 2026","FQ1 2026","Currency=USD","Period=FQ","BEST_FPERIOD_OVERRIDE=FQ","FILING_STATUS=MR","SCALING_FORMAT=MLN","Sort=A","Dates=H","DateFormat=P","Fill=—","Direction=H","UseDPDF=Y")</f>
        <v>-61</v>
      </c>
      <c r="AP48" s="12">
        <f>_xll.BDH("WMT US Equity","OTHER_FIN_AND_DEC_CAP","FQ2 2026","FQ2 2026","Currency=USD","Period=FQ","BEST_FPERIOD_OVERRIDE=FQ","FILING_STATUS=MR","SCALING_FORMAT=MLN","Sort=A","Dates=H","DateFormat=P","Fill=—","Direction=H","UseDPDF=Y")</f>
        <v>-844</v>
      </c>
    </row>
    <row r="49" spans="1:42" x14ac:dyDescent="0.3">
      <c r="A49" s="10" t="s">
        <v>160</v>
      </c>
      <c r="B49" s="10" t="s">
        <v>125</v>
      </c>
      <c r="C49" s="12">
        <f>_xll.BDH("WMT US Equity","CF_NET_CASH_DISCONTINUED_OPS_FIN","FQ3 2016","FQ3 2016","Currency=USD","Period=FQ","BEST_FPERIOD_OVERRIDE=FQ","FILING_STATUS=MR","SCALING_FORMAT=MLN","Sort=A","Dates=H","DateFormat=P","Fill=—","Direction=H","UseDPDF=Y")</f>
        <v>0</v>
      </c>
      <c r="D49" s="12">
        <f>_xll.BDH("WMT US Equity","CF_NET_CASH_DISCONTINUED_OPS_FIN","FQ4 2016","FQ4 2016","Currency=USD","Period=FQ","BEST_FPERIOD_OVERRIDE=FQ","FILING_STATUS=MR","SCALING_FORMAT=MLN","Sort=A","Dates=H","DateFormat=P","Fill=—","Direction=H","UseDPDF=Y")</f>
        <v>0</v>
      </c>
      <c r="E49" s="12">
        <f>_xll.BDH("WMT US Equity","CF_NET_CASH_DISCONTINUED_OPS_FIN","FQ1 2017","FQ1 2017","Currency=USD","Period=FQ","BEST_FPERIOD_OVERRIDE=FQ","FILING_STATUS=MR","SCALING_FORMAT=MLN","Sort=A","Dates=H","DateFormat=P","Fill=—","Direction=H","UseDPDF=Y")</f>
        <v>0</v>
      </c>
      <c r="F49" s="12">
        <f>_xll.BDH("WMT US Equity","CF_NET_CASH_DISCONTINUED_OPS_FIN","FQ2 2017","FQ2 2017","Currency=USD","Period=FQ","BEST_FPERIOD_OVERRIDE=FQ","FILING_STATUS=MR","SCALING_FORMAT=MLN","Sort=A","Dates=H","DateFormat=P","Fill=—","Direction=H","UseDPDF=Y")</f>
        <v>0</v>
      </c>
      <c r="G49" s="12">
        <f>_xll.BDH("WMT US Equity","CF_NET_CASH_DISCONTINUED_OPS_FIN","FQ3 2017","FQ3 2017","Currency=USD","Period=FQ","BEST_FPERIOD_OVERRIDE=FQ","FILING_STATUS=MR","SCALING_FORMAT=MLN","Sort=A","Dates=H","DateFormat=P","Fill=—","Direction=H","UseDPDF=Y")</f>
        <v>0</v>
      </c>
      <c r="H49" s="12">
        <f>_xll.BDH("WMT US Equity","CF_NET_CASH_DISCONTINUED_OPS_FIN","FQ4 2017","FQ4 2017","Currency=USD","Period=FQ","BEST_FPERIOD_OVERRIDE=FQ","FILING_STATUS=MR","SCALING_FORMAT=MLN","Sort=A","Dates=H","DateFormat=P","Fill=—","Direction=H","UseDPDF=Y")</f>
        <v>0</v>
      </c>
      <c r="I49" s="12">
        <f>_xll.BDH("WMT US Equity","CF_NET_CASH_DISCONTINUED_OPS_FIN","FQ1 2018","FQ1 2018","Currency=USD","Period=FQ","BEST_FPERIOD_OVERRIDE=FQ","FILING_STATUS=MR","SCALING_FORMAT=MLN","Sort=A","Dates=H","DateFormat=P","Fill=—","Direction=H","UseDPDF=Y")</f>
        <v>0</v>
      </c>
      <c r="J49" s="12">
        <f>_xll.BDH("WMT US Equity","CF_NET_CASH_DISCONTINUED_OPS_FIN","FQ2 2018","FQ2 2018","Currency=USD","Period=FQ","BEST_FPERIOD_OVERRIDE=FQ","FILING_STATUS=MR","SCALING_FORMAT=MLN","Sort=A","Dates=H","DateFormat=P","Fill=—","Direction=H","UseDPDF=Y")</f>
        <v>0</v>
      </c>
      <c r="K49" s="12">
        <f>_xll.BDH("WMT US Equity","CF_NET_CASH_DISCONTINUED_OPS_FIN","FQ3 2018","FQ3 2018","Currency=USD","Period=FQ","BEST_FPERIOD_OVERRIDE=FQ","FILING_STATUS=MR","SCALING_FORMAT=MLN","Sort=A","Dates=H","DateFormat=P","Fill=—","Direction=H","UseDPDF=Y")</f>
        <v>0</v>
      </c>
      <c r="L49" s="12">
        <f>_xll.BDH("WMT US Equity","CF_NET_CASH_DISCONTINUED_OPS_FIN","FQ4 2018","FQ4 2018","Currency=USD","Period=FQ","BEST_FPERIOD_OVERRIDE=FQ","FILING_STATUS=MR","SCALING_FORMAT=MLN","Sort=A","Dates=H","DateFormat=P","Fill=—","Direction=H","UseDPDF=Y")</f>
        <v>0</v>
      </c>
      <c r="M49" s="12">
        <f>_xll.BDH("WMT US Equity","CF_NET_CASH_DISCONTINUED_OPS_FIN","FQ1 2019","FQ1 2019","Currency=USD","Period=FQ","BEST_FPERIOD_OVERRIDE=FQ","FILING_STATUS=MR","SCALING_FORMAT=MLN","Sort=A","Dates=H","DateFormat=P","Fill=—","Direction=H","UseDPDF=Y")</f>
        <v>0</v>
      </c>
      <c r="N49" s="12">
        <f>_xll.BDH("WMT US Equity","CF_NET_CASH_DISCONTINUED_OPS_FIN","FQ2 2019","FQ2 2019","Currency=USD","Period=FQ","BEST_FPERIOD_OVERRIDE=FQ","FILING_STATUS=MR","SCALING_FORMAT=MLN","Sort=A","Dates=H","DateFormat=P","Fill=—","Direction=H","UseDPDF=Y")</f>
        <v>0</v>
      </c>
      <c r="O49" s="12">
        <f>_xll.BDH("WMT US Equity","CF_NET_CASH_DISCONTINUED_OPS_FIN","FQ3 2019","FQ3 2019","Currency=USD","Period=FQ","BEST_FPERIOD_OVERRIDE=FQ","FILING_STATUS=MR","SCALING_FORMAT=MLN","Sort=A","Dates=H","DateFormat=P","Fill=—","Direction=H","UseDPDF=Y")</f>
        <v>0</v>
      </c>
      <c r="P49" s="12">
        <f>_xll.BDH("WMT US Equity","CF_NET_CASH_DISCONTINUED_OPS_FIN","FQ4 2019","FQ4 2019","Currency=USD","Period=FQ","BEST_FPERIOD_OVERRIDE=FQ","FILING_STATUS=MR","SCALING_FORMAT=MLN","Sort=A","Dates=H","DateFormat=P","Fill=—","Direction=H","UseDPDF=Y")</f>
        <v>0</v>
      </c>
      <c r="Q49" s="12">
        <f>_xll.BDH("WMT US Equity","CF_NET_CASH_DISCONTINUED_OPS_FIN","FQ1 2020","FQ1 2020","Currency=USD","Period=FQ","BEST_FPERIOD_OVERRIDE=FQ","FILING_STATUS=MR","SCALING_FORMAT=MLN","Sort=A","Dates=H","DateFormat=P","Fill=—","Direction=H","UseDPDF=Y")</f>
        <v>0</v>
      </c>
      <c r="R49" s="12">
        <f>_xll.BDH("WMT US Equity","CF_NET_CASH_DISCONTINUED_OPS_FIN","FQ2 2020","FQ2 2020","Currency=USD","Period=FQ","BEST_FPERIOD_OVERRIDE=FQ","FILING_STATUS=MR","SCALING_FORMAT=MLN","Sort=A","Dates=H","DateFormat=P","Fill=—","Direction=H","UseDPDF=Y")</f>
        <v>0</v>
      </c>
      <c r="S49" s="12">
        <f>_xll.BDH("WMT US Equity","CF_NET_CASH_DISCONTINUED_OPS_FIN","FQ3 2020","FQ3 2020","Currency=USD","Period=FQ","BEST_FPERIOD_OVERRIDE=FQ","FILING_STATUS=MR","SCALING_FORMAT=MLN","Sort=A","Dates=H","DateFormat=P","Fill=—","Direction=H","UseDPDF=Y")</f>
        <v>0</v>
      </c>
      <c r="T49" s="12">
        <f>_xll.BDH("WMT US Equity","CF_NET_CASH_DISCONTINUED_OPS_FIN","FQ4 2020","FQ4 2020","Currency=USD","Period=FQ","BEST_FPERIOD_OVERRIDE=FQ","FILING_STATUS=MR","SCALING_FORMAT=MLN","Sort=A","Dates=H","DateFormat=P","Fill=—","Direction=H","UseDPDF=Y")</f>
        <v>0</v>
      </c>
      <c r="U49" s="12">
        <f>_xll.BDH("WMT US Equity","CF_NET_CASH_DISCONTINUED_OPS_FIN","FQ1 2021","FQ1 2021","Currency=USD","Period=FQ","BEST_FPERIOD_OVERRIDE=FQ","FILING_STATUS=MR","SCALING_FORMAT=MLN","Sort=A","Dates=H","DateFormat=P","Fill=—","Direction=H","UseDPDF=Y")</f>
        <v>0</v>
      </c>
      <c r="V49" s="12">
        <f>_xll.BDH("WMT US Equity","CF_NET_CASH_DISCONTINUED_OPS_FIN","FQ2 2021","FQ2 2021","Currency=USD","Period=FQ","BEST_FPERIOD_OVERRIDE=FQ","FILING_STATUS=MR","SCALING_FORMAT=MLN","Sort=A","Dates=H","DateFormat=P","Fill=—","Direction=H","UseDPDF=Y")</f>
        <v>0</v>
      </c>
      <c r="W49" s="12">
        <f>_xll.BDH("WMT US Equity","CF_NET_CASH_DISCONTINUED_OPS_FIN","FQ3 2021","FQ3 2021","Currency=USD","Period=FQ","BEST_FPERIOD_OVERRIDE=FQ","FILING_STATUS=MR","SCALING_FORMAT=MLN","Sort=A","Dates=H","DateFormat=P","Fill=—","Direction=H","UseDPDF=Y")</f>
        <v>0</v>
      </c>
      <c r="X49" s="12">
        <f>_xll.BDH("WMT US Equity","CF_NET_CASH_DISCONTINUED_OPS_FIN","FQ4 2021","FQ4 2021","Currency=USD","Period=FQ","BEST_FPERIOD_OVERRIDE=FQ","FILING_STATUS=MR","SCALING_FORMAT=MLN","Sort=A","Dates=H","DateFormat=P","Fill=—","Direction=H","UseDPDF=Y")</f>
        <v>0</v>
      </c>
      <c r="Y49" s="12">
        <f>_xll.BDH("WMT US Equity","CF_NET_CASH_DISCONTINUED_OPS_FIN","FQ1 2022","FQ1 2022","Currency=USD","Period=FQ","BEST_FPERIOD_OVERRIDE=FQ","FILING_STATUS=MR","SCALING_FORMAT=MLN","Sort=A","Dates=H","DateFormat=P","Fill=—","Direction=H","UseDPDF=Y")</f>
        <v>0</v>
      </c>
      <c r="Z49" s="12">
        <f>_xll.BDH("WMT US Equity","CF_NET_CASH_DISCONTINUED_OPS_FIN","FQ2 2022","FQ2 2022","Currency=USD","Period=FQ","BEST_FPERIOD_OVERRIDE=FQ","FILING_STATUS=MR","SCALING_FORMAT=MLN","Sort=A","Dates=H","DateFormat=P","Fill=—","Direction=H","UseDPDF=Y")</f>
        <v>0</v>
      </c>
      <c r="AA49" s="12">
        <f>_xll.BDH("WMT US Equity","CF_NET_CASH_DISCONTINUED_OPS_FIN","FQ3 2022","FQ3 2022","Currency=USD","Period=FQ","BEST_FPERIOD_OVERRIDE=FQ","FILING_STATUS=MR","SCALING_FORMAT=MLN","Sort=A","Dates=H","DateFormat=P","Fill=—","Direction=H","UseDPDF=Y")</f>
        <v>0</v>
      </c>
      <c r="AB49" s="12">
        <f>_xll.BDH("WMT US Equity","CF_NET_CASH_DISCONTINUED_OPS_FIN","FQ4 2022","FQ4 2022","Currency=USD","Period=FQ","BEST_FPERIOD_OVERRIDE=FQ","FILING_STATUS=MR","SCALING_FORMAT=MLN","Sort=A","Dates=H","DateFormat=P","Fill=—","Direction=H","UseDPDF=Y")</f>
        <v>0</v>
      </c>
      <c r="AC49" s="12">
        <f>_xll.BDH("WMT US Equity","CF_NET_CASH_DISCONTINUED_OPS_FIN","FQ1 2023","FQ1 2023","Currency=USD","Period=FQ","BEST_FPERIOD_OVERRIDE=FQ","FILING_STATUS=MR","SCALING_FORMAT=MLN","Sort=A","Dates=H","DateFormat=P","Fill=—","Direction=H","UseDPDF=Y")</f>
        <v>0</v>
      </c>
      <c r="AD49" s="12">
        <f>_xll.BDH("WMT US Equity","CF_NET_CASH_DISCONTINUED_OPS_FIN","FQ2 2023","FQ2 2023","Currency=USD","Period=FQ","BEST_FPERIOD_OVERRIDE=FQ","FILING_STATUS=MR","SCALING_FORMAT=MLN","Sort=A","Dates=H","DateFormat=P","Fill=—","Direction=H","UseDPDF=Y")</f>
        <v>0</v>
      </c>
      <c r="AE49" s="12">
        <f>_xll.BDH("WMT US Equity","CF_NET_CASH_DISCONTINUED_OPS_FIN","FQ3 2023","FQ3 2023","Currency=USD","Period=FQ","BEST_FPERIOD_OVERRIDE=FQ","FILING_STATUS=MR","SCALING_FORMAT=MLN","Sort=A","Dates=H","DateFormat=P","Fill=—","Direction=H","UseDPDF=Y")</f>
        <v>0</v>
      </c>
      <c r="AF49" s="12">
        <f>_xll.BDH("WMT US Equity","CF_NET_CASH_DISCONTINUED_OPS_FIN","FQ4 2023","FQ4 2023","Currency=USD","Period=FQ","BEST_FPERIOD_OVERRIDE=FQ","FILING_STATUS=MR","SCALING_FORMAT=MLN","Sort=A","Dates=H","DateFormat=P","Fill=—","Direction=H","UseDPDF=Y")</f>
        <v>0</v>
      </c>
      <c r="AG49" s="12">
        <f>_xll.BDH("WMT US Equity","CF_NET_CASH_DISCONTINUED_OPS_FIN","FQ1 2024","FQ1 2024","Currency=USD","Period=FQ","BEST_FPERIOD_OVERRIDE=FQ","FILING_STATUS=MR","SCALING_FORMAT=MLN","Sort=A","Dates=H","DateFormat=P","Fill=—","Direction=H","UseDPDF=Y")</f>
        <v>0</v>
      </c>
      <c r="AH49" s="12">
        <f>_xll.BDH("WMT US Equity","CF_NET_CASH_DISCONTINUED_OPS_FIN","FQ2 2024","FQ2 2024","Currency=USD","Period=FQ","BEST_FPERIOD_OVERRIDE=FQ","FILING_STATUS=MR","SCALING_FORMAT=MLN","Sort=A","Dates=H","DateFormat=P","Fill=—","Direction=H","UseDPDF=Y")</f>
        <v>0</v>
      </c>
      <c r="AI49" s="12">
        <f>_xll.BDH("WMT US Equity","CF_NET_CASH_DISCONTINUED_OPS_FIN","FQ3 2024","FQ3 2024","Currency=USD","Period=FQ","BEST_FPERIOD_OVERRIDE=FQ","FILING_STATUS=MR","SCALING_FORMAT=MLN","Sort=A","Dates=H","DateFormat=P","Fill=—","Direction=H","UseDPDF=Y")</f>
        <v>0</v>
      </c>
      <c r="AJ49" s="12">
        <f>_xll.BDH("WMT US Equity","CF_NET_CASH_DISCONTINUED_OPS_FIN","FQ4 2024","FQ4 2024","Currency=USD","Period=FQ","BEST_FPERIOD_OVERRIDE=FQ","FILING_STATUS=MR","SCALING_FORMAT=MLN","Sort=A","Dates=H","DateFormat=P","Fill=—","Direction=H","UseDPDF=Y")</f>
        <v>0</v>
      </c>
      <c r="AK49" s="12">
        <f>_xll.BDH("WMT US Equity","CF_NET_CASH_DISCONTINUED_OPS_FIN","FQ1 2025","FQ1 2025","Currency=USD","Period=FQ","BEST_FPERIOD_OVERRIDE=FQ","FILING_STATUS=MR","SCALING_FORMAT=MLN","Sort=A","Dates=H","DateFormat=P","Fill=—","Direction=H","UseDPDF=Y")</f>
        <v>0</v>
      </c>
      <c r="AL49" s="12">
        <f>_xll.BDH("WMT US Equity","CF_NET_CASH_DISCONTINUED_OPS_FIN","FQ2 2025","FQ2 2025","Currency=USD","Period=FQ","BEST_FPERIOD_OVERRIDE=FQ","FILING_STATUS=MR","SCALING_FORMAT=MLN","Sort=A","Dates=H","DateFormat=P","Fill=—","Direction=H","UseDPDF=Y")</f>
        <v>0</v>
      </c>
      <c r="AM49" s="12">
        <f>_xll.BDH("WMT US Equity","CF_NET_CASH_DISCONTINUED_OPS_FIN","FQ3 2025","FQ3 2025","Currency=USD","Period=FQ","BEST_FPERIOD_OVERRIDE=FQ","FILING_STATUS=MR","SCALING_FORMAT=MLN","Sort=A","Dates=H","DateFormat=P","Fill=—","Direction=H","UseDPDF=Y")</f>
        <v>0</v>
      </c>
      <c r="AN49" s="12">
        <f>_xll.BDH("WMT US Equity","CF_NET_CASH_DISCONTINUED_OPS_FIN","FQ4 2025","FQ4 2025","Currency=USD","Period=FQ","BEST_FPERIOD_OVERRIDE=FQ","FILING_STATUS=MR","SCALING_FORMAT=MLN","Sort=A","Dates=H","DateFormat=P","Fill=—","Direction=H","UseDPDF=Y")</f>
        <v>0</v>
      </c>
      <c r="AO49" s="12">
        <f>_xll.BDH("WMT US Equity","CF_NET_CASH_DISCONTINUED_OPS_FIN","FQ1 2026","FQ1 2026","Currency=USD","Period=FQ","BEST_FPERIOD_OVERRIDE=FQ","FILING_STATUS=MR","SCALING_FORMAT=MLN","Sort=A","Dates=H","DateFormat=P","Fill=—","Direction=H","UseDPDF=Y")</f>
        <v>0</v>
      </c>
      <c r="AP49" s="12">
        <f>_xll.BDH("WMT US Equity","CF_NET_CASH_DISCONTINUED_OPS_FIN","FQ2 2026","FQ2 2026","Currency=USD","Period=FQ","BEST_FPERIOD_OVERRIDE=FQ","FILING_STATUS=MR","SCALING_FORMAT=MLN","Sort=A","Dates=H","DateFormat=P","Fill=—","Direction=H","UseDPDF=Y")</f>
        <v>0</v>
      </c>
    </row>
    <row r="50" spans="1:42" x14ac:dyDescent="0.3">
      <c r="A50" s="6" t="s">
        <v>115</v>
      </c>
      <c r="B50" s="6" t="s">
        <v>126</v>
      </c>
      <c r="C50" s="15">
        <f>_xll.BDH("WMT US Equity","CFF_ACTIVITIES_DETAILED","FQ3 2016","FQ3 2016","Currency=USD","Period=FQ","BEST_FPERIOD_OVERRIDE=FQ","FILING_STATUS=MR","SCALING_FORMAT=MLN","Sort=A","Dates=H","DateFormat=P","Fill=—","Direction=H","UseDPDF=Y")</f>
        <v>-485</v>
      </c>
      <c r="D50" s="15">
        <f>_xll.BDH("WMT US Equity","CFF_ACTIVITIES_DETAILED","FQ4 2016","FQ4 2016","Currency=USD","Period=FQ","BEST_FPERIOD_OVERRIDE=FQ","FILING_STATUS=MR","SCALING_FORMAT=MLN","Sort=A","Dates=H","DateFormat=P","Fill=—","Direction=H","UseDPDF=Y")</f>
        <v>-7026</v>
      </c>
      <c r="E50" s="15">
        <f>_xll.BDH("WMT US Equity","CFF_ACTIVITIES_DETAILED","FQ1 2017","FQ1 2017","Currency=USD","Period=FQ","BEST_FPERIOD_OVERRIDE=FQ","FILING_STATUS=MR","SCALING_FORMAT=MLN","Sort=A","Dates=H","DateFormat=P","Fill=—","Direction=H","UseDPDF=Y")</f>
        <v>-5432</v>
      </c>
      <c r="F50" s="15">
        <f>_xll.BDH("WMT US Equity","CFF_ACTIVITIES_DETAILED","FQ2 2017","FQ2 2017","Currency=USD","Period=FQ","BEST_FPERIOD_OVERRIDE=FQ","FILING_STATUS=MR","SCALING_FORMAT=MLN","Sort=A","Dates=H","DateFormat=P","Fill=—","Direction=H","UseDPDF=Y")</f>
        <v>-5782</v>
      </c>
      <c r="G50" s="15">
        <f>_xll.BDH("WMT US Equity","CFF_ACTIVITIES_DETAILED","FQ3 2017","FQ3 2017","Currency=USD","Period=FQ","BEST_FPERIOD_OVERRIDE=FQ","FILING_STATUS=MR","SCALING_FORMAT=MLN","Sort=A","Dates=H","DateFormat=P","Fill=—","Direction=H","UseDPDF=Y")</f>
        <v>-58</v>
      </c>
      <c r="H50" s="15">
        <f>_xll.BDH("WMT US Equity","CFF_ACTIVITIES_DETAILED","FQ4 2017","FQ4 2017","Currency=USD","Period=FQ","BEST_FPERIOD_OVERRIDE=FQ","FILING_STATUS=MR","SCALING_FORMAT=MLN","Sort=A","Dates=H","DateFormat=P","Fill=—","Direction=H","UseDPDF=Y")</f>
        <v>-7800</v>
      </c>
      <c r="I50" s="15">
        <f>_xll.BDH("WMT US Equity","CFF_ACTIVITIES_DETAILED","FQ1 2018","FQ1 2018","Currency=USD","Period=FQ","BEST_FPERIOD_OVERRIDE=FQ","FILING_STATUS=MR","SCALING_FORMAT=MLN","Sort=A","Dates=H","DateFormat=P","Fill=—","Direction=H","UseDPDF=Y")</f>
        <v>-3972</v>
      </c>
      <c r="J50" s="15">
        <f>_xll.BDH("WMT US Equity","CFF_ACTIVITIES_DETAILED","FQ2 2018","FQ2 2018","Currency=USD","Period=FQ","BEST_FPERIOD_OVERRIDE=FQ","FILING_STATUS=MR","SCALING_FORMAT=MLN","Sort=A","Dates=H","DateFormat=P","Fill=—","Direction=H","UseDPDF=Y")</f>
        <v>-4659</v>
      </c>
      <c r="K50" s="15">
        <f>_xll.BDH("WMT US Equity","CFF_ACTIVITIES_DETAILED","FQ3 2018","FQ3 2018","Currency=USD","Period=FQ","BEST_FPERIOD_OVERRIDE=FQ","FILING_STATUS=MR","SCALING_FORMAT=MLN","Sort=A","Dates=H","DateFormat=P","Fill=—","Direction=H","UseDPDF=Y")</f>
        <v>-2785</v>
      </c>
      <c r="L50" s="15">
        <f>_xll.BDH("WMT US Equity","CFF_ACTIVITIES_DETAILED","FQ4 2018","FQ4 2018","Currency=USD","Period=FQ","BEST_FPERIOD_OVERRIDE=FQ","FILING_STATUS=MR","SCALING_FORMAT=MLN","Sort=A","Dates=H","DateFormat=P","Fill=—","Direction=H","UseDPDF=Y")</f>
        <v>-8459</v>
      </c>
      <c r="M50" s="15">
        <f>_xll.BDH("WMT US Equity","CFF_ACTIVITIES_DETAILED","FQ1 2019","FQ1 2019","Currency=USD","Period=FQ","BEST_FPERIOD_OVERRIDE=FQ","FILING_STATUS=MR","SCALING_FORMAT=MLN","Sort=A","Dates=H","DateFormat=P","Fill=—","Direction=H","UseDPDF=Y")</f>
        <v>-2486</v>
      </c>
      <c r="N50" s="15">
        <f>_xll.BDH("WMT US Equity","CFF_ACTIVITIES_DETAILED","FQ2 2019","FQ2 2019","Currency=USD","Period=FQ","BEST_FPERIOD_OVERRIDE=FQ","FILING_STATUS=MR","SCALING_FORMAT=MLN","Sort=A","Dates=H","DateFormat=P","Fill=—","Direction=H","UseDPDF=Y")</f>
        <v>4966</v>
      </c>
      <c r="O50" s="15">
        <f>_xll.BDH("WMT US Equity","CFF_ACTIVITIES_DETAILED","FQ3 2019","FQ3 2019","Currency=USD","Period=FQ","BEST_FPERIOD_OVERRIDE=FQ","FILING_STATUS=MR","SCALING_FORMAT=MLN","Sort=A","Dates=H","DateFormat=P","Fill=—","Direction=H","UseDPDF=Y")</f>
        <v>3441</v>
      </c>
      <c r="P50" s="15">
        <f>_xll.BDH("WMT US Equity","CFF_ACTIVITIES_DETAILED","FQ4 2019","FQ4 2019","Currency=USD","Period=FQ","BEST_FPERIOD_OVERRIDE=FQ","FILING_STATUS=MR","SCALING_FORMAT=MLN","Sort=A","Dates=H","DateFormat=P","Fill=—","Direction=H","UseDPDF=Y")</f>
        <v>-8458</v>
      </c>
      <c r="Q50" s="15">
        <f>_xll.BDH("WMT US Equity","CFF_ACTIVITIES_DETAILED","FQ1 2020","FQ1 2020","Currency=USD","Period=FQ","BEST_FPERIOD_OVERRIDE=FQ","FILING_STATUS=MR","SCALING_FORMAT=MLN","Sort=A","Dates=H","DateFormat=P","Fill=—","Direction=H","UseDPDF=Y")</f>
        <v>-846</v>
      </c>
      <c r="R50" s="15">
        <f>_xll.BDH("WMT US Equity","CFF_ACTIVITIES_DETAILED","FQ2 2020","FQ2 2020","Currency=USD","Period=FQ","BEST_FPERIOD_OVERRIDE=FQ","FILING_STATUS=MR","SCALING_FORMAT=MLN","Sort=A","Dates=H","DateFormat=P","Fill=—","Direction=H","UseDPDF=Y")</f>
        <v>-4685</v>
      </c>
      <c r="S50" s="15">
        <f>_xll.BDH("WMT US Equity","CFF_ACTIVITIES_DETAILED","FQ3 2020","FQ3 2020","Currency=USD","Period=FQ","BEST_FPERIOD_OVERRIDE=FQ","FILING_STATUS=MR","SCALING_FORMAT=MLN","Sort=A","Dates=H","DateFormat=P","Fill=—","Direction=H","UseDPDF=Y")</f>
        <v>-1682</v>
      </c>
      <c r="T50" s="15">
        <f>_xll.BDH("WMT US Equity","CFF_ACTIVITIES_DETAILED","FQ4 2020","FQ4 2020","Currency=USD","Period=FQ","BEST_FPERIOD_OVERRIDE=FQ","FILING_STATUS=MR","SCALING_FORMAT=MLN","Sort=A","Dates=H","DateFormat=P","Fill=—","Direction=H","UseDPDF=Y")</f>
        <v>-7086</v>
      </c>
      <c r="U50" s="15">
        <f>_xll.BDH("WMT US Equity","CFF_ACTIVITIES_DETAILED","FQ1 2021","FQ1 2021","Currency=USD","Period=FQ","BEST_FPERIOD_OVERRIDE=FQ","FILING_STATUS=MR","SCALING_FORMAT=MLN","Sort=A","Dates=H","DateFormat=P","Fill=—","Direction=H","UseDPDF=Y")</f>
        <v>565</v>
      </c>
      <c r="V50" s="15">
        <f>_xll.BDH("WMT US Equity","CFF_ACTIVITIES_DETAILED","FQ2 2021","FQ2 2021","Currency=USD","Period=FQ","BEST_FPERIOD_OVERRIDE=FQ","FILING_STATUS=MR","SCALING_FORMAT=MLN","Sort=A","Dates=H","DateFormat=P","Fill=—","Direction=H","UseDPDF=Y")</f>
        <v>-8379</v>
      </c>
      <c r="W50" s="15">
        <f>_xll.BDH("WMT US Equity","CFF_ACTIVITIES_DETAILED","FQ3 2021","FQ3 2021","Currency=USD","Period=FQ","BEST_FPERIOD_OVERRIDE=FQ","FILING_STATUS=MR","SCALING_FORMAT=MLN","Sort=A","Dates=H","DateFormat=P","Fill=—","Direction=H","UseDPDF=Y")</f>
        <v>-3526</v>
      </c>
      <c r="X50" s="15">
        <f>_xll.BDH("WMT US Equity","CFF_ACTIVITIES_DETAILED","FQ4 2021","FQ4 2021","Currency=USD","Period=FQ","BEST_FPERIOD_OVERRIDE=FQ","FILING_STATUS=MR","SCALING_FORMAT=MLN","Sort=A","Dates=H","DateFormat=P","Fill=—","Direction=H","UseDPDF=Y")</f>
        <v>-4777</v>
      </c>
      <c r="Y50" s="15">
        <f>_xll.BDH("WMT US Equity","CFF_ACTIVITIES_DETAILED","FQ1 2022","FQ1 2022","Currency=USD","Period=FQ","BEST_FPERIOD_OVERRIDE=FQ","FILING_STATUS=MR","SCALING_FORMAT=MLN","Sort=A","Dates=H","DateFormat=P","Fill=—","Direction=H","UseDPDF=Y")</f>
        <v>-5399</v>
      </c>
      <c r="Z50" s="15">
        <f>_xll.BDH("WMT US Equity","CFF_ACTIVITIES_DETAILED","FQ2 2022","FQ2 2022","Currency=USD","Period=FQ","BEST_FPERIOD_OVERRIDE=FQ","FILING_STATUS=MR","SCALING_FORMAT=MLN","Sort=A","Dates=H","DateFormat=P","Fill=—","Direction=H","UseDPDF=Y")</f>
        <v>-6160</v>
      </c>
      <c r="AA50" s="15">
        <f>_xll.BDH("WMT US Equity","CFF_ACTIVITIES_DETAILED","FQ3 2022","FQ3 2022","Currency=USD","Period=FQ","BEST_FPERIOD_OVERRIDE=FQ","FILING_STATUS=MR","SCALING_FORMAT=MLN","Sort=A","Dates=H","DateFormat=P","Fill=—","Direction=H","UseDPDF=Y")</f>
        <v>-6554</v>
      </c>
      <c r="AB50" s="15">
        <f>_xll.BDH("WMT US Equity","CFF_ACTIVITIES_DETAILED","FQ4 2022","FQ4 2022","Currency=USD","Period=FQ","BEST_FPERIOD_OVERRIDE=FQ","FILING_STATUS=MR","SCALING_FORMAT=MLN","Sort=A","Dates=H","DateFormat=P","Fill=—","Direction=H","UseDPDF=Y")</f>
        <v>-4715</v>
      </c>
      <c r="AC50" s="15">
        <f>_xll.BDH("WMT US Equity","CFF_ACTIVITIES_DETAILED","FQ1 2023","FQ1 2023","Currency=USD","Period=FQ","BEST_FPERIOD_OVERRIDE=FQ","FILING_STATUS=MR","SCALING_FORMAT=MLN","Sort=A","Dates=H","DateFormat=P","Fill=—","Direction=H","UseDPDF=Y")</f>
        <v>5315</v>
      </c>
      <c r="AD50" s="15">
        <f>_xll.BDH("WMT US Equity","CFF_ACTIVITIES_DETAILED","FQ2 2023","FQ2 2023","Currency=USD","Period=FQ","BEST_FPERIOD_OVERRIDE=FQ","FILING_STATUS=MR","SCALING_FORMAT=MLN","Sort=A","Dates=H","DateFormat=P","Fill=—","Direction=H","UseDPDF=Y")</f>
        <v>-6715</v>
      </c>
      <c r="AE50" s="15">
        <f>_xll.BDH("WMT US Equity","CFF_ACTIVITIES_DETAILED","FQ3 2023","FQ3 2023","Currency=USD","Period=FQ","BEST_FPERIOD_OVERRIDE=FQ","FILING_STATUS=MR","SCALING_FORMAT=MLN","Sort=A","Dates=H","DateFormat=P","Fill=—","Direction=H","UseDPDF=Y")</f>
        <v>-4181</v>
      </c>
      <c r="AF50" s="15">
        <f>_xll.BDH("WMT US Equity","CFF_ACTIVITIES_DETAILED","FQ4 2023","FQ4 2023","Currency=USD","Period=FQ","BEST_FPERIOD_OVERRIDE=FQ","FILING_STATUS=MR","SCALING_FORMAT=MLN","Sort=A","Dates=H","DateFormat=P","Fill=—","Direction=H","UseDPDF=Y")</f>
        <v>-11458</v>
      </c>
      <c r="AG50" s="15">
        <f>_xll.BDH("WMT US Equity","CFF_ACTIVITIES_DETAILED","FQ1 2024","FQ1 2024","Currency=USD","Period=FQ","BEST_FPERIOD_OVERRIDE=FQ","FILING_STATUS=MR","SCALING_FORMAT=MLN","Sort=A","Dates=H","DateFormat=P","Fill=—","Direction=H","UseDPDF=Y")</f>
        <v>1940</v>
      </c>
      <c r="AH50" s="15">
        <f>_xll.BDH("WMT US Equity","CFF_ACTIVITIES_DETAILED","FQ2 2024","FQ2 2024","Currency=USD","Period=FQ","BEST_FPERIOD_OVERRIDE=FQ","FILING_STATUS=MR","SCALING_FORMAT=MLN","Sort=A","Dates=H","DateFormat=P","Fill=—","Direction=H","UseDPDF=Y")</f>
        <v>-5249</v>
      </c>
      <c r="AI50" s="15">
        <f>_xll.BDH("WMT US Equity","CFF_ACTIVITIES_DETAILED","FQ3 2024","FQ3 2024","Currency=USD","Period=FQ","BEST_FPERIOD_OVERRIDE=FQ","FILING_STATUS=MR","SCALING_FORMAT=MLN","Sort=A","Dates=H","DateFormat=P","Fill=—","Direction=H","UseDPDF=Y")</f>
        <v>3130</v>
      </c>
      <c r="AJ50" s="15">
        <f>_xll.BDH("WMT US Equity","CFF_ACTIVITIES_DETAILED","FQ4 2024","FQ4 2024","Currency=USD","Period=FQ","BEST_FPERIOD_OVERRIDE=FQ","FILING_STATUS=MR","SCALING_FORMAT=MLN","Sort=A","Dates=H","DateFormat=P","Fill=—","Direction=H","UseDPDF=Y")</f>
        <v>-13235</v>
      </c>
      <c r="AK50" s="15">
        <f>_xll.BDH("WMT US Equity","CFF_ACTIVITIES_DETAILED","FQ1 2025","FQ1 2025","Currency=USD","Period=FQ","BEST_FPERIOD_OVERRIDE=FQ","FILING_STATUS=MR","SCALING_FORMAT=MLN","Sort=A","Dates=H","DateFormat=P","Fill=—","Direction=H","UseDPDF=Y")</f>
        <v>-321</v>
      </c>
      <c r="AL50" s="15">
        <f>_xll.BDH("WMT US Equity","CFF_ACTIVITIES_DETAILED","FQ2 2025","FQ2 2025","Currency=USD","Period=FQ","BEST_FPERIOD_OVERRIDE=FQ","FILING_STATUS=MR","SCALING_FORMAT=MLN","Sort=A","Dates=H","DateFormat=P","Fill=—","Direction=H","UseDPDF=Y")</f>
        <v>-6624</v>
      </c>
      <c r="AM50" s="15">
        <f>_xll.BDH("WMT US Equity","CFF_ACTIVITIES_DETAILED","FQ3 2025","FQ3 2025","Currency=USD","Period=FQ","BEST_FPERIOD_OVERRIDE=FQ","FILING_STATUS=MR","SCALING_FORMAT=MLN","Sort=A","Dates=H","DateFormat=P","Fill=—","Direction=H","UseDPDF=Y")</f>
        <v>-2728</v>
      </c>
      <c r="AN50" s="15">
        <f>_xll.BDH("WMT US Equity","CFF_ACTIVITIES_DETAILED","FQ4 2025","FQ4 2025","Currency=USD","Period=FQ","BEST_FPERIOD_OVERRIDE=FQ","FILING_STATUS=MR","SCALING_FORMAT=MLN","Sort=A","Dates=H","DateFormat=P","Fill=—","Direction=H","UseDPDF=Y")</f>
        <v>-5149</v>
      </c>
      <c r="AO50" s="15">
        <f>_xll.BDH("WMT US Equity","CFF_ACTIVITIES_DETAILED","FQ1 2026","FQ1 2026","Currency=USD","Period=FQ","BEST_FPERIOD_OVERRIDE=FQ","FILING_STATUS=MR","SCALING_FORMAT=MLN","Sort=A","Dates=H","DateFormat=P","Fill=—","Direction=H","UseDPDF=Y")</f>
        <v>8</v>
      </c>
      <c r="AP50" s="15">
        <f>_xll.BDH("WMT US Equity","CFF_ACTIVITIES_DETAILED","FQ2 2026","FQ2 2026","Currency=USD","Period=FQ","BEST_FPERIOD_OVERRIDE=FQ","FILING_STATUS=MR","SCALING_FORMAT=MLN","Sort=A","Dates=H","DateFormat=P","Fill=—","Direction=H","UseDPDF=Y")</f>
        <v>-7001</v>
      </c>
    </row>
    <row r="51" spans="1:42" x14ac:dyDescent="0.3">
      <c r="A51" s="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</row>
    <row r="52" spans="1:42" x14ac:dyDescent="0.3">
      <c r="A52" s="10" t="s">
        <v>127</v>
      </c>
      <c r="B52" s="10" t="s">
        <v>128</v>
      </c>
      <c r="C52" s="12">
        <f>_xll.BDH("WMT US Equity","CF_EFFECT_FOREIGN_EXCHANGES","FQ3 2016","FQ3 2016","Currency=USD","Period=FQ","BEST_FPERIOD_OVERRIDE=FQ","FILING_STATUS=MR","SCALING_FORMAT=MLN","Sort=A","Dates=H","DateFormat=P","Fill=—","Direction=H","UseDPDF=Y")</f>
        <v>-214</v>
      </c>
      <c r="D52" s="12">
        <f>_xll.BDH("WMT US Equity","CF_EFFECT_FOREIGN_EXCHANGES","FQ4 2016","FQ4 2016","Currency=USD","Period=FQ","BEST_FPERIOD_OVERRIDE=FQ","FILING_STATUS=MR","SCALING_FORMAT=MLN","Sort=A","Dates=H","DateFormat=P","Fill=—","Direction=H","UseDPDF=Y")</f>
        <v>-698</v>
      </c>
      <c r="E52" s="12">
        <f>_xll.BDH("WMT US Equity","CF_EFFECT_FOREIGN_EXCHANGES","FQ1 2017","FQ1 2017","Currency=USD","Period=FQ","BEST_FPERIOD_OVERRIDE=FQ","FILING_STATUS=MR","SCALING_FORMAT=MLN","Sort=A","Dates=H","DateFormat=P","Fill=—","Direction=H","UseDPDF=Y")</f>
        <v>250</v>
      </c>
      <c r="F52" s="12">
        <f>_xll.BDH("WMT US Equity","CF_EFFECT_FOREIGN_EXCHANGES","FQ2 2017","FQ2 2017","Currency=USD","Period=FQ","BEST_FPERIOD_OVERRIDE=FQ","FILING_STATUS=MR","SCALING_FORMAT=MLN","Sort=A","Dates=H","DateFormat=P","Fill=—","Direction=H","UseDPDF=Y")</f>
        <v>-580</v>
      </c>
      <c r="G52" s="12">
        <f>_xll.BDH("WMT US Equity","CF_EFFECT_FOREIGN_EXCHANGES","FQ3 2017","FQ3 2017","Currency=USD","Period=FQ","BEST_FPERIOD_OVERRIDE=FQ","FILING_STATUS=MR","SCALING_FORMAT=MLN","Sort=A","Dates=H","DateFormat=P","Fill=—","Direction=H","UseDPDF=Y")</f>
        <v>105</v>
      </c>
      <c r="H52" s="12">
        <f>_xll.BDH("WMT US Equity","CF_EFFECT_FOREIGN_EXCHANGES","FQ4 2017","FQ4 2017","Currency=USD","Period=FQ","BEST_FPERIOD_OVERRIDE=FQ","FILING_STATUS=MR","SCALING_FORMAT=MLN","Sort=A","Dates=H","DateFormat=P","Fill=—","Direction=H","UseDPDF=Y")</f>
        <v>-227</v>
      </c>
      <c r="I52" s="12">
        <f>_xll.BDH("WMT US Equity","CF_EFFECT_FOREIGN_EXCHANGES","FQ1 2018","FQ1 2018","Currency=USD","Period=FQ","BEST_FPERIOD_OVERRIDE=FQ","FILING_STATUS=MR","SCALING_FORMAT=MLN","Sort=A","Dates=H","DateFormat=P","Fill=—","Direction=H","UseDPDF=Y")</f>
        <v>139</v>
      </c>
      <c r="J52" s="12">
        <f>_xll.BDH("WMT US Equity","CF_EFFECT_FOREIGN_EXCHANGES","FQ2 2018","FQ2 2018","Currency=USD","Period=FQ","BEST_FPERIOD_OVERRIDE=FQ","FILING_STATUS=MR","SCALING_FORMAT=MLN","Sort=A","Dates=H","DateFormat=P","Fill=—","Direction=H","UseDPDF=Y")</f>
        <v>293</v>
      </c>
      <c r="K52" s="12">
        <f>_xll.BDH("WMT US Equity","CF_EFFECT_FOREIGN_EXCHANGES","FQ3 2018","FQ3 2018","Currency=USD","Period=FQ","BEST_FPERIOD_OVERRIDE=FQ","FILING_STATUS=MR","SCALING_FORMAT=MLN","Sort=A","Dates=H","DateFormat=P","Fill=—","Direction=H","UseDPDF=Y")</f>
        <v>-46</v>
      </c>
      <c r="L52" s="12">
        <f>_xll.BDH("WMT US Equity","CF_EFFECT_FOREIGN_EXCHANGES","FQ4 2018","FQ4 2018","Currency=USD","Period=FQ","BEST_FPERIOD_OVERRIDE=FQ","FILING_STATUS=MR","SCALING_FORMAT=MLN","Sort=A","Dates=H","DateFormat=P","Fill=—","Direction=H","UseDPDF=Y")</f>
        <v>101</v>
      </c>
      <c r="M52" s="12">
        <f>_xll.BDH("WMT US Equity","CF_EFFECT_FOREIGN_EXCHANGES","FQ1 2019","FQ1 2019","Currency=USD","Period=FQ","BEST_FPERIOD_OVERRIDE=FQ","FILING_STATUS=MR","SCALING_FORMAT=MLN","Sort=A","Dates=H","DateFormat=P","Fill=—","Direction=H","UseDPDF=Y")</f>
        <v>143</v>
      </c>
      <c r="N52" s="12">
        <f>_xll.BDH("WMT US Equity","CF_EFFECT_FOREIGN_EXCHANGES","FQ2 2019","FQ2 2019","Currency=USD","Period=FQ","BEST_FPERIOD_OVERRIDE=FQ","FILING_STATUS=MR","SCALING_FORMAT=MLN","Sort=A","Dates=H","DateFormat=P","Fill=—","Direction=H","UseDPDF=Y")</f>
        <v>-442</v>
      </c>
      <c r="O52" s="12">
        <f>_xll.BDH("WMT US Equity","CF_EFFECT_FOREIGN_EXCHANGES","FQ3 2019","FQ3 2019","Currency=USD","Period=FQ","BEST_FPERIOD_OVERRIDE=FQ","FILING_STATUS=MR","SCALING_FORMAT=MLN","Sort=A","Dates=H","DateFormat=P","Fill=—","Direction=H","UseDPDF=Y")</f>
        <v>-186</v>
      </c>
      <c r="P52" s="12">
        <f>_xll.BDH("WMT US Equity","CF_EFFECT_FOREIGN_EXCHANGES","FQ4 2019","FQ4 2019","Currency=USD","Period=FQ","BEST_FPERIOD_OVERRIDE=FQ","FILING_STATUS=MR","SCALING_FORMAT=MLN","Sort=A","Dates=H","DateFormat=P","Fill=—","Direction=H","UseDPDF=Y")</f>
        <v>47</v>
      </c>
      <c r="Q52" s="12">
        <f>_xll.BDH("WMT US Equity","CF_EFFECT_FOREIGN_EXCHANGES","FQ1 2020","FQ1 2020","Currency=USD","Period=FQ","BEST_FPERIOD_OVERRIDE=FQ","FILING_STATUS=MR","SCALING_FORMAT=MLN","Sort=A","Dates=H","DateFormat=P","Fill=—","Direction=H","UseDPDF=Y")</f>
        <v>-46</v>
      </c>
      <c r="R52" s="12">
        <f>_xll.BDH("WMT US Equity","CF_EFFECT_FOREIGN_EXCHANGES","FQ2 2020","FQ2 2020","Currency=USD","Period=FQ","BEST_FPERIOD_OVERRIDE=FQ","FILING_STATUS=MR","SCALING_FORMAT=MLN","Sort=A","Dates=H","DateFormat=P","Fill=—","Direction=H","UseDPDF=Y")</f>
        <v>-220</v>
      </c>
      <c r="S52" s="12">
        <f>_xll.BDH("WMT US Equity","CF_EFFECT_FOREIGN_EXCHANGES","FQ3 2020","FQ3 2020","Currency=USD","Period=FQ","BEST_FPERIOD_OVERRIDE=FQ","FILING_STATUS=MR","SCALING_FORMAT=MLN","Sort=A","Dates=H","DateFormat=P","Fill=—","Direction=H","UseDPDF=Y")</f>
        <v>100</v>
      </c>
      <c r="T52" s="12">
        <f>_xll.BDH("WMT US Equity","CF_EFFECT_FOREIGN_EXCHANGES","FQ4 2020","FQ4 2020","Currency=USD","Period=FQ","BEST_FPERIOD_OVERRIDE=FQ","FILING_STATUS=MR","SCALING_FORMAT=MLN","Sort=A","Dates=H","DateFormat=P","Fill=—","Direction=H","UseDPDF=Y")</f>
        <v>97</v>
      </c>
      <c r="U52" s="12">
        <f>_xll.BDH("WMT US Equity","CF_EFFECT_FOREIGN_EXCHANGES","FQ1 2021","FQ1 2021","Currency=USD","Period=FQ","BEST_FPERIOD_OVERRIDE=FQ","FILING_STATUS=MR","SCALING_FORMAT=MLN","Sort=A","Dates=H","DateFormat=P","Fill=—","Direction=H","UseDPDF=Y")</f>
        <v>-415</v>
      </c>
      <c r="V52" s="12">
        <f>_xll.BDH("WMT US Equity","CF_EFFECT_FOREIGN_EXCHANGES","FQ2 2021","FQ2 2021","Currency=USD","Period=FQ","BEST_FPERIOD_OVERRIDE=FQ","FILING_STATUS=MR","SCALING_FORMAT=MLN","Sort=A","Dates=H","DateFormat=P","Fill=—","Direction=H","UseDPDF=Y")</f>
        <v>346</v>
      </c>
      <c r="W52" s="12">
        <f>_xll.BDH("WMT US Equity","CF_EFFECT_FOREIGN_EXCHANGES","FQ3 2021","FQ3 2021","Currency=USD","Period=FQ","BEST_FPERIOD_OVERRIDE=FQ","FILING_STATUS=MR","SCALING_FORMAT=MLN","Sort=A","Dates=H","DateFormat=P","Fill=—","Direction=H","UseDPDF=Y")</f>
        <v>-101</v>
      </c>
      <c r="X52" s="12">
        <f>_xll.BDH("WMT US Equity","CF_EFFECT_FOREIGN_EXCHANGES","FQ4 2021","FQ4 2021","Currency=USD","Period=FQ","BEST_FPERIOD_OVERRIDE=FQ","FILING_STATUS=MR","SCALING_FORMAT=MLN","Sort=A","Dates=H","DateFormat=P","Fill=—","Direction=H","UseDPDF=Y")</f>
        <v>405</v>
      </c>
      <c r="Y52" s="12">
        <f>_xll.BDH("WMT US Equity","CF_EFFECT_FOREIGN_EXCHANGES","FQ1 2022","FQ1 2022","Currency=USD","Period=FQ","BEST_FPERIOD_OVERRIDE=FQ","FILING_STATUS=MR","SCALING_FORMAT=MLN","Sort=A","Dates=H","DateFormat=P","Fill=—","Direction=H","UseDPDF=Y")</f>
        <v>-51</v>
      </c>
      <c r="Z52" s="12">
        <f>_xll.BDH("WMT US Equity","CF_EFFECT_FOREIGN_EXCHANGES","FQ2 2022","FQ2 2022","Currency=USD","Period=FQ","BEST_FPERIOD_OVERRIDE=FQ","FILING_STATUS=MR","SCALING_FORMAT=MLN","Sort=A","Dates=H","DateFormat=P","Fill=—","Direction=H","UseDPDF=Y")</f>
        <v>30</v>
      </c>
      <c r="AA52" s="12">
        <f>_xll.BDH("WMT US Equity","CF_EFFECT_FOREIGN_EXCHANGES","FQ3 2022","FQ3 2022","Currency=USD","Period=FQ","BEST_FPERIOD_OVERRIDE=FQ","FILING_STATUS=MR","SCALING_FORMAT=MLN","Sort=A","Dates=H","DateFormat=P","Fill=—","Direction=H","UseDPDF=Y")</f>
        <v>-97</v>
      </c>
      <c r="AB52" s="12">
        <f>_xll.BDH("WMT US Equity","CF_EFFECT_FOREIGN_EXCHANGES","FQ4 2022","FQ4 2022","Currency=USD","Period=FQ","BEST_FPERIOD_OVERRIDE=FQ","FILING_STATUS=MR","SCALING_FORMAT=MLN","Sort=A","Dates=H","DateFormat=P","Fill=—","Direction=H","UseDPDF=Y")</f>
        <v>-22</v>
      </c>
      <c r="AC52" s="12">
        <f>_xll.BDH("WMT US Equity","CF_EFFECT_FOREIGN_EXCHANGES","FQ1 2023","FQ1 2023","Currency=USD","Period=FQ","BEST_FPERIOD_OVERRIDE=FQ","FILING_STATUS=MR","SCALING_FORMAT=MLN","Sort=A","Dates=H","DateFormat=P","Fill=—","Direction=H","UseDPDF=Y")</f>
        <v>49</v>
      </c>
      <c r="AD52" s="12">
        <f>_xll.BDH("WMT US Equity","CF_EFFECT_FOREIGN_EXCHANGES","FQ2 2023","FQ2 2023","Currency=USD","Period=FQ","BEST_FPERIOD_OVERRIDE=FQ","FILING_STATUS=MR","SCALING_FORMAT=MLN","Sort=A","Dates=H","DateFormat=P","Fill=—","Direction=H","UseDPDF=Y")</f>
        <v>-149</v>
      </c>
      <c r="AE52" s="12">
        <f>_xll.BDH("WMT US Equity","CF_EFFECT_FOREIGN_EXCHANGES","FQ3 2023","FQ3 2023","Currency=USD","Period=FQ","BEST_FPERIOD_OVERRIDE=FQ","FILING_STATUS=MR","SCALING_FORMAT=MLN","Sort=A","Dates=H","DateFormat=P","Fill=—","Direction=H","UseDPDF=Y")</f>
        <v>-231</v>
      </c>
      <c r="AF52" s="12">
        <f>_xll.BDH("WMT US Equity","CF_EFFECT_FOREIGN_EXCHANGES","FQ4 2023","FQ4 2023","Currency=USD","Period=FQ","BEST_FPERIOD_OVERRIDE=FQ","FILING_STATUS=MR","SCALING_FORMAT=MLN","Sort=A","Dates=H","DateFormat=P","Fill=—","Direction=H","UseDPDF=Y")</f>
        <v>258</v>
      </c>
      <c r="AG52" s="12">
        <f>_xll.BDH("WMT US Equity","CF_EFFECT_FOREIGN_EXCHANGES","FQ1 2024","FQ1 2024","Currency=USD","Period=FQ","BEST_FPERIOD_OVERRIDE=FQ","FILING_STATUS=MR","SCALING_FORMAT=MLN","Sort=A","Dates=H","DateFormat=P","Fill=—","Direction=H","UseDPDF=Y")</f>
        <v>154</v>
      </c>
      <c r="AH52" s="12">
        <f>_xll.BDH("WMT US Equity","CF_EFFECT_FOREIGN_EXCHANGES","FQ2 2024","FQ2 2024","Currency=USD","Period=FQ","BEST_FPERIOD_OVERRIDE=FQ","FILING_STATUS=MR","SCALING_FORMAT=MLN","Sort=A","Dates=H","DateFormat=P","Fill=—","Direction=H","UseDPDF=Y")</f>
        <v>-7</v>
      </c>
      <c r="AI52" s="12">
        <f>_xll.BDH("WMT US Equity","CF_EFFECT_FOREIGN_EXCHANGES","FQ3 2024","FQ3 2024","Currency=USD","Period=FQ","BEST_FPERIOD_OVERRIDE=FQ","FILING_STATUS=MR","SCALING_FORMAT=MLN","Sort=A","Dates=H","DateFormat=P","Fill=—","Direction=H","UseDPDF=Y")</f>
        <v>-154</v>
      </c>
      <c r="AJ52" s="12">
        <f>_xll.BDH("WMT US Equity","CF_EFFECT_FOREIGN_EXCHANGES","FQ4 2024","FQ4 2024","Currency=USD","Period=FQ","BEST_FPERIOD_OVERRIDE=FQ","FILING_STATUS=MR","SCALING_FORMAT=MLN","Sort=A","Dates=H","DateFormat=P","Fill=—","Direction=H","UseDPDF=Y")</f>
        <v>76</v>
      </c>
      <c r="AK52" s="12">
        <f>_xll.BDH("WMT US Equity","CF_EFFECT_FOREIGN_EXCHANGES","FQ1 2025","FQ1 2025","Currency=USD","Period=FQ","BEST_FPERIOD_OVERRIDE=FQ","FILING_STATUS=MR","SCALING_FORMAT=MLN","Sort=A","Dates=H","DateFormat=P","Fill=—","Direction=H","UseDPDF=Y")</f>
        <v>6</v>
      </c>
      <c r="AL52" s="12">
        <f>_xll.BDH("WMT US Equity","CF_EFFECT_FOREIGN_EXCHANGES","FQ2 2025","FQ2 2025","Currency=USD","Period=FQ","BEST_FPERIOD_OVERRIDE=FQ","FILING_STATUS=MR","SCALING_FORMAT=MLN","Sort=A","Dates=H","DateFormat=P","Fill=—","Direction=H","UseDPDF=Y")</f>
        <v>-346</v>
      </c>
      <c r="AM52" s="12">
        <f>_xll.BDH("WMT US Equity","CF_EFFECT_FOREIGN_EXCHANGES","FQ3 2025","FQ3 2025","Currency=USD","Period=FQ","BEST_FPERIOD_OVERRIDE=FQ","FILING_STATUS=MR","SCALING_FORMAT=MLN","Sort=A","Dates=H","DateFormat=P","Fill=—","Direction=H","UseDPDF=Y")</f>
        <v>-11</v>
      </c>
      <c r="AN52" s="12">
        <f>_xll.BDH("WMT US Equity","CF_EFFECT_FOREIGN_EXCHANGES","FQ4 2025","FQ4 2025","Currency=USD","Period=FQ","BEST_FPERIOD_OVERRIDE=FQ","FILING_STATUS=MR","SCALING_FORMAT=MLN","Sort=A","Dates=H","DateFormat=P","Fill=—","Direction=H","UseDPDF=Y")</f>
        <v>-290</v>
      </c>
      <c r="AO52" s="12">
        <f>_xll.BDH("WMT US Equity","CF_EFFECT_FOREIGN_EXCHANGES","FQ1 2026","FQ1 2026","Currency=USD","Period=FQ","BEST_FPERIOD_OVERRIDE=FQ","FILING_STATUS=MR","SCALING_FORMAT=MLN","Sort=A","Dates=H","DateFormat=P","Fill=—","Direction=H","UseDPDF=Y")</f>
        <v>70</v>
      </c>
      <c r="AP52" s="12">
        <f>_xll.BDH("WMT US Equity","CF_EFFECT_FOREIGN_EXCHANGES","FQ2 2026","FQ2 2026","Currency=USD","Period=FQ","BEST_FPERIOD_OVERRIDE=FQ","FILING_STATUS=MR","SCALING_FORMAT=MLN","Sort=A","Dates=H","DateFormat=P","Fill=—","Direction=H","UseDPDF=Y")</f>
        <v>111</v>
      </c>
    </row>
    <row r="53" spans="1:42" x14ac:dyDescent="0.3">
      <c r="A53" s="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</row>
    <row r="54" spans="1:42" x14ac:dyDescent="0.3">
      <c r="A54" s="6" t="s">
        <v>129</v>
      </c>
      <c r="B54" s="6" t="s">
        <v>130</v>
      </c>
      <c r="C54" s="15">
        <f>_xll.BDH("WMT US Equity","CF_NET_CHNG_CASH","FQ3 2016","FQ3 2016","Currency=USD","Period=FQ","BEST_FPERIOD_OVERRIDE=FQ","FILING_STATUS=MR","SCALING_FORMAT=MLN","Sort=A","Dates=H","DateFormat=P","Fill=—","Direction=H","UseDPDF=Y")</f>
        <v>1239</v>
      </c>
      <c r="D54" s="15">
        <f>_xll.BDH("WMT US Equity","CF_NET_CHNG_CASH","FQ4 2016","FQ4 2016","Currency=USD","Period=FQ","BEST_FPERIOD_OVERRIDE=FQ","FILING_STATUS=MR","SCALING_FORMAT=MLN","Sort=A","Dates=H","DateFormat=P","Fill=—","Direction=H","UseDPDF=Y")</f>
        <v>1715</v>
      </c>
      <c r="E54" s="15">
        <f>_xll.BDH("WMT US Equity","CF_NET_CHNG_CASH","FQ1 2017","FQ1 2017","Currency=USD","Period=FQ","BEST_FPERIOD_OVERRIDE=FQ","FILING_STATUS=MR","SCALING_FORMAT=MLN","Sort=A","Dates=H","DateFormat=P","Fill=—","Direction=H","UseDPDF=Y")</f>
        <v>-1108</v>
      </c>
      <c r="F54" s="15">
        <f>_xll.BDH("WMT US Equity","CF_NET_CHNG_CASH","FQ2 2017","FQ2 2017","Currency=USD","Period=FQ","BEST_FPERIOD_OVERRIDE=FQ","FILING_STATUS=MR","SCALING_FORMAT=MLN","Sort=A","Dates=H","DateFormat=P","Fill=—","Direction=H","UseDPDF=Y")</f>
        <v>79</v>
      </c>
      <c r="G54" s="15">
        <f>_xll.BDH("WMT US Equity","CF_NET_CHNG_CASH","FQ3 2017","FQ3 2017","Currency=USD","Period=FQ","BEST_FPERIOD_OVERRIDE=FQ","FILING_STATUS=MR","SCALING_FORMAT=MLN","Sort=A","Dates=H","DateFormat=P","Fill=—","Direction=H","UseDPDF=Y")</f>
        <v>-1737</v>
      </c>
      <c r="H54" s="15">
        <f>_xll.BDH("WMT US Equity","CF_NET_CHNG_CASH","FQ4 2017","FQ4 2017","Currency=USD","Period=FQ","BEST_FPERIOD_OVERRIDE=FQ","FILING_STATUS=MR","SCALING_FORMAT=MLN","Sort=A","Dates=H","DateFormat=P","Fill=—","Direction=H","UseDPDF=Y")</f>
        <v>928</v>
      </c>
      <c r="I54" s="15">
        <f>_xll.BDH("WMT US Equity","CF_NET_CHNG_CASH","FQ1 2018","FQ1 2018","Currency=USD","Period=FQ","BEST_FPERIOD_OVERRIDE=FQ","FILING_STATUS=MR","SCALING_FORMAT=MLN","Sort=A","Dates=H","DateFormat=P","Fill=—","Direction=H","UseDPDF=Y")</f>
        <v>-309</v>
      </c>
      <c r="J54" s="15">
        <f>_xll.BDH("WMT US Equity","CF_NET_CHNG_CASH","FQ2 2018","FQ2 2018","Currency=USD","Period=FQ","BEST_FPERIOD_OVERRIDE=FQ","FILING_STATUS=MR","SCALING_FORMAT=MLN","Sort=A","Dates=H","DateFormat=P","Fill=—","Direction=H","UseDPDF=Y")</f>
        <v>-72</v>
      </c>
      <c r="K54" s="15">
        <f>_xll.BDH("WMT US Equity","CF_NET_CHNG_CASH","FQ3 2018","FQ3 2018","Currency=USD","Period=FQ","BEST_FPERIOD_OVERRIDE=FQ","FILING_STATUS=MR","SCALING_FORMAT=MLN","Sort=A","Dates=H","DateFormat=P","Fill=—","Direction=H","UseDPDF=Y")</f>
        <v>557</v>
      </c>
      <c r="L54" s="15">
        <f>_xll.BDH("WMT US Equity","CF_NET_CHNG_CASH","FQ4 2018","FQ4 2018","Currency=USD","Period=FQ","BEST_FPERIOD_OVERRIDE=FQ","FILING_STATUS=MR","SCALING_FORMAT=MLN","Sort=A","Dates=H","DateFormat=P","Fill=—","Direction=H","UseDPDF=Y")</f>
        <v>-306</v>
      </c>
      <c r="M54" s="15">
        <f>_xll.BDH("WMT US Equity","CF_NET_CHNG_CASH","FQ1 2019","FQ1 2019","Currency=USD","Period=FQ","BEST_FPERIOD_OVERRIDE=FQ","FILING_STATUS=MR","SCALING_FORMAT=MLN","Sort=A","Dates=H","DateFormat=P","Fill=—","Direction=H","UseDPDF=Y")</f>
        <v>1136</v>
      </c>
      <c r="N54" s="15">
        <f>_xll.BDH("WMT US Equity","CF_NET_CHNG_CASH","FQ2 2019","FQ2 2019","Currency=USD","Period=FQ","BEST_FPERIOD_OVERRIDE=FQ","FILING_STATUS=MR","SCALING_FORMAT=MLN","Sort=A","Dates=H","DateFormat=P","Fill=—","Direction=H","UseDPDF=Y")</f>
        <v>7712</v>
      </c>
      <c r="O54" s="15">
        <f>_xll.BDH("WMT US Equity","CF_NET_CHNG_CASH","FQ3 2019","FQ3 2019","Currency=USD","Period=FQ","BEST_FPERIOD_OVERRIDE=FQ","FILING_STATUS=MR","SCALING_FORMAT=MLN","Sort=A","Dates=H","DateFormat=P","Fill=—","Direction=H","UseDPDF=Y")</f>
        <v>-6658</v>
      </c>
      <c r="P54" s="15">
        <f>_xll.BDH("WMT US Equity","CF_NET_CHNG_CASH","FQ4 2019","FQ4 2019","Currency=USD","Period=FQ","BEST_FPERIOD_OVERRIDE=FQ","FILING_STATUS=MR","SCALING_FORMAT=MLN","Sort=A","Dates=H","DateFormat=P","Fill=—","Direction=H","UseDPDF=Y")</f>
        <v>-1448</v>
      </c>
      <c r="Q54" s="15">
        <f>_xll.BDH("WMT US Equity","CF_NET_CHNG_CASH","FQ1 2020","FQ1 2020","Currency=USD","Period=FQ","BEST_FPERIOD_OVERRIDE=FQ","FILING_STATUS=MR","SCALING_FORMAT=MLN","Sort=A","Dates=H","DateFormat=P","Fill=—","Direction=H","UseDPDF=Y")</f>
        <v>1536</v>
      </c>
      <c r="R54" s="15">
        <f>_xll.BDH("WMT US Equity","CF_NET_CHNG_CASH","FQ2 2020","FQ2 2020","Currency=USD","Period=FQ","BEST_FPERIOD_OVERRIDE=FQ","FILING_STATUS=MR","SCALING_FORMAT=MLN","Sort=A","Dates=H","DateFormat=P","Fill=—","Direction=H","UseDPDF=Y")</f>
        <v>28</v>
      </c>
      <c r="S54" s="15">
        <f>_xll.BDH("WMT US Equity","CF_NET_CHNG_CASH","FQ3 2020","FQ3 2020","Currency=USD","Period=FQ","BEST_FPERIOD_OVERRIDE=FQ","FILING_STATUS=MR","SCALING_FORMAT=MLN","Sort=A","Dates=H","DateFormat=P","Fill=—","Direction=H","UseDPDF=Y")</f>
        <v>-689</v>
      </c>
      <c r="T54" s="15">
        <f>_xll.BDH("WMT US Equity","CF_NET_CHNG_CASH","FQ4 2020","FQ4 2020","Currency=USD","Period=FQ","BEST_FPERIOD_OVERRIDE=FQ","FILING_STATUS=MR","SCALING_FORMAT=MLN","Sort=A","Dates=H","DateFormat=P","Fill=—","Direction=H","UseDPDF=Y")</f>
        <v>884</v>
      </c>
      <c r="U54" s="15">
        <f>_xll.BDH("WMT US Equity","CF_NET_CHNG_CASH","FQ1 2021","FQ1 2021","Currency=USD","Period=FQ","BEST_FPERIOD_OVERRIDE=FQ","FILING_STATUS=MR","SCALING_FORMAT=MLN","Sort=A","Dates=H","DateFormat=P","Fill=—","Direction=H","UseDPDF=Y")</f>
        <v>5471</v>
      </c>
      <c r="V54" s="15">
        <f>_xll.BDH("WMT US Equity","CF_NET_CHNG_CASH","FQ2 2021","FQ2 2021","Currency=USD","Period=FQ","BEST_FPERIOD_OVERRIDE=FQ","FILING_STATUS=MR","SCALING_FORMAT=MLN","Sort=A","Dates=H","DateFormat=P","Fill=—","Direction=H","UseDPDF=Y")</f>
        <v>1968</v>
      </c>
      <c r="W54" s="15">
        <f>_xll.BDH("WMT US Equity","CF_NET_CHNG_CASH","FQ3 2021","FQ3 2021","Currency=USD","Period=FQ","BEST_FPERIOD_OVERRIDE=FQ","FILING_STATUS=MR","SCALING_FORMAT=MLN","Sort=A","Dates=H","DateFormat=P","Fill=—","Direction=H","UseDPDF=Y")</f>
        <v>-2576</v>
      </c>
      <c r="X54" s="15">
        <f>_xll.BDH("WMT US Equity","CF_NET_CHNG_CASH","FQ4 2021","FQ4 2021","Currency=USD","Period=FQ","BEST_FPERIOD_OVERRIDE=FQ","FILING_STATUS=MR","SCALING_FORMAT=MLN","Sort=A","Dates=H","DateFormat=P","Fill=—","Direction=H","UseDPDF=Y")</f>
        <v>5258</v>
      </c>
      <c r="Y54" s="15">
        <f>_xll.BDH("WMT US Equity","CF_NET_CHNG_CASH","FQ1 2022","FQ1 2022","Currency=USD","Period=FQ","BEST_FPERIOD_OVERRIDE=FQ","FILING_STATUS=MR","SCALING_FORMAT=MLN","Sort=A","Dates=H","DateFormat=P","Fill=—","Direction=H","UseDPDF=Y")</f>
        <v>3258</v>
      </c>
      <c r="Z54" s="15">
        <f>_xll.BDH("WMT US Equity","CF_NET_CHNG_CASH","FQ2 2022","FQ2 2022","Currency=USD","Period=FQ","BEST_FPERIOD_OVERRIDE=FQ","FILING_STATUS=MR","SCALING_FORMAT=MLN","Sort=A","Dates=H","DateFormat=P","Fill=—","Direction=H","UseDPDF=Y")</f>
        <v>-13</v>
      </c>
      <c r="AA54" s="15">
        <f>_xll.BDH("WMT US Equity","CF_NET_CHNG_CASH","FQ3 2022","FQ3 2022","Currency=USD","Period=FQ","BEST_FPERIOD_OVERRIDE=FQ","FILING_STATUS=MR","SCALING_FORMAT=MLN","Sort=A","Dates=H","DateFormat=P","Fill=—","Direction=H","UseDPDF=Y")</f>
        <v>-6715</v>
      </c>
      <c r="AB54" s="15">
        <f>_xll.BDH("WMT US Equity","CF_NET_CHNG_CASH","FQ4 2022","FQ4 2022","Currency=USD","Period=FQ","BEST_FPERIOD_OVERRIDE=FQ","FILING_STATUS=MR","SCALING_FORMAT=MLN","Sort=A","Dates=H","DateFormat=P","Fill=—","Direction=H","UseDPDF=Y")</f>
        <v>-1332</v>
      </c>
      <c r="AC54" s="15">
        <f>_xll.BDH("WMT US Equity","CF_NET_CHNG_CASH","FQ1 2023","FQ1 2023","Currency=USD","Period=FQ","BEST_FPERIOD_OVERRIDE=FQ","FILING_STATUS=MR","SCALING_FORMAT=MLN","Sort=A","Dates=H","DateFormat=P","Fill=—","Direction=H","UseDPDF=Y")</f>
        <v>-2952</v>
      </c>
      <c r="AD54" s="15">
        <f>_xll.BDH("WMT US Equity","CF_NET_CHNG_CASH","FQ2 2023","FQ2 2023","Currency=USD","Period=FQ","BEST_FPERIOD_OVERRIDE=FQ","FILING_STATUS=MR","SCALING_FORMAT=MLN","Sort=A","Dates=H","DateFormat=P","Fill=—","Direction=H","UseDPDF=Y")</f>
        <v>2108</v>
      </c>
      <c r="AE54" s="15">
        <f>_xll.BDH("WMT US Equity","CF_NET_CHNG_CASH","FQ3 2023","FQ3 2023","Currency=USD","Period=FQ","BEST_FPERIOD_OVERRIDE=FQ","FILING_STATUS=MR","SCALING_FORMAT=MLN","Sort=A","Dates=H","DateFormat=P","Fill=—","Direction=H","UseDPDF=Y")</f>
        <v>-2335</v>
      </c>
      <c r="AF54" s="15">
        <f>_xll.BDH("WMT US Equity","CF_NET_CHNG_CASH","FQ4 2023","FQ4 2023","Currency=USD","Period=FQ","BEST_FPERIOD_OVERRIDE=FQ","FILING_STATUS=MR","SCALING_FORMAT=MLN","Sort=A","Dates=H","DateFormat=P","Fill=—","Direction=H","UseDPDF=Y")</f>
        <v>-2814</v>
      </c>
      <c r="AG54" s="15">
        <f>_xll.BDH("WMT US Equity","CF_NET_CHNG_CASH","FQ1 2024","FQ1 2024","Currency=USD","Period=FQ","BEST_FPERIOD_OVERRIDE=FQ","FILING_STATUS=MR","SCALING_FORMAT=MLN","Sort=A","Dates=H","DateFormat=P","Fill=—","Direction=H","UseDPDF=Y")</f>
        <v>1867</v>
      </c>
      <c r="AH54" s="15">
        <f>_xll.BDH("WMT US Equity","CF_NET_CHNG_CASH","FQ2 2024","FQ2 2024","Currency=USD","Period=FQ","BEST_FPERIOD_OVERRIDE=FQ","FILING_STATUS=MR","SCALING_FORMAT=MLN","Sort=A","Dates=H","DateFormat=P","Fill=—","Direction=H","UseDPDF=Y")</f>
        <v>3263</v>
      </c>
      <c r="AI54" s="15">
        <f>_xll.BDH("WMT US Equity","CF_NET_CHNG_CASH","FQ3 2024","FQ3 2024","Currency=USD","Period=FQ","BEST_FPERIOD_OVERRIDE=FQ","FILING_STATUS=MR","SCALING_FORMAT=MLN","Sort=A","Dates=H","DateFormat=P","Fill=—","Direction=H","UseDPDF=Y")</f>
        <v>-1676</v>
      </c>
      <c r="AJ54" s="15">
        <f>_xll.BDH("WMT US Equity","CF_NET_CHNG_CASH","FQ4 2024","FQ4 2024","Currency=USD","Period=FQ","BEST_FPERIOD_OVERRIDE=FQ","FILING_STATUS=MR","SCALING_FORMAT=MLN","Sort=A","Dates=H","DateFormat=P","Fill=—","Direction=H","UseDPDF=Y")</f>
        <v>-2360</v>
      </c>
      <c r="AK54" s="15">
        <f>_xll.BDH("WMT US Equity","CF_NET_CHNG_CASH","FQ1 2025","FQ1 2025","Currency=USD","Period=FQ","BEST_FPERIOD_OVERRIDE=FQ","FILING_STATUS=MR","SCALING_FORMAT=MLN","Sort=A","Dates=H","DateFormat=P","Fill=—","Direction=H","UseDPDF=Y")</f>
        <v>-475</v>
      </c>
      <c r="AL54" s="15">
        <f>_xll.BDH("WMT US Equity","CF_NET_CHNG_CASH","FQ2 2025","FQ2 2025","Currency=USD","Period=FQ","BEST_FPERIOD_OVERRIDE=FQ","FILING_STATUS=MR","SCALING_FORMAT=MLN","Sort=A","Dates=H","DateFormat=P","Fill=—","Direction=H","UseDPDF=Y")</f>
        <v>-581</v>
      </c>
      <c r="AM54" s="15">
        <f>_xll.BDH("WMT US Equity","CF_NET_CHNG_CASH","FQ3 2025","FQ3 2025","Currency=USD","Period=FQ","BEST_FPERIOD_OVERRIDE=FQ","FILING_STATUS=MR","SCALING_FORMAT=MLN","Sort=A","Dates=H","DateFormat=P","Fill=—","Direction=H","UseDPDF=Y")</f>
        <v>1289</v>
      </c>
      <c r="AN54" s="15">
        <f>_xll.BDH("WMT US Equity","CF_NET_CHNG_CASH","FQ4 2025","FQ4 2025","Currency=USD","Period=FQ","BEST_FPERIOD_OVERRIDE=FQ","FILING_STATUS=MR","SCALING_FORMAT=MLN","Sort=A","Dates=H","DateFormat=P","Fill=—","Direction=H","UseDPDF=Y")</f>
        <v>-632</v>
      </c>
      <c r="AO54" s="15">
        <f>_xll.BDH("WMT US Equity","CF_NET_CHNG_CASH","FQ1 2026","FQ1 2026","Currency=USD","Period=FQ","BEST_FPERIOD_OVERRIDE=FQ","FILING_STATUS=MR","SCALING_FORMAT=MLN","Sort=A","Dates=H","DateFormat=P","Fill=—","Direction=H","UseDPDF=Y")</f>
        <v>396</v>
      </c>
      <c r="AP54" s="15">
        <f>_xll.BDH("WMT US Equity","CF_NET_CHNG_CASH","FQ2 2026","FQ2 2026","Currency=USD","Period=FQ","BEST_FPERIOD_OVERRIDE=FQ","FILING_STATUS=MR","SCALING_FORMAT=MLN","Sort=A","Dates=H","DateFormat=P","Fill=—","Direction=H","UseDPDF=Y")</f>
        <v>-55</v>
      </c>
    </row>
    <row r="55" spans="1:42" x14ac:dyDescent="0.3">
      <c r="A55" s="6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</row>
    <row r="56" spans="1:42" x14ac:dyDescent="0.3">
      <c r="A56" s="6" t="s">
        <v>131</v>
      </c>
      <c r="B56" s="6" t="s">
        <v>132</v>
      </c>
      <c r="C56" s="15" t="str">
        <f>_xll.BDH("WMT US Equity","CF_CASH_PAID_FOR_TAX","FQ3 2016","FQ3 2016","Currency=USD","Period=FQ","BEST_FPERIOD_OVERRIDE=FQ","FILING_STATUS=MR","SCALING_FORMAT=MLN","Sort=A","Dates=H","DateFormat=P","Fill=—","Direction=H","UseDPDF=Y")</f>
        <v>—</v>
      </c>
      <c r="D56" s="15" t="str">
        <f>_xll.BDH("WMT US Equity","CF_CASH_PAID_FOR_TAX","FQ4 2016","FQ4 2016","Currency=USD","Period=FQ","BEST_FPERIOD_OVERRIDE=FQ","FILING_STATUS=MR","SCALING_FORMAT=MLN","Sort=A","Dates=H","DateFormat=P","Fill=—","Direction=H","UseDPDF=Y")</f>
        <v>—</v>
      </c>
      <c r="E56" s="15" t="str">
        <f>_xll.BDH("WMT US Equity","CF_CASH_PAID_FOR_TAX","FQ1 2017","FQ1 2017","Currency=USD","Period=FQ","BEST_FPERIOD_OVERRIDE=FQ","FILING_STATUS=MR","SCALING_FORMAT=MLN","Sort=A","Dates=H","DateFormat=P","Fill=—","Direction=H","UseDPDF=Y")</f>
        <v>—</v>
      </c>
      <c r="F56" s="15" t="str">
        <f>_xll.BDH("WMT US Equity","CF_CASH_PAID_FOR_TAX","FQ2 2017","FQ2 2017","Currency=USD","Period=FQ","BEST_FPERIOD_OVERRIDE=FQ","FILING_STATUS=MR","SCALING_FORMAT=MLN","Sort=A","Dates=H","DateFormat=P","Fill=—","Direction=H","UseDPDF=Y")</f>
        <v>—</v>
      </c>
      <c r="G56" s="15" t="str">
        <f>_xll.BDH("WMT US Equity","CF_CASH_PAID_FOR_TAX","FQ3 2017","FQ3 2017","Currency=USD","Period=FQ","BEST_FPERIOD_OVERRIDE=FQ","FILING_STATUS=MR","SCALING_FORMAT=MLN","Sort=A","Dates=H","DateFormat=P","Fill=—","Direction=H","UseDPDF=Y")</f>
        <v>—</v>
      </c>
      <c r="H56" s="15">
        <f>_xll.BDH("WMT US Equity","CF_CASH_PAID_FOR_TAX","FQ4 2017","FQ4 2017","Currency=USD","Period=FQ","BEST_FPERIOD_OVERRIDE=FQ","FILING_STATUS=MR","SCALING_FORMAT=MLN","Sort=A","Dates=H","DateFormat=P","Fill=—","Direction=H","UseDPDF=Y")</f>
        <v>4507</v>
      </c>
      <c r="I56" s="15" t="str">
        <f>_xll.BDH("WMT US Equity","CF_CASH_PAID_FOR_TAX","FQ1 2018","FQ1 2018","Currency=USD","Period=FQ","BEST_FPERIOD_OVERRIDE=FQ","FILING_STATUS=MR","SCALING_FORMAT=MLN","Sort=A","Dates=H","DateFormat=P","Fill=—","Direction=H","UseDPDF=Y")</f>
        <v>—</v>
      </c>
      <c r="J56" s="15" t="str">
        <f>_xll.BDH("WMT US Equity","CF_CASH_PAID_FOR_TAX","FQ2 2018","FQ2 2018","Currency=USD","Period=FQ","BEST_FPERIOD_OVERRIDE=FQ","FILING_STATUS=MR","SCALING_FORMAT=MLN","Sort=A","Dates=H","DateFormat=P","Fill=—","Direction=H","UseDPDF=Y")</f>
        <v>—</v>
      </c>
      <c r="K56" s="15" t="str">
        <f>_xll.BDH("WMT US Equity","CF_CASH_PAID_FOR_TAX","FQ3 2018","FQ3 2018","Currency=USD","Period=FQ","BEST_FPERIOD_OVERRIDE=FQ","FILING_STATUS=MR","SCALING_FORMAT=MLN","Sort=A","Dates=H","DateFormat=P","Fill=—","Direction=H","UseDPDF=Y")</f>
        <v>—</v>
      </c>
      <c r="L56" s="15" t="str">
        <f>_xll.BDH("WMT US Equity","CF_CASH_PAID_FOR_TAX","FQ4 2018","FQ4 2018","Currency=USD","Period=FQ","BEST_FPERIOD_OVERRIDE=FQ","FILING_STATUS=MR","SCALING_FORMAT=MLN","Sort=A","Dates=H","DateFormat=P","Fill=—","Direction=H","UseDPDF=Y")</f>
        <v>—</v>
      </c>
      <c r="M56" s="15" t="str">
        <f>_xll.BDH("WMT US Equity","CF_CASH_PAID_FOR_TAX","FQ1 2019","FQ1 2019","Currency=USD","Period=FQ","BEST_FPERIOD_OVERRIDE=FQ","FILING_STATUS=MR","SCALING_FORMAT=MLN","Sort=A","Dates=H","DateFormat=P","Fill=—","Direction=H","UseDPDF=Y")</f>
        <v>—</v>
      </c>
      <c r="N56" s="15" t="str">
        <f>_xll.BDH("WMT US Equity","CF_CASH_PAID_FOR_TAX","FQ2 2019","FQ2 2019","Currency=USD","Period=FQ","BEST_FPERIOD_OVERRIDE=FQ","FILING_STATUS=MR","SCALING_FORMAT=MLN","Sort=A","Dates=H","DateFormat=P","Fill=—","Direction=H","UseDPDF=Y")</f>
        <v>—</v>
      </c>
      <c r="O56" s="15" t="str">
        <f>_xll.BDH("WMT US Equity","CF_CASH_PAID_FOR_TAX","FQ3 2019","FQ3 2019","Currency=USD","Period=FQ","BEST_FPERIOD_OVERRIDE=FQ","FILING_STATUS=MR","SCALING_FORMAT=MLN","Sort=A","Dates=H","DateFormat=P","Fill=—","Direction=H","UseDPDF=Y")</f>
        <v>—</v>
      </c>
      <c r="P56" s="15" t="str">
        <f>_xll.BDH("WMT US Equity","CF_CASH_PAID_FOR_TAX","FQ4 2019","FQ4 2019","Currency=USD","Period=FQ","BEST_FPERIOD_OVERRIDE=FQ","FILING_STATUS=MR","SCALING_FORMAT=MLN","Sort=A","Dates=H","DateFormat=P","Fill=—","Direction=H","UseDPDF=Y")</f>
        <v>—</v>
      </c>
      <c r="Q56" s="15" t="str">
        <f>_xll.BDH("WMT US Equity","CF_CASH_PAID_FOR_TAX","FQ1 2020","FQ1 2020","Currency=USD","Period=FQ","BEST_FPERIOD_OVERRIDE=FQ","FILING_STATUS=MR","SCALING_FORMAT=MLN","Sort=A","Dates=H","DateFormat=P","Fill=—","Direction=H","UseDPDF=Y")</f>
        <v>—</v>
      </c>
      <c r="R56" s="15" t="str">
        <f>_xll.BDH("WMT US Equity","CF_CASH_PAID_FOR_TAX","FQ2 2020","FQ2 2020","Currency=USD","Period=FQ","BEST_FPERIOD_OVERRIDE=FQ","FILING_STATUS=MR","SCALING_FORMAT=MLN","Sort=A","Dates=H","DateFormat=P","Fill=—","Direction=H","UseDPDF=Y")</f>
        <v>—</v>
      </c>
      <c r="S56" s="15" t="str">
        <f>_xll.BDH("WMT US Equity","CF_CASH_PAID_FOR_TAX","FQ3 2020","FQ3 2020","Currency=USD","Period=FQ","BEST_FPERIOD_OVERRIDE=FQ","FILING_STATUS=MR","SCALING_FORMAT=MLN","Sort=A","Dates=H","DateFormat=P","Fill=—","Direction=H","UseDPDF=Y")</f>
        <v>—</v>
      </c>
      <c r="T56" s="15" t="str">
        <f>_xll.BDH("WMT US Equity","CF_CASH_PAID_FOR_TAX","FQ4 2020","FQ4 2020","Currency=USD","Period=FQ","BEST_FPERIOD_OVERRIDE=FQ","FILING_STATUS=MR","SCALING_FORMAT=MLN","Sort=A","Dates=H","DateFormat=P","Fill=—","Direction=H","UseDPDF=Y")</f>
        <v>—</v>
      </c>
      <c r="U56" s="15" t="str">
        <f>_xll.BDH("WMT US Equity","CF_CASH_PAID_FOR_TAX","FQ1 2021","FQ1 2021","Currency=USD","Period=FQ","BEST_FPERIOD_OVERRIDE=FQ","FILING_STATUS=MR","SCALING_FORMAT=MLN","Sort=A","Dates=H","DateFormat=P","Fill=—","Direction=H","UseDPDF=Y")</f>
        <v>—</v>
      </c>
      <c r="V56" s="15" t="str">
        <f>_xll.BDH("WMT US Equity","CF_CASH_PAID_FOR_TAX","FQ2 2021","FQ2 2021","Currency=USD","Period=FQ","BEST_FPERIOD_OVERRIDE=FQ","FILING_STATUS=MR","SCALING_FORMAT=MLN","Sort=A","Dates=H","DateFormat=P","Fill=—","Direction=H","UseDPDF=Y")</f>
        <v>—</v>
      </c>
      <c r="W56" s="15" t="str">
        <f>_xll.BDH("WMT US Equity","CF_CASH_PAID_FOR_TAX","FQ3 2021","FQ3 2021","Currency=USD","Period=FQ","BEST_FPERIOD_OVERRIDE=FQ","FILING_STATUS=MR","SCALING_FORMAT=MLN","Sort=A","Dates=H","DateFormat=P","Fill=—","Direction=H","UseDPDF=Y")</f>
        <v>—</v>
      </c>
      <c r="X56" s="15" t="str">
        <f>_xll.BDH("WMT US Equity","CF_CASH_PAID_FOR_TAX","FQ4 2021","FQ4 2021","Currency=USD","Period=FQ","BEST_FPERIOD_OVERRIDE=FQ","FILING_STATUS=MR","SCALING_FORMAT=MLN","Sort=A","Dates=H","DateFormat=P","Fill=—","Direction=H","UseDPDF=Y")</f>
        <v>—</v>
      </c>
      <c r="Y56" s="15" t="str">
        <f>_xll.BDH("WMT US Equity","CF_CASH_PAID_FOR_TAX","FQ1 2022","FQ1 2022","Currency=USD","Period=FQ","BEST_FPERIOD_OVERRIDE=FQ","FILING_STATUS=MR","SCALING_FORMAT=MLN","Sort=A","Dates=H","DateFormat=P","Fill=—","Direction=H","UseDPDF=Y")</f>
        <v>—</v>
      </c>
      <c r="Z56" s="15" t="str">
        <f>_xll.BDH("WMT US Equity","CF_CASH_PAID_FOR_TAX","FQ2 2022","FQ2 2022","Currency=USD","Period=FQ","BEST_FPERIOD_OVERRIDE=FQ","FILING_STATUS=MR","SCALING_FORMAT=MLN","Sort=A","Dates=H","DateFormat=P","Fill=—","Direction=H","UseDPDF=Y")</f>
        <v>—</v>
      </c>
      <c r="AA56" s="15" t="str">
        <f>_xll.BDH("WMT US Equity","CF_CASH_PAID_FOR_TAX","FQ3 2022","FQ3 2022","Currency=USD","Period=FQ","BEST_FPERIOD_OVERRIDE=FQ","FILING_STATUS=MR","SCALING_FORMAT=MLN","Sort=A","Dates=H","DateFormat=P","Fill=—","Direction=H","UseDPDF=Y")</f>
        <v>—</v>
      </c>
      <c r="AB56" s="15" t="str">
        <f>_xll.BDH("WMT US Equity","CF_CASH_PAID_FOR_TAX","FQ4 2022","FQ4 2022","Currency=USD","Period=FQ","BEST_FPERIOD_OVERRIDE=FQ","FILING_STATUS=MR","SCALING_FORMAT=MLN","Sort=A","Dates=H","DateFormat=P","Fill=—","Direction=H","UseDPDF=Y")</f>
        <v>—</v>
      </c>
      <c r="AC56" s="15" t="str">
        <f>_xll.BDH("WMT US Equity","CF_CASH_PAID_FOR_TAX","FQ1 2023","FQ1 2023","Currency=USD","Period=FQ","BEST_FPERIOD_OVERRIDE=FQ","FILING_STATUS=MR","SCALING_FORMAT=MLN","Sort=A","Dates=H","DateFormat=P","Fill=—","Direction=H","UseDPDF=Y")</f>
        <v>—</v>
      </c>
      <c r="AD56" s="15" t="str">
        <f>_xll.BDH("WMT US Equity","CF_CASH_PAID_FOR_TAX","FQ2 2023","FQ2 2023","Currency=USD","Period=FQ","BEST_FPERIOD_OVERRIDE=FQ","FILING_STATUS=MR","SCALING_FORMAT=MLN","Sort=A","Dates=H","DateFormat=P","Fill=—","Direction=H","UseDPDF=Y")</f>
        <v>—</v>
      </c>
      <c r="AE56" s="15" t="str">
        <f>_xll.BDH("WMT US Equity","CF_CASH_PAID_FOR_TAX","FQ3 2023","FQ3 2023","Currency=USD","Period=FQ","BEST_FPERIOD_OVERRIDE=FQ","FILING_STATUS=MR","SCALING_FORMAT=MLN","Sort=A","Dates=H","DateFormat=P","Fill=—","Direction=H","UseDPDF=Y")</f>
        <v>—</v>
      </c>
      <c r="AF56" s="15" t="str">
        <f>_xll.BDH("WMT US Equity","CF_CASH_PAID_FOR_TAX","FQ4 2023","FQ4 2023","Currency=USD","Period=FQ","BEST_FPERIOD_OVERRIDE=FQ","FILING_STATUS=MR","SCALING_FORMAT=MLN","Sort=A","Dates=H","DateFormat=P","Fill=—","Direction=H","UseDPDF=Y")</f>
        <v>—</v>
      </c>
      <c r="AG56" s="15" t="str">
        <f>_xll.BDH("WMT US Equity","CF_CASH_PAID_FOR_TAX","FQ1 2024","FQ1 2024","Currency=USD","Period=FQ","BEST_FPERIOD_OVERRIDE=FQ","FILING_STATUS=MR","SCALING_FORMAT=MLN","Sort=A","Dates=H","DateFormat=P","Fill=—","Direction=H","UseDPDF=Y")</f>
        <v>—</v>
      </c>
      <c r="AH56" s="15" t="str">
        <f>_xll.BDH("WMT US Equity","CF_CASH_PAID_FOR_TAX","FQ2 2024","FQ2 2024","Currency=USD","Period=FQ","BEST_FPERIOD_OVERRIDE=FQ","FILING_STATUS=MR","SCALING_FORMAT=MLN","Sort=A","Dates=H","DateFormat=P","Fill=—","Direction=H","UseDPDF=Y")</f>
        <v>—</v>
      </c>
      <c r="AI56" s="15" t="str">
        <f>_xll.BDH("WMT US Equity","CF_CASH_PAID_FOR_TAX","FQ3 2024","FQ3 2024","Currency=USD","Period=FQ","BEST_FPERIOD_OVERRIDE=FQ","FILING_STATUS=MR","SCALING_FORMAT=MLN","Sort=A","Dates=H","DateFormat=P","Fill=—","Direction=H","UseDPDF=Y")</f>
        <v>—</v>
      </c>
      <c r="AJ56" s="15" t="str">
        <f>_xll.BDH("WMT US Equity","CF_CASH_PAID_FOR_TAX","FQ4 2024","FQ4 2024","Currency=USD","Period=FQ","BEST_FPERIOD_OVERRIDE=FQ","FILING_STATUS=MR","SCALING_FORMAT=MLN","Sort=A","Dates=H","DateFormat=P","Fill=—","Direction=H","UseDPDF=Y")</f>
        <v>—</v>
      </c>
      <c r="AK56" s="15" t="str">
        <f>_xll.BDH("WMT US Equity","CF_CASH_PAID_FOR_TAX","FQ1 2025","FQ1 2025","Currency=USD","Period=FQ","BEST_FPERIOD_OVERRIDE=FQ","FILING_STATUS=MR","SCALING_FORMAT=MLN","Sort=A","Dates=H","DateFormat=P","Fill=—","Direction=H","UseDPDF=Y")</f>
        <v>—</v>
      </c>
      <c r="AL56" s="15" t="str">
        <f>_xll.BDH("WMT US Equity","CF_CASH_PAID_FOR_TAX","FQ2 2025","FQ2 2025","Currency=USD","Period=FQ","BEST_FPERIOD_OVERRIDE=FQ","FILING_STATUS=MR","SCALING_FORMAT=MLN","Sort=A","Dates=H","DateFormat=P","Fill=—","Direction=H","UseDPDF=Y")</f>
        <v>—</v>
      </c>
      <c r="AM56" s="15" t="str">
        <f>_xll.BDH("WMT US Equity","CF_CASH_PAID_FOR_TAX","FQ3 2025","FQ3 2025","Currency=USD","Period=FQ","BEST_FPERIOD_OVERRIDE=FQ","FILING_STATUS=MR","SCALING_FORMAT=MLN","Sort=A","Dates=H","DateFormat=P","Fill=—","Direction=H","UseDPDF=Y")</f>
        <v>—</v>
      </c>
      <c r="AN56" s="15" t="str">
        <f>_xll.BDH("WMT US Equity","CF_CASH_PAID_FOR_TAX","FQ4 2025","FQ4 2025","Currency=USD","Period=FQ","BEST_FPERIOD_OVERRIDE=FQ","FILING_STATUS=MR","SCALING_FORMAT=MLN","Sort=A","Dates=H","DateFormat=P","Fill=—","Direction=H","UseDPDF=Y")</f>
        <v>—</v>
      </c>
      <c r="AO56" s="15" t="str">
        <f>_xll.BDH("WMT US Equity","CF_CASH_PAID_FOR_TAX","FQ1 2026","FQ1 2026","Currency=USD","Period=FQ","BEST_FPERIOD_OVERRIDE=FQ","FILING_STATUS=MR","SCALING_FORMAT=MLN","Sort=A","Dates=H","DateFormat=P","Fill=—","Direction=H","UseDPDF=Y")</f>
        <v>—</v>
      </c>
      <c r="AP56" s="15" t="str">
        <f>_xll.BDH("WMT US Equity","CF_CASH_PAID_FOR_TAX","FQ2 2026","FQ2 2026","Currency=USD","Period=FQ","BEST_FPERIOD_OVERRIDE=FQ","FILING_STATUS=MR","SCALING_FORMAT=MLN","Sort=A","Dates=H","DateFormat=P","Fill=—","Direction=H","UseDPDF=Y")</f>
        <v>—</v>
      </c>
    </row>
    <row r="57" spans="1:42" x14ac:dyDescent="0.3">
      <c r="A57" s="6" t="s">
        <v>133</v>
      </c>
      <c r="B57" s="6" t="s">
        <v>134</v>
      </c>
      <c r="C57" s="15" t="str">
        <f>_xll.BDH("WMT US Equity","CF_ACT_CASH_PAID_FOR_INT_DEBT","FQ3 2016","FQ3 2016","Currency=USD","Period=FQ","BEST_FPERIOD_OVERRIDE=FQ","FILING_STATUS=MR","SCALING_FORMAT=MLN","Sort=A","Dates=H","DateFormat=P","Fill=—","Direction=H","UseDPDF=Y")</f>
        <v>—</v>
      </c>
      <c r="D57" s="15" t="str">
        <f>_xll.BDH("WMT US Equity","CF_ACT_CASH_PAID_FOR_INT_DEBT","FQ4 2016","FQ4 2016","Currency=USD","Period=FQ","BEST_FPERIOD_OVERRIDE=FQ","FILING_STATUS=MR","SCALING_FORMAT=MLN","Sort=A","Dates=H","DateFormat=P","Fill=—","Direction=H","UseDPDF=Y")</f>
        <v>—</v>
      </c>
      <c r="E57" s="15" t="str">
        <f>_xll.BDH("WMT US Equity","CF_ACT_CASH_PAID_FOR_INT_DEBT","FQ1 2017","FQ1 2017","Currency=USD","Period=FQ","BEST_FPERIOD_OVERRIDE=FQ","FILING_STATUS=MR","SCALING_FORMAT=MLN","Sort=A","Dates=H","DateFormat=P","Fill=—","Direction=H","UseDPDF=Y")</f>
        <v>—</v>
      </c>
      <c r="F57" s="15" t="str">
        <f>_xll.BDH("WMT US Equity","CF_ACT_CASH_PAID_FOR_INT_DEBT","FQ2 2017","FQ2 2017","Currency=USD","Period=FQ","BEST_FPERIOD_OVERRIDE=FQ","FILING_STATUS=MR","SCALING_FORMAT=MLN","Sort=A","Dates=H","DateFormat=P","Fill=—","Direction=H","UseDPDF=Y")</f>
        <v>—</v>
      </c>
      <c r="G57" s="15" t="str">
        <f>_xll.BDH("WMT US Equity","CF_ACT_CASH_PAID_FOR_INT_DEBT","FQ3 2017","FQ3 2017","Currency=USD","Period=FQ","BEST_FPERIOD_OVERRIDE=FQ","FILING_STATUS=MR","SCALING_FORMAT=MLN","Sort=A","Dates=H","DateFormat=P","Fill=—","Direction=H","UseDPDF=Y")</f>
        <v>—</v>
      </c>
      <c r="H57" s="15">
        <f>_xll.BDH("WMT US Equity","CF_ACT_CASH_PAID_FOR_INT_DEBT","FQ4 2017","FQ4 2017","Currency=USD","Period=FQ","BEST_FPERIOD_OVERRIDE=FQ","FILING_STATUS=MR","SCALING_FORMAT=MLN","Sort=A","Dates=H","DateFormat=P","Fill=—","Direction=H","UseDPDF=Y")</f>
        <v>2351</v>
      </c>
      <c r="I57" s="15" t="str">
        <f>_xll.BDH("WMT US Equity","CF_ACT_CASH_PAID_FOR_INT_DEBT","FQ1 2018","FQ1 2018","Currency=USD","Period=FQ","BEST_FPERIOD_OVERRIDE=FQ","FILING_STATUS=MR","SCALING_FORMAT=MLN","Sort=A","Dates=H","DateFormat=P","Fill=—","Direction=H","UseDPDF=Y")</f>
        <v>—</v>
      </c>
      <c r="J57" s="15" t="str">
        <f>_xll.BDH("WMT US Equity","CF_ACT_CASH_PAID_FOR_INT_DEBT","FQ2 2018","FQ2 2018","Currency=USD","Period=FQ","BEST_FPERIOD_OVERRIDE=FQ","FILING_STATUS=MR","SCALING_FORMAT=MLN","Sort=A","Dates=H","DateFormat=P","Fill=—","Direction=H","UseDPDF=Y")</f>
        <v>—</v>
      </c>
      <c r="K57" s="15" t="str">
        <f>_xll.BDH("WMT US Equity","CF_ACT_CASH_PAID_FOR_INT_DEBT","FQ3 2018","FQ3 2018","Currency=USD","Period=FQ","BEST_FPERIOD_OVERRIDE=FQ","FILING_STATUS=MR","SCALING_FORMAT=MLN","Sort=A","Dates=H","DateFormat=P","Fill=—","Direction=H","UseDPDF=Y")</f>
        <v>—</v>
      </c>
      <c r="L57" s="15" t="str">
        <f>_xll.BDH("WMT US Equity","CF_ACT_CASH_PAID_FOR_INT_DEBT","FQ4 2018","FQ4 2018","Currency=USD","Period=FQ","BEST_FPERIOD_OVERRIDE=FQ","FILING_STATUS=MR","SCALING_FORMAT=MLN","Sort=A","Dates=H","DateFormat=P","Fill=—","Direction=H","UseDPDF=Y")</f>
        <v>—</v>
      </c>
      <c r="M57" s="15" t="str">
        <f>_xll.BDH("WMT US Equity","CF_ACT_CASH_PAID_FOR_INT_DEBT","FQ1 2019","FQ1 2019","Currency=USD","Period=FQ","BEST_FPERIOD_OVERRIDE=FQ","FILING_STATUS=MR","SCALING_FORMAT=MLN","Sort=A","Dates=H","DateFormat=P","Fill=—","Direction=H","UseDPDF=Y")</f>
        <v>—</v>
      </c>
      <c r="N57" s="15" t="str">
        <f>_xll.BDH("WMT US Equity","CF_ACT_CASH_PAID_FOR_INT_DEBT","FQ2 2019","FQ2 2019","Currency=USD","Period=FQ","BEST_FPERIOD_OVERRIDE=FQ","FILING_STATUS=MR","SCALING_FORMAT=MLN","Sort=A","Dates=H","DateFormat=P","Fill=—","Direction=H","UseDPDF=Y")</f>
        <v>—</v>
      </c>
      <c r="O57" s="15" t="str">
        <f>_xll.BDH("WMT US Equity","CF_ACT_CASH_PAID_FOR_INT_DEBT","FQ3 2019","FQ3 2019","Currency=USD","Period=FQ","BEST_FPERIOD_OVERRIDE=FQ","FILING_STATUS=MR","SCALING_FORMAT=MLN","Sort=A","Dates=H","DateFormat=P","Fill=—","Direction=H","UseDPDF=Y")</f>
        <v>—</v>
      </c>
      <c r="P57" s="15" t="str">
        <f>_xll.BDH("WMT US Equity","CF_ACT_CASH_PAID_FOR_INT_DEBT","FQ4 2019","FQ4 2019","Currency=USD","Period=FQ","BEST_FPERIOD_OVERRIDE=FQ","FILING_STATUS=MR","SCALING_FORMAT=MLN","Sort=A","Dates=H","DateFormat=P","Fill=—","Direction=H","UseDPDF=Y")</f>
        <v>—</v>
      </c>
      <c r="Q57" s="15" t="str">
        <f>_xll.BDH("WMT US Equity","CF_ACT_CASH_PAID_FOR_INT_DEBT","FQ1 2020","FQ1 2020","Currency=USD","Period=FQ","BEST_FPERIOD_OVERRIDE=FQ","FILING_STATUS=MR","SCALING_FORMAT=MLN","Sort=A","Dates=H","DateFormat=P","Fill=—","Direction=H","UseDPDF=Y")</f>
        <v>—</v>
      </c>
      <c r="R57" s="15" t="str">
        <f>_xll.BDH("WMT US Equity","CF_ACT_CASH_PAID_FOR_INT_DEBT","FQ2 2020","FQ2 2020","Currency=USD","Period=FQ","BEST_FPERIOD_OVERRIDE=FQ","FILING_STATUS=MR","SCALING_FORMAT=MLN","Sort=A","Dates=H","DateFormat=P","Fill=—","Direction=H","UseDPDF=Y")</f>
        <v>—</v>
      </c>
      <c r="S57" s="15" t="str">
        <f>_xll.BDH("WMT US Equity","CF_ACT_CASH_PAID_FOR_INT_DEBT","FQ3 2020","FQ3 2020","Currency=USD","Period=FQ","BEST_FPERIOD_OVERRIDE=FQ","FILING_STATUS=MR","SCALING_FORMAT=MLN","Sort=A","Dates=H","DateFormat=P","Fill=—","Direction=H","UseDPDF=Y")</f>
        <v>—</v>
      </c>
      <c r="T57" s="15" t="str">
        <f>_xll.BDH("WMT US Equity","CF_ACT_CASH_PAID_FOR_INT_DEBT","FQ4 2020","FQ4 2020","Currency=USD","Period=FQ","BEST_FPERIOD_OVERRIDE=FQ","FILING_STATUS=MR","SCALING_FORMAT=MLN","Sort=A","Dates=H","DateFormat=P","Fill=—","Direction=H","UseDPDF=Y")</f>
        <v>—</v>
      </c>
      <c r="U57" s="15" t="str">
        <f>_xll.BDH("WMT US Equity","CF_ACT_CASH_PAID_FOR_INT_DEBT","FQ1 2021","FQ1 2021","Currency=USD","Period=FQ","BEST_FPERIOD_OVERRIDE=FQ","FILING_STATUS=MR","SCALING_FORMAT=MLN","Sort=A","Dates=H","DateFormat=P","Fill=—","Direction=H","UseDPDF=Y")</f>
        <v>—</v>
      </c>
      <c r="V57" s="15" t="str">
        <f>_xll.BDH("WMT US Equity","CF_ACT_CASH_PAID_FOR_INT_DEBT","FQ2 2021","FQ2 2021","Currency=USD","Period=FQ","BEST_FPERIOD_OVERRIDE=FQ","FILING_STATUS=MR","SCALING_FORMAT=MLN","Sort=A","Dates=H","DateFormat=P","Fill=—","Direction=H","UseDPDF=Y")</f>
        <v>—</v>
      </c>
      <c r="W57" s="15" t="str">
        <f>_xll.BDH("WMT US Equity","CF_ACT_CASH_PAID_FOR_INT_DEBT","FQ3 2021","FQ3 2021","Currency=USD","Period=FQ","BEST_FPERIOD_OVERRIDE=FQ","FILING_STATUS=MR","SCALING_FORMAT=MLN","Sort=A","Dates=H","DateFormat=P","Fill=—","Direction=H","UseDPDF=Y")</f>
        <v>—</v>
      </c>
      <c r="X57" s="15" t="str">
        <f>_xll.BDH("WMT US Equity","CF_ACT_CASH_PAID_FOR_INT_DEBT","FQ4 2021","FQ4 2021","Currency=USD","Period=FQ","BEST_FPERIOD_OVERRIDE=FQ","FILING_STATUS=MR","SCALING_FORMAT=MLN","Sort=A","Dates=H","DateFormat=P","Fill=—","Direction=H","UseDPDF=Y")</f>
        <v>—</v>
      </c>
      <c r="Y57" s="15" t="str">
        <f>_xll.BDH("WMT US Equity","CF_ACT_CASH_PAID_FOR_INT_DEBT","FQ1 2022","FQ1 2022","Currency=USD","Period=FQ","BEST_FPERIOD_OVERRIDE=FQ","FILING_STATUS=MR","SCALING_FORMAT=MLN","Sort=A","Dates=H","DateFormat=P","Fill=—","Direction=H","UseDPDF=Y")</f>
        <v>—</v>
      </c>
      <c r="Z57" s="15" t="str">
        <f>_xll.BDH("WMT US Equity","CF_ACT_CASH_PAID_FOR_INT_DEBT","FQ2 2022","FQ2 2022","Currency=USD","Period=FQ","BEST_FPERIOD_OVERRIDE=FQ","FILING_STATUS=MR","SCALING_FORMAT=MLN","Sort=A","Dates=H","DateFormat=P","Fill=—","Direction=H","UseDPDF=Y")</f>
        <v>—</v>
      </c>
      <c r="AA57" s="15" t="str">
        <f>_xll.BDH("WMT US Equity","CF_ACT_CASH_PAID_FOR_INT_DEBT","FQ3 2022","FQ3 2022","Currency=USD","Period=FQ","BEST_FPERIOD_OVERRIDE=FQ","FILING_STATUS=MR","SCALING_FORMAT=MLN","Sort=A","Dates=H","DateFormat=P","Fill=—","Direction=H","UseDPDF=Y")</f>
        <v>—</v>
      </c>
      <c r="AB57" s="15" t="str">
        <f>_xll.BDH("WMT US Equity","CF_ACT_CASH_PAID_FOR_INT_DEBT","FQ4 2022","FQ4 2022","Currency=USD","Period=FQ","BEST_FPERIOD_OVERRIDE=FQ","FILING_STATUS=MR","SCALING_FORMAT=MLN","Sort=A","Dates=H","DateFormat=P","Fill=—","Direction=H","UseDPDF=Y")</f>
        <v>—</v>
      </c>
      <c r="AC57" s="15" t="str">
        <f>_xll.BDH("WMT US Equity","CF_ACT_CASH_PAID_FOR_INT_DEBT","FQ1 2023","FQ1 2023","Currency=USD","Period=FQ","BEST_FPERIOD_OVERRIDE=FQ","FILING_STATUS=MR","SCALING_FORMAT=MLN","Sort=A","Dates=H","DateFormat=P","Fill=—","Direction=H","UseDPDF=Y")</f>
        <v>—</v>
      </c>
      <c r="AD57" s="15" t="str">
        <f>_xll.BDH("WMT US Equity","CF_ACT_CASH_PAID_FOR_INT_DEBT","FQ2 2023","FQ2 2023","Currency=USD","Period=FQ","BEST_FPERIOD_OVERRIDE=FQ","FILING_STATUS=MR","SCALING_FORMAT=MLN","Sort=A","Dates=H","DateFormat=P","Fill=—","Direction=H","UseDPDF=Y")</f>
        <v>—</v>
      </c>
      <c r="AE57" s="15" t="str">
        <f>_xll.BDH("WMT US Equity","CF_ACT_CASH_PAID_FOR_INT_DEBT","FQ3 2023","FQ3 2023","Currency=USD","Period=FQ","BEST_FPERIOD_OVERRIDE=FQ","FILING_STATUS=MR","SCALING_FORMAT=MLN","Sort=A","Dates=H","DateFormat=P","Fill=—","Direction=H","UseDPDF=Y")</f>
        <v>—</v>
      </c>
      <c r="AF57" s="15" t="str">
        <f>_xll.BDH("WMT US Equity","CF_ACT_CASH_PAID_FOR_INT_DEBT","FQ4 2023","FQ4 2023","Currency=USD","Period=FQ","BEST_FPERIOD_OVERRIDE=FQ","FILING_STATUS=MR","SCALING_FORMAT=MLN","Sort=A","Dates=H","DateFormat=P","Fill=—","Direction=H","UseDPDF=Y")</f>
        <v>—</v>
      </c>
      <c r="AG57" s="15" t="str">
        <f>_xll.BDH("WMT US Equity","CF_ACT_CASH_PAID_FOR_INT_DEBT","FQ1 2024","FQ1 2024","Currency=USD","Period=FQ","BEST_FPERIOD_OVERRIDE=FQ","FILING_STATUS=MR","SCALING_FORMAT=MLN","Sort=A","Dates=H","DateFormat=P","Fill=—","Direction=H","UseDPDF=Y")</f>
        <v>—</v>
      </c>
      <c r="AH57" s="15" t="str">
        <f>_xll.BDH("WMT US Equity","CF_ACT_CASH_PAID_FOR_INT_DEBT","FQ2 2024","FQ2 2024","Currency=USD","Period=FQ","BEST_FPERIOD_OVERRIDE=FQ","FILING_STATUS=MR","SCALING_FORMAT=MLN","Sort=A","Dates=H","DateFormat=P","Fill=—","Direction=H","UseDPDF=Y")</f>
        <v>—</v>
      </c>
      <c r="AI57" s="15" t="str">
        <f>_xll.BDH("WMT US Equity","CF_ACT_CASH_PAID_FOR_INT_DEBT","FQ3 2024","FQ3 2024","Currency=USD","Period=FQ","BEST_FPERIOD_OVERRIDE=FQ","FILING_STATUS=MR","SCALING_FORMAT=MLN","Sort=A","Dates=H","DateFormat=P","Fill=—","Direction=H","UseDPDF=Y")</f>
        <v>—</v>
      </c>
      <c r="AJ57" s="15" t="str">
        <f>_xll.BDH("WMT US Equity","CF_ACT_CASH_PAID_FOR_INT_DEBT","FQ4 2024","FQ4 2024","Currency=USD","Period=FQ","BEST_FPERIOD_OVERRIDE=FQ","FILING_STATUS=MR","SCALING_FORMAT=MLN","Sort=A","Dates=H","DateFormat=P","Fill=—","Direction=H","UseDPDF=Y")</f>
        <v>—</v>
      </c>
      <c r="AK57" s="15" t="str">
        <f>_xll.BDH("WMT US Equity","CF_ACT_CASH_PAID_FOR_INT_DEBT","FQ1 2025","FQ1 2025","Currency=USD","Period=FQ","BEST_FPERIOD_OVERRIDE=FQ","FILING_STATUS=MR","SCALING_FORMAT=MLN","Sort=A","Dates=H","DateFormat=P","Fill=—","Direction=H","UseDPDF=Y")</f>
        <v>—</v>
      </c>
      <c r="AL57" s="15" t="str">
        <f>_xll.BDH("WMT US Equity","CF_ACT_CASH_PAID_FOR_INT_DEBT","FQ2 2025","FQ2 2025","Currency=USD","Period=FQ","BEST_FPERIOD_OVERRIDE=FQ","FILING_STATUS=MR","SCALING_FORMAT=MLN","Sort=A","Dates=H","DateFormat=P","Fill=—","Direction=H","UseDPDF=Y")</f>
        <v>—</v>
      </c>
      <c r="AM57" s="15" t="str">
        <f>_xll.BDH("WMT US Equity","CF_ACT_CASH_PAID_FOR_INT_DEBT","FQ3 2025","FQ3 2025","Currency=USD","Period=FQ","BEST_FPERIOD_OVERRIDE=FQ","FILING_STATUS=MR","SCALING_FORMAT=MLN","Sort=A","Dates=H","DateFormat=P","Fill=—","Direction=H","UseDPDF=Y")</f>
        <v>—</v>
      </c>
      <c r="AN57" s="15" t="str">
        <f>_xll.BDH("WMT US Equity","CF_ACT_CASH_PAID_FOR_INT_DEBT","FQ4 2025","FQ4 2025","Currency=USD","Period=FQ","BEST_FPERIOD_OVERRIDE=FQ","FILING_STATUS=MR","SCALING_FORMAT=MLN","Sort=A","Dates=H","DateFormat=P","Fill=—","Direction=H","UseDPDF=Y")</f>
        <v>—</v>
      </c>
      <c r="AO57" s="15" t="str">
        <f>_xll.BDH("WMT US Equity","CF_ACT_CASH_PAID_FOR_INT_DEBT","FQ1 2026","FQ1 2026","Currency=USD","Period=FQ","BEST_FPERIOD_OVERRIDE=FQ","FILING_STATUS=MR","SCALING_FORMAT=MLN","Sort=A","Dates=H","DateFormat=P","Fill=—","Direction=H","UseDPDF=Y")</f>
        <v>—</v>
      </c>
      <c r="AP57" s="15" t="str">
        <f>_xll.BDH("WMT US Equity","CF_ACT_CASH_PAID_FOR_INT_DEBT","FQ2 2026","FQ2 2026","Currency=USD","Period=FQ","BEST_FPERIOD_OVERRIDE=FQ","FILING_STATUS=MR","SCALING_FORMAT=MLN","Sort=A","Dates=H","DateFormat=P","Fill=—","Direction=H","UseDPDF=Y")</f>
        <v>—</v>
      </c>
    </row>
    <row r="58" spans="1:42" x14ac:dyDescent="0.3">
      <c r="A58" s="6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</row>
    <row r="59" spans="1:42" x14ac:dyDescent="0.3">
      <c r="A59" s="6" t="s"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</row>
    <row r="60" spans="1:42" x14ac:dyDescent="0.3">
      <c r="A60" s="10" t="s">
        <v>135</v>
      </c>
      <c r="B60" s="10" t="s">
        <v>135</v>
      </c>
      <c r="C60" s="12">
        <f>_xll.BDH("WMT US Equity","EBITDA","FQ3 2016","FQ3 2016","Currency=USD","Period=FQ","BEST_FPERIOD_OVERRIDE=FQ","FILING_STATUS=MR","SCALING_FORMAT=MLN","FA_ADJUSTED=GAAP","Sort=A","Dates=H","DateFormat=P","Fill=—","Direction=H","UseDPDF=Y")</f>
        <v>8079</v>
      </c>
      <c r="D60" s="12">
        <f>_xll.BDH("WMT US Equity","EBITDA","FQ4 2016","FQ4 2016","Currency=USD","Period=FQ","BEST_FPERIOD_OVERRIDE=FQ","FILING_STATUS=MR","SCALING_FORMAT=MLN","FA_ADJUSTED=GAAP","Sort=A","Dates=H","DateFormat=P","Fill=—","Direction=H","UseDPDF=Y")</f>
        <v>9073</v>
      </c>
      <c r="E60" s="12">
        <f>_xll.BDH("WMT US Equity","EBITDA","FQ1 2017","FQ1 2017","Currency=USD","Period=FQ","BEST_FPERIOD_OVERRIDE=FQ","FILING_STATUS=MR","SCALING_FORMAT=MLN","FA_ADJUSTED=GAAP","Sort=A","Dates=H","DateFormat=P","Fill=—","Direction=H","UseDPDF=Y")</f>
        <v>7663</v>
      </c>
      <c r="F60" s="12">
        <f>_xll.BDH("WMT US Equity","EBITDA","FQ2 2017","FQ2 2017","Currency=USD","Period=FQ","BEST_FPERIOD_OVERRIDE=FQ","FILING_STATUS=MR","SCALING_FORMAT=MLN","FA_ADJUSTED=GAAP","Sort=A","Dates=H","DateFormat=P","Fill=—","Direction=H","UseDPDF=Y")</f>
        <v>8682</v>
      </c>
      <c r="G60" s="12">
        <f>_xll.BDH("WMT US Equity","EBITDA","FQ3 2017","FQ3 2017","Currency=USD","Period=FQ","BEST_FPERIOD_OVERRIDE=FQ","FILING_STATUS=MR","SCALING_FORMAT=MLN","FA_ADJUSTED=GAAP","Sort=A","Dates=H","DateFormat=P","Fill=—","Direction=H","UseDPDF=Y")</f>
        <v>7588</v>
      </c>
      <c r="H60" s="12">
        <f>_xll.BDH("WMT US Equity","EBITDA","FQ4 2017","FQ4 2017","Currency=USD","Period=FQ","BEST_FPERIOD_OVERRIDE=FQ","FILING_STATUS=MR","SCALING_FORMAT=MLN","FA_ADJUSTED=GAAP","Sort=A","Dates=H","DateFormat=P","Fill=—","Direction=H","UseDPDF=Y")</f>
        <v>8911</v>
      </c>
      <c r="I60" s="12">
        <f>_xll.BDH("WMT US Equity","EBITDA","FQ1 2018","FQ1 2018","Currency=USD","Period=FQ","BEST_FPERIOD_OVERRIDE=FQ","FILING_STATUS=MR","SCALING_FORMAT=MLN","FA_ADJUSTED=GAAP","Sort=A","Dates=H","DateFormat=P","Fill=—","Direction=H","UseDPDF=Y")</f>
        <v>7788</v>
      </c>
      <c r="J60" s="12">
        <f>_xll.BDH("WMT US Equity","EBITDA","FQ2 2018","FQ2 2018","Currency=USD","Period=FQ","BEST_FPERIOD_OVERRIDE=FQ","FILING_STATUS=MR","SCALING_FORMAT=MLN","FA_ADJUSTED=GAAP","Sort=A","Dates=H","DateFormat=P","Fill=—","Direction=H","UseDPDF=Y")</f>
        <v>8587</v>
      </c>
      <c r="K60" s="12">
        <f>_xll.BDH("WMT US Equity","EBITDA","FQ3 2018","FQ3 2018","Currency=USD","Period=FQ","BEST_FPERIOD_OVERRIDE=FQ","FILING_STATUS=MR","SCALING_FORMAT=MLN","FA_ADJUSTED=GAAP","Sort=A","Dates=H","DateFormat=P","Fill=—","Direction=H","UseDPDF=Y")</f>
        <v>7422</v>
      </c>
      <c r="L60" s="12">
        <f>_xll.BDH("WMT US Equity","EBITDA","FQ4 2018","FQ4 2018","Currency=USD","Period=FQ","BEST_FPERIOD_OVERRIDE=FQ","FILING_STATUS=MR","SCALING_FORMAT=MLN","FA_ADJUSTED=GAAP","Sort=A","Dates=H","DateFormat=P","Fill=—","Direction=H","UseDPDF=Y")</f>
        <v>7169</v>
      </c>
      <c r="M60" s="12">
        <f>_xll.BDH("WMT US Equity","EBITDA","FQ1 2019","FQ1 2019","Currency=USD","Period=FQ","BEST_FPERIOD_OVERRIDE=FQ","FILING_STATUS=MR","SCALING_FORMAT=MLN","FA_ADJUSTED=GAAP","Sort=A","Dates=H","DateFormat=P","Fill=—","Direction=H","UseDPDF=Y")</f>
        <v>7832</v>
      </c>
      <c r="N60" s="12">
        <f>_xll.BDH("WMT US Equity","EBITDA","FQ2 2019","FQ2 2019","Currency=USD","Period=FQ","BEST_FPERIOD_OVERRIDE=FQ","FILING_STATUS=MR","SCALING_FORMAT=MLN","FA_ADJUSTED=GAAP","Sort=A","Dates=H","DateFormat=P","Fill=—","Direction=H","UseDPDF=Y")</f>
        <v>8404</v>
      </c>
      <c r="O60" s="12">
        <f>_xll.BDH("WMT US Equity","EBITDA","FQ3 2019","FQ3 2019","Currency=USD","Period=FQ","BEST_FPERIOD_OVERRIDE=FQ","FILING_STATUS=MR","SCALING_FORMAT=MLN","FA_ADJUSTED=GAAP","Sort=A","Dates=H","DateFormat=P","Fill=—","Direction=H","UseDPDF=Y")</f>
        <v>7601</v>
      </c>
      <c r="P60" s="12">
        <f>_xll.BDH("WMT US Equity","EBITDA","FQ4 2019","FQ4 2019","Currency=USD","Period=FQ","BEST_FPERIOD_OVERRIDE=FQ","FILING_STATUS=MR","SCALING_FORMAT=MLN","FA_ADJUSTED=GAAP","Sort=A","Dates=H","DateFormat=P","Fill=—","Direction=H","UseDPDF=Y")</f>
        <v>8798</v>
      </c>
      <c r="Q60" s="12">
        <f>_xll.BDH("WMT US Equity","EBITDA","FQ1 2020","FQ1 2020","Currency=USD","Period=FQ","BEST_FPERIOD_OVERRIDE=FQ","FILING_STATUS=MR","SCALING_FORMAT=MLN","FA_ADJUSTED=GAAP","Sort=A","Dates=H","DateFormat=P","Fill=—","Direction=H","UseDPDF=Y")</f>
        <v>8295</v>
      </c>
      <c r="R60" s="12">
        <f>_xll.BDH("WMT US Equity","EBITDA","FQ2 2020","FQ2 2020","Currency=USD","Period=FQ","BEST_FPERIOD_OVERRIDE=FQ","FILING_STATUS=MR","SCALING_FORMAT=MLN","FA_ADJUSTED=GAAP","Sort=A","Dates=H","DateFormat=P","Fill=—","Direction=H","UseDPDF=Y")</f>
        <v>8966</v>
      </c>
      <c r="S60" s="12">
        <f>_xll.BDH("WMT US Equity","EBITDA","FQ3 2020","FQ3 2020","Currency=USD","Period=FQ","BEST_FPERIOD_OVERRIDE=FQ","FILING_STATUS=MR","SCALING_FORMAT=MLN","FA_ADJUSTED=GAAP","Sort=A","Dates=H","DateFormat=P","Fill=—","Direction=H","UseDPDF=Y")</f>
        <v>8133</v>
      </c>
      <c r="T60" s="12">
        <f>_xll.BDH("WMT US Equity","EBITDA","FQ4 2020","FQ4 2020","Currency=USD","Period=FQ","BEST_FPERIOD_OVERRIDE=FQ","FILING_STATUS=MR","SCALING_FORMAT=MLN","FA_ADJUSTED=GAAP","Sort=A","Dates=H","DateFormat=P","Fill=—","Direction=H","UseDPDF=Y")</f>
        <v>8831</v>
      </c>
      <c r="U60" s="12">
        <f>_xll.BDH("WMT US Equity","EBITDA","FQ1 2021","FQ1 2021","Currency=USD","Period=FQ","BEST_FPERIOD_OVERRIDE=FQ","FILING_STATUS=MR","SCALING_FORMAT=MLN","FA_ADJUSTED=GAAP","Sort=A","Dates=H","DateFormat=P","Fill=—","Direction=H","UseDPDF=Y")</f>
        <v>8015</v>
      </c>
      <c r="V60" s="12">
        <f>_xll.BDH("WMT US Equity","EBITDA","FQ2 2021","FQ2 2021","Currency=USD","Period=FQ","BEST_FPERIOD_OVERRIDE=FQ","FILING_STATUS=MR","SCALING_FORMAT=MLN","FA_ADJUSTED=GAAP","Sort=A","Dates=H","DateFormat=P","Fill=—","Direction=H","UseDPDF=Y")</f>
        <v>8830</v>
      </c>
      <c r="W60" s="12">
        <f>_xll.BDH("WMT US Equity","EBITDA","FQ3 2021","FQ3 2021","Currency=USD","Period=FQ","BEST_FPERIOD_OVERRIDE=FQ","FILING_STATUS=MR","SCALING_FORMAT=MLN","FA_ADJUSTED=GAAP","Sort=A","Dates=H","DateFormat=P","Fill=—","Direction=H","UseDPDF=Y")</f>
        <v>8549</v>
      </c>
      <c r="X60" s="12">
        <f>_xll.BDH("WMT US Equity","EBITDA","FQ4 2021","FQ4 2021","Currency=USD","Period=FQ","BEST_FPERIOD_OVERRIDE=FQ","FILING_STATUS=MR","SCALING_FORMAT=MLN","FA_ADJUSTED=GAAP","Sort=A","Dates=H","DateFormat=P","Fill=—","Direction=H","UseDPDF=Y")</f>
        <v>8306</v>
      </c>
      <c r="Y60" s="12">
        <f>_xll.BDH("WMT US Equity","EBITDA","FQ1 2022","FQ1 2022","Currency=USD","Period=FQ","BEST_FPERIOD_OVERRIDE=FQ","FILING_STATUS=MR","SCALING_FORMAT=MLN","FA_ADJUSTED=GAAP","Sort=A","Dates=H","DateFormat=P","Fill=—","Direction=H","UseDPDF=Y")</f>
        <v>9570</v>
      </c>
      <c r="Z60" s="12">
        <f>_xll.BDH("WMT US Equity","EBITDA","FQ2 2022","FQ2 2022","Currency=USD","Period=FQ","BEST_FPERIOD_OVERRIDE=FQ","FILING_STATUS=MR","SCALING_FORMAT=MLN","FA_ADJUSTED=GAAP","Sort=A","Dates=H","DateFormat=P","Fill=—","Direction=H","UseDPDF=Y")</f>
        <v>9995</v>
      </c>
      <c r="AA60" s="12">
        <f>_xll.BDH("WMT US Equity","EBITDA","FQ3 2022","FQ3 2022","Currency=USD","Period=FQ","BEST_FPERIOD_OVERRIDE=FQ","FILING_STATUS=MR","SCALING_FORMAT=MLN","FA_ADJUSTED=GAAP","Sort=A","Dates=H","DateFormat=P","Fill=—","Direction=H","UseDPDF=Y")</f>
        <v>8442</v>
      </c>
      <c r="AB60" s="12">
        <f>_xll.BDH("WMT US Equity","EBITDA","FQ4 2022","FQ4 2022","Currency=USD","Period=FQ","BEST_FPERIOD_OVERRIDE=FQ","FILING_STATUS=MR","SCALING_FORMAT=MLN","FA_ADJUSTED=GAAP","Sort=A","Dates=H","DateFormat=P","Fill=—","Direction=H","UseDPDF=Y")</f>
        <v>8593</v>
      </c>
      <c r="AC60" s="12">
        <f>_xll.BDH("WMT US Equity","EBITDA","FQ1 2023","FQ1 2023","Currency=USD","Period=FQ","BEST_FPERIOD_OVERRIDE=FQ","FILING_STATUS=MR","SCALING_FORMAT=MLN","FA_ADJUSTED=GAAP","Sort=A","Dates=H","DateFormat=P","Fill=—","Direction=H","UseDPDF=Y")</f>
        <v>7998</v>
      </c>
      <c r="AD60" s="12">
        <f>_xll.BDH("WMT US Equity","EBITDA","FQ2 2023","FQ2 2023","Currency=USD","Period=FQ","BEST_FPERIOD_OVERRIDE=FQ","FILING_STATUS=MR","SCALING_FORMAT=MLN","FA_ADJUSTED=GAAP","Sort=A","Dates=H","DateFormat=P","Fill=—","Direction=H","UseDPDF=Y")</f>
        <v>9553</v>
      </c>
      <c r="AE60" s="12">
        <f>_xll.BDH("WMT US Equity","EBITDA","FQ3 2023","FQ3 2023","Currency=USD","Period=FQ","BEST_FPERIOD_OVERRIDE=FQ","FILING_STATUS=MR","SCALING_FORMAT=MLN","FA_ADJUSTED=GAAP","Sort=A","Dates=H","DateFormat=P","Fill=—","Direction=H","UseDPDF=Y")</f>
        <v>5450</v>
      </c>
      <c r="AF60" s="12">
        <f>_xll.BDH("WMT US Equity","EBITDA","FQ4 2023","FQ4 2023","Currency=USD","Period=FQ","BEST_FPERIOD_OVERRIDE=FQ","FILING_STATUS=MR","SCALING_FORMAT=MLN","FA_ADJUSTED=GAAP","Sort=A","Dates=H","DateFormat=P","Fill=—","Direction=H","UseDPDF=Y")</f>
        <v>8372</v>
      </c>
      <c r="AG60" s="12">
        <f>_xll.BDH("WMT US Equity","EBITDA","FQ1 2024","FQ1 2024","Currency=USD","Period=FQ","BEST_FPERIOD_OVERRIDE=FQ","FILING_STATUS=MR","SCALING_FORMAT=MLN","FA_ADJUSTED=GAAP","Sort=A","Dates=H","DateFormat=P","Fill=—","Direction=H","UseDPDF=Y")</f>
        <v>9085</v>
      </c>
      <c r="AH60" s="12">
        <f>_xll.BDH("WMT US Equity","EBITDA","FQ2 2024","FQ2 2024","Currency=USD","Period=FQ","BEST_FPERIOD_OVERRIDE=FQ","FILING_STATUS=MR","SCALING_FORMAT=MLN","FA_ADJUSTED=GAAP","Sort=A","Dates=H","DateFormat=P","Fill=—","Direction=H","UseDPDF=Y")</f>
        <v>10221</v>
      </c>
      <c r="AI60" s="12">
        <f>_xll.BDH("WMT US Equity","EBITDA","FQ3 2024","FQ3 2024","Currency=USD","Period=FQ","BEST_FPERIOD_OVERRIDE=FQ","FILING_STATUS=MR","SCALING_FORMAT=MLN","FA_ADJUSTED=GAAP","Sort=A","Dates=H","DateFormat=P","Fill=—","Direction=H","UseDPDF=Y")</f>
        <v>9188</v>
      </c>
      <c r="AJ60" s="12">
        <f>_xll.BDH("WMT US Equity","EBITDA","FQ4 2024","FQ4 2024","Currency=USD","Period=FQ","BEST_FPERIOD_OVERRIDE=FQ","FILING_STATUS=MR","SCALING_FORMAT=MLN","FA_ADJUSTED=GAAP","Sort=A","Dates=H","DateFormat=P","Fill=—","Direction=H","UseDPDF=Y")</f>
        <v>10371</v>
      </c>
      <c r="AK60" s="12">
        <f>_xll.BDH("WMT US Equity","EBITDA","FQ1 2025","FQ1 2025","Currency=USD","Period=FQ","BEST_FPERIOD_OVERRIDE=FQ","FILING_STATUS=MR","SCALING_FORMAT=MLN","FA_ADJUSTED=GAAP","Sort=A","Dates=H","DateFormat=P","Fill=—","Direction=H","UseDPDF=Y")</f>
        <v>9969</v>
      </c>
      <c r="AL60" s="12">
        <f>_xll.BDH("WMT US Equity","EBITDA","FQ2 2025","FQ2 2025","Currency=USD","Period=FQ","BEST_FPERIOD_OVERRIDE=FQ","FILING_STATUS=MR","SCALING_FORMAT=MLN","FA_ADJUSTED=GAAP","Sort=A","Dates=H","DateFormat=P","Fill=—","Direction=H","UseDPDF=Y")</f>
        <v>11151</v>
      </c>
      <c r="AM60" s="12">
        <f>_xll.BDH("WMT US Equity","EBITDA","FQ3 2025","FQ3 2025","Currency=USD","Period=FQ","BEST_FPERIOD_OVERRIDE=FQ","FILING_STATUS=MR","SCALING_FORMAT=MLN","FA_ADJUSTED=GAAP","Sort=A","Dates=H","DateFormat=P","Fill=—","Direction=H","UseDPDF=Y")</f>
        <v>9968</v>
      </c>
      <c r="AN60" s="12">
        <f>_xll.BDH("WMT US Equity","EBITDA","FQ4 2025","FQ4 2025","Currency=USD","Period=FQ","BEST_FPERIOD_OVERRIDE=FQ","FILING_STATUS=MR","SCALING_FORMAT=MLN","FA_ADJUSTED=GAAP","Sort=A","Dates=H","DateFormat=P","Fill=—","Direction=H","UseDPDF=Y")</f>
        <v>11233</v>
      </c>
      <c r="AO60" s="12">
        <f>_xll.BDH("WMT US Equity","EBITDA","FQ1 2026","FQ1 2026","Currency=USD","Period=FQ","BEST_FPERIOD_OVERRIDE=FQ","FILING_STATUS=MR","SCALING_FORMAT=MLN","FA_ADJUSTED=GAAP","Sort=A","Dates=H","DateFormat=P","Fill=—","Direction=H","UseDPDF=Y")</f>
        <v>10504</v>
      </c>
      <c r="AP60" s="12">
        <f>_xll.BDH("WMT US Equity","EBITDA","FQ2 2026","FQ2 2026","Currency=USD","Period=FQ","BEST_FPERIOD_OVERRIDE=FQ","FILING_STATUS=MR","SCALING_FORMAT=MLN","FA_ADJUSTED=GAAP","Sort=A","Dates=H","DateFormat=P","Fill=—","Direction=H","UseDPDF=Y")</f>
        <v>10773</v>
      </c>
    </row>
    <row r="61" spans="1:42" x14ac:dyDescent="0.3">
      <c r="A61" s="10" t="s">
        <v>136</v>
      </c>
      <c r="B61" s="10" t="s">
        <v>137</v>
      </c>
      <c r="C61" s="13">
        <f>_xll.BDH("WMT US Equity","EBITDA_MARGIN","FQ3 2016","FQ3 2016","Currency=USD","Period=FQ","BEST_FPERIOD_OVERRIDE=FQ","FILING_STATUS=MR","FA_ADJUSTED=GAAP","Sort=A","Dates=H","DateFormat=P","Fill=—","Direction=H","UseDPDF=Y")</f>
        <v>7.1745999999999999</v>
      </c>
      <c r="D61" s="13">
        <f>_xll.BDH("WMT US Equity","EBITDA_MARGIN","FQ4 2016","FQ4 2016","Currency=USD","Period=FQ","BEST_FPERIOD_OVERRIDE=FQ","FILING_STATUS=MR","FA_ADJUSTED=GAAP","Sort=A","Dates=H","DateFormat=P","Fill=—","Direction=H","UseDPDF=Y")</f>
        <v>6.9606000000000003</v>
      </c>
      <c r="E61" s="13">
        <f>_xll.BDH("WMT US Equity","EBITDA_MARGIN","FQ1 2017","FQ1 2017","Currency=USD","Period=FQ","BEST_FPERIOD_OVERRIDE=FQ","FILING_STATUS=MR","FA_ADJUSTED=GAAP","Sort=A","Dates=H","DateFormat=P","Fill=—","Direction=H","UseDPDF=Y")</f>
        <v>6.8754999999999997</v>
      </c>
      <c r="F61" s="13">
        <f>_xll.BDH("WMT US Equity","EBITDA_MARGIN","FQ2 2017","FQ2 2017","Currency=USD","Period=FQ","BEST_FPERIOD_OVERRIDE=FQ","FILING_STATUS=MR","FA_ADJUSTED=GAAP","Sort=A","Dates=H","DateFormat=P","Fill=—","Direction=H","UseDPDF=Y")</f>
        <v>6.9233000000000002</v>
      </c>
      <c r="G61" s="13">
        <f>_xll.BDH("WMT US Equity","EBITDA_MARGIN","FQ3 2017","FQ3 2017","Currency=USD","Period=FQ","BEST_FPERIOD_OVERRIDE=FQ","FILING_STATUS=MR","FA_ADJUSTED=GAAP","Sort=A","Dates=H","DateFormat=P","Fill=—","Direction=H","UseDPDF=Y")</f>
        <v>6.8109000000000002</v>
      </c>
      <c r="H61" s="13">
        <f>_xll.BDH("WMT US Equity","EBITDA_MARGIN","FQ4 2017","FQ4 2017","Currency=USD","Period=FQ","BEST_FPERIOD_OVERRIDE=FQ","FILING_STATUS=MR","FA_ADJUSTED=GAAP","Sort=A","Dates=H","DateFormat=P","Fill=—","Direction=H","UseDPDF=Y")</f>
        <v>6.7598000000000003</v>
      </c>
      <c r="I61" s="13">
        <f>_xll.BDH("WMT US Equity","EBITDA_MARGIN","FQ1 2018","FQ1 2018","Currency=USD","Period=FQ","BEST_FPERIOD_OVERRIDE=FQ","FILING_STATUS=MR","FA_ADJUSTED=GAAP","Sort=A","Dates=H","DateFormat=P","Fill=—","Direction=H","UseDPDF=Y")</f>
        <v>6.7626999999999997</v>
      </c>
      <c r="J61" s="13">
        <f>_xll.BDH("WMT US Equity","EBITDA_MARGIN","FQ2 2018","FQ2 2018","Currency=USD","Period=FQ","BEST_FPERIOD_OVERRIDE=FQ","FILING_STATUS=MR","FA_ADJUSTED=GAAP","Sort=A","Dates=H","DateFormat=P","Fill=—","Direction=H","UseDPDF=Y")</f>
        <v>6.7088000000000001</v>
      </c>
      <c r="K61" s="13">
        <f>_xll.BDH("WMT US Equity","EBITDA_MARGIN","FQ3 2018","FQ3 2018","Currency=USD","Period=FQ","BEST_FPERIOD_OVERRIDE=FQ","FILING_STATUS=MR","FA_ADJUSTED=GAAP","Sort=A","Dates=H","DateFormat=P","Fill=—","Direction=H","UseDPDF=Y")</f>
        <v>6.6074999999999999</v>
      </c>
      <c r="L61" s="13">
        <f>_xll.BDH("WMT US Equity","EBITDA_MARGIN","FQ4 2018","FQ4 2018","Currency=USD","Period=FQ","BEST_FPERIOD_OVERRIDE=FQ","FILING_STATUS=MR","FA_ADJUSTED=GAAP","Sort=A","Dates=H","DateFormat=P","Fill=—","Direction=H","UseDPDF=Y")</f>
        <v>6.1890000000000001</v>
      </c>
      <c r="M61" s="13">
        <f>_xll.BDH("WMT US Equity","EBITDA_MARGIN","FQ1 2019","FQ1 2019","Currency=USD","Period=FQ","BEST_FPERIOD_OVERRIDE=FQ","FILING_STATUS=MR","FA_ADJUSTED=GAAP","Sort=A","Dates=H","DateFormat=P","Fill=—","Direction=H","UseDPDF=Y")</f>
        <v>6.1345999999999998</v>
      </c>
      <c r="N61" s="13">
        <f>_xll.BDH("WMT US Equity","EBITDA_MARGIN","FQ2 2019","FQ2 2019","Currency=USD","Period=FQ","BEST_FPERIOD_OVERRIDE=FQ","FILING_STATUS=MR","FA_ADJUSTED=GAAP","Sort=A","Dates=H","DateFormat=P","Fill=—","Direction=H","UseDPDF=Y")</f>
        <v>6.0426000000000002</v>
      </c>
      <c r="O61" s="13">
        <f>_xll.BDH("WMT US Equity","EBITDA_MARGIN","FQ3 2019","FQ3 2019","Currency=USD","Period=FQ","BEST_FPERIOD_OVERRIDE=FQ","FILING_STATUS=MR","FA_ADJUSTED=GAAP","Sort=A","Dates=H","DateFormat=P","Fill=—","Direction=H","UseDPDF=Y")</f>
        <v>6.0572999999999997</v>
      </c>
      <c r="P61" s="13">
        <f>_xll.BDH("WMT US Equity","EBITDA_MARGIN","FQ4 2019","FQ4 2019","Currency=USD","Period=FQ","BEST_FPERIOD_OVERRIDE=FQ","FILING_STATUS=MR","FA_ADJUSTED=GAAP","Sort=A","Dates=H","DateFormat=P","Fill=—","Direction=H","UseDPDF=Y")</f>
        <v>6.3441999999999998</v>
      </c>
      <c r="Q61" s="13">
        <f>_xll.BDH("WMT US Equity","EBITDA_MARGIN","FQ1 2020","FQ1 2020","Currency=USD","Period=FQ","BEST_FPERIOD_OVERRIDE=FQ","FILING_STATUS=MR","FA_ADJUSTED=GAAP","Sort=A","Dates=H","DateFormat=P","Fill=—","Direction=H","UseDPDF=Y")</f>
        <v>6.4188000000000001</v>
      </c>
      <c r="R61" s="13">
        <f>_xll.BDH("WMT US Equity","EBITDA_MARGIN","FQ2 2020","FQ2 2020","Currency=USD","Period=FQ","BEST_FPERIOD_OVERRIDE=FQ","FILING_STATUS=MR","FA_ADJUSTED=GAAP","Sort=A","Dates=H","DateFormat=P","Fill=—","Direction=H","UseDPDF=Y")</f>
        <v>6.4981999999999998</v>
      </c>
      <c r="S61" s="13">
        <f>_xll.BDH("WMT US Equity","EBITDA_MARGIN","FQ3 2020","FQ3 2020","Currency=USD","Period=FQ","BEST_FPERIOD_OVERRIDE=FQ","FILING_STATUS=MR","FA_ADJUSTED=GAAP","Sort=A","Dates=H","DateFormat=P","Fill=—","Direction=H","UseDPDF=Y")</f>
        <v>6.5617000000000001</v>
      </c>
      <c r="T61" s="13">
        <f>_xll.BDH("WMT US Equity","EBITDA_MARGIN","FQ4 2020","FQ4 2020","Currency=USD","Period=FQ","BEST_FPERIOD_OVERRIDE=FQ","FILING_STATUS=MR","FA_ADJUSTED=GAAP","Sort=A","Dates=H","DateFormat=P","Fill=—","Direction=H","UseDPDF=Y")</f>
        <v>6.5319000000000003</v>
      </c>
      <c r="U61" s="13">
        <f>_xll.BDH("WMT US Equity","EBITDA_MARGIN","FQ1 2021","FQ1 2021","Currency=USD","Period=FQ","BEST_FPERIOD_OVERRIDE=FQ","FILING_STATUS=MR","FA_ADJUSTED=GAAP","Sort=A","Dates=H","DateFormat=P","Fill=—","Direction=H","UseDPDF=Y")</f>
        <v>6.3489000000000004</v>
      </c>
      <c r="V61" s="13">
        <f>_xll.BDH("WMT US Equity","EBITDA_MARGIN","FQ2 2021","FQ2 2021","Currency=USD","Period=FQ","BEST_FPERIOD_OVERRIDE=FQ","FILING_STATUS=MR","FA_ADJUSTED=GAAP","Sort=A","Dates=H","DateFormat=P","Fill=—","Direction=H","UseDPDF=Y")</f>
        <v>6.2374999999999998</v>
      </c>
      <c r="W61" s="13">
        <f>_xll.BDH("WMT US Equity","EBITDA_MARGIN","FQ3 2021","FQ3 2021","Currency=USD","Period=FQ","BEST_FPERIOD_OVERRIDE=FQ","FILING_STATUS=MR","FA_ADJUSTED=GAAP","Sort=A","Dates=H","DateFormat=P","Fill=—","Direction=H","UseDPDF=Y")</f>
        <v>6.2370000000000001</v>
      </c>
      <c r="X61" s="13">
        <f>_xll.BDH("WMT US Equity","EBITDA_MARGIN","FQ4 2021","FQ4 2021","Currency=USD","Period=FQ","BEST_FPERIOD_OVERRIDE=FQ","FILING_STATUS=MR","FA_ADJUSTED=GAAP","Sort=A","Dates=H","DateFormat=P","Fill=—","Direction=H","UseDPDF=Y")</f>
        <v>6.0270000000000001</v>
      </c>
      <c r="Y61" s="13">
        <f>_xll.BDH("WMT US Equity","EBITDA_MARGIN","FQ1 2022","FQ1 2022","Currency=USD","Period=FQ","BEST_FPERIOD_OVERRIDE=FQ","FILING_STATUS=MR","FA_ADJUSTED=GAAP","Sort=A","Dates=H","DateFormat=P","Fill=—","Direction=H","UseDPDF=Y")</f>
        <v>6.2637999999999998</v>
      </c>
      <c r="Z61" s="13">
        <f>_xll.BDH("WMT US Equity","EBITDA_MARGIN","FQ2 2022","FQ2 2022","Currency=USD","Period=FQ","BEST_FPERIOD_OVERRIDE=FQ","FILING_STATUS=MR","FA_ADJUSTED=GAAP","Sort=A","Dates=H","DateFormat=P","Fill=—","Direction=H","UseDPDF=Y")</f>
        <v>6.4329999999999998</v>
      </c>
      <c r="AA61" s="13">
        <f>_xll.BDH("WMT US Equity","EBITDA_MARGIN","FQ3 2022","FQ3 2022","Currency=USD","Period=FQ","BEST_FPERIOD_OVERRIDE=FQ","FILING_STATUS=MR","FA_ADJUSTED=GAAP","Sort=A","Dates=H","DateFormat=P","Fill=—","Direction=H","UseDPDF=Y")</f>
        <v>6.3487999999999998</v>
      </c>
      <c r="AB61" s="13">
        <f>_xll.BDH("WMT US Equity","EBITDA_MARGIN","FQ4 2022","FQ4 2022","Currency=USD","Period=FQ","BEST_FPERIOD_OVERRIDE=FQ","FILING_STATUS=MR","FA_ADJUSTED=GAAP","Sort=A","Dates=H","DateFormat=P","Fill=—","Direction=H","UseDPDF=Y")</f>
        <v>6.3902000000000001</v>
      </c>
      <c r="AC61" s="13">
        <f>_xll.BDH("WMT US Equity","EBITDA_MARGIN","FQ1 2023","FQ1 2023","Currency=USD","Period=FQ","BEST_FPERIOD_OVERRIDE=FQ","FILING_STATUS=MR","FA_ADJUSTED=GAAP","Sort=A","Dates=H","DateFormat=P","Fill=—","Direction=H","UseDPDF=Y")</f>
        <v>6.0811000000000002</v>
      </c>
      <c r="AD61" s="13">
        <f>_xll.BDH("WMT US Equity","EBITDA_MARGIN","FQ2 2023","FQ2 2023","Currency=USD","Period=FQ","BEST_FPERIOD_OVERRIDE=FQ","FILING_STATUS=MR","FA_ADJUSTED=GAAP","Sort=A","Dates=H","DateFormat=P","Fill=—","Direction=H","UseDPDF=Y")</f>
        <v>5.8837000000000002</v>
      </c>
      <c r="AE61" s="13">
        <f>_xll.BDH("WMT US Equity","EBITDA_MARGIN","FQ3 2023","FQ3 2023","Currency=USD","Period=FQ","BEST_FPERIOD_OVERRIDE=FQ","FILING_STATUS=MR","FA_ADJUSTED=GAAP","Sort=A","Dates=H","DateFormat=P","Fill=—","Direction=H","UseDPDF=Y")</f>
        <v>5.2647000000000004</v>
      </c>
      <c r="AF61" s="13">
        <f>_xll.BDH("WMT US Equity","EBITDA_MARGIN","FQ4 2023","FQ4 2023","Currency=USD","Period=FQ","BEST_FPERIOD_OVERRIDE=FQ","FILING_STATUS=MR","FA_ADJUSTED=GAAP","Sort=A","Dates=H","DateFormat=P","Fill=—","Direction=H","UseDPDF=Y")</f>
        <v>5.1322999999999999</v>
      </c>
      <c r="AG61" s="13">
        <f>_xll.BDH("WMT US Equity","EBITDA_MARGIN","FQ1 2024","FQ1 2024","Currency=USD","Period=FQ","BEST_FPERIOD_OVERRIDE=FQ","FILING_STATUS=MR","FA_ADJUSTED=GAAP","Sort=A","Dates=H","DateFormat=P","Fill=—","Direction=H","UseDPDF=Y")</f>
        <v>5.2184999999999997</v>
      </c>
      <c r="AH61" s="13">
        <f>_xll.BDH("WMT US Equity","EBITDA_MARGIN","FQ2 2024","FQ2 2024","Currency=USD","Period=FQ","BEST_FPERIOD_OVERRIDE=FQ","FILING_STATUS=MR","FA_ADJUSTED=GAAP","Sort=A","Dates=H","DateFormat=P","Fill=—","Direction=H","UseDPDF=Y")</f>
        <v>5.2518000000000002</v>
      </c>
      <c r="AI61" s="13">
        <f>_xll.BDH("WMT US Equity","EBITDA_MARGIN","FQ3 2024","FQ3 2024","Currency=USD","Period=FQ","BEST_FPERIOD_OVERRIDE=FQ","FILING_STATUS=MR","FA_ADJUSTED=GAAP","Sort=A","Dates=H","DateFormat=P","Fill=—","Direction=H","UseDPDF=Y")</f>
        <v>5.7713000000000001</v>
      </c>
      <c r="AJ61" s="13">
        <f>_xll.BDH("WMT US Equity","EBITDA_MARGIN","FQ4 2024","FQ4 2024","Currency=USD","Period=FQ","BEST_FPERIOD_OVERRIDE=FQ","FILING_STATUS=MR","FA_ADJUSTED=GAAP","Sort=A","Dates=H","DateFormat=P","Fill=—","Direction=H","UseDPDF=Y")</f>
        <v>5.9965000000000002</v>
      </c>
      <c r="AK61" s="13">
        <f>_xll.BDH("WMT US Equity","EBITDA_MARGIN","FQ1 2025","FQ1 2025","Currency=USD","Period=FQ","BEST_FPERIOD_OVERRIDE=FQ","FILING_STATUS=MR","FA_ADJUSTED=GAAP","Sort=A","Dates=H","DateFormat=P","Fill=—","Direction=H","UseDPDF=Y")</f>
        <v>6.0469999999999997</v>
      </c>
      <c r="AL61" s="13">
        <f>_xll.BDH("WMT US Equity","EBITDA_MARGIN","FQ2 2025","FQ2 2025","Currency=USD","Period=FQ","BEST_FPERIOD_OVERRIDE=FQ","FILING_STATUS=MR","FA_ADJUSTED=GAAP","Sort=A","Dates=H","DateFormat=P","Fill=—","Direction=H","UseDPDF=Y")</f>
        <v>6.1167999999999996</v>
      </c>
      <c r="AM61" s="13">
        <f>_xll.BDH("WMT US Equity","EBITDA_MARGIN","FQ3 2025","FQ3 2025","Currency=USD","Period=FQ","BEST_FPERIOD_OVERRIDE=FQ","FILING_STATUS=MR","FA_ADJUSTED=GAAP","Sort=A","Dates=H","DateFormat=P","Fill=—","Direction=H","UseDPDF=Y")</f>
        <v>6.1528</v>
      </c>
      <c r="AN61" s="13">
        <f>_xll.BDH("WMT US Equity","EBITDA_MARGIN","FQ4 2025","FQ4 2025","Currency=USD","Period=FQ","BEST_FPERIOD_OVERRIDE=FQ","FILING_STATUS=MR","FA_ADJUSTED=GAAP","Sort=A","Dates=H","DateFormat=P","Fill=—","Direction=H","UseDPDF=Y")</f>
        <v>6.2146999999999997</v>
      </c>
      <c r="AO61" s="13">
        <f>_xll.BDH("WMT US Equity","EBITDA_MARGIN","FQ1 2026","FQ1 2026","Currency=USD","Period=FQ","BEST_FPERIOD_OVERRIDE=FQ","FILING_STATUS=MR","FA_ADJUSTED=GAAP","Sort=A","Dates=H","DateFormat=P","Fill=—","Direction=H","UseDPDF=Y")</f>
        <v>6.2556000000000003</v>
      </c>
      <c r="AP61" s="13">
        <f>_xll.BDH("WMT US Equity","EBITDA_MARGIN","FQ2 2026","FQ2 2026","Currency=USD","Period=FQ","BEST_FPERIOD_OVERRIDE=FQ","FILING_STATUS=MR","FA_ADJUSTED=GAAP","Sort=A","Dates=H","DateFormat=P","Fill=—","Direction=H","UseDPDF=Y")</f>
        <v>6.1281999999999996</v>
      </c>
    </row>
    <row r="62" spans="1:42" x14ac:dyDescent="0.3">
      <c r="A62" s="10" t="s">
        <v>138</v>
      </c>
      <c r="B62" s="10" t="s">
        <v>139</v>
      </c>
      <c r="C62" s="12" t="str">
        <f>_xll.BDH("WMT US Equity","CF_NET_CASH_PAID_FOR_AQUIS","FQ3 2016","FQ3 2016","Currency=USD","Period=FQ","BEST_FPERIOD_OVERRIDE=FQ","FILING_STATUS=MR","SCALING_FORMAT=MLN","Sort=A","Dates=H","DateFormat=P","Fill=—","Direction=H","UseDPDF=Y")</f>
        <v>—</v>
      </c>
      <c r="D62" s="12">
        <f>_xll.BDH("WMT US Equity","CF_NET_CASH_PAID_FOR_AQUIS","FQ4 2016","FQ4 2016","Currency=USD","Period=FQ","BEST_FPERIOD_OVERRIDE=FQ","FILING_STATUS=MR","SCALING_FORMAT=MLN","Sort=A","Dates=H","DateFormat=P","Fill=—","Direction=H","UseDPDF=Y")</f>
        <v>0</v>
      </c>
      <c r="E62" s="12">
        <f>_xll.BDH("WMT US Equity","CF_NET_CASH_PAID_FOR_AQUIS","FQ1 2017","FQ1 2017","Currency=USD","Period=FQ","BEST_FPERIOD_OVERRIDE=FQ","FILING_STATUS=MR","SCALING_FORMAT=MLN","Sort=A","Dates=H","DateFormat=P","Fill=—","Direction=H","UseDPDF=Y")</f>
        <v>0</v>
      </c>
      <c r="F62" s="12">
        <f>_xll.BDH("WMT US Equity","CF_NET_CASH_PAID_FOR_AQUIS","FQ2 2017","FQ2 2017","Currency=USD","Period=FQ","BEST_FPERIOD_OVERRIDE=FQ","FILING_STATUS=MR","SCALING_FORMAT=MLN","Sort=A","Dates=H","DateFormat=P","Fill=—","Direction=H","UseDPDF=Y")</f>
        <v>0</v>
      </c>
      <c r="G62" s="12">
        <f>_xll.BDH("WMT US Equity","CF_NET_CASH_PAID_FOR_AQUIS","FQ3 2017","FQ3 2017","Currency=USD","Period=FQ","BEST_FPERIOD_OVERRIDE=FQ","FILING_STATUS=MR","SCALING_FORMAT=MLN","Sort=A","Dates=H","DateFormat=P","Fill=—","Direction=H","UseDPDF=Y")</f>
        <v>-2406</v>
      </c>
      <c r="H62" s="12">
        <f>_xll.BDH("WMT US Equity","CF_NET_CASH_PAID_FOR_AQUIS","FQ4 2017","FQ4 2017","Currency=USD","Period=FQ","BEST_FPERIOD_OVERRIDE=FQ","FILING_STATUS=MR","SCALING_FORMAT=MLN","Sort=A","Dates=H","DateFormat=P","Fill=—","Direction=H","UseDPDF=Y")</f>
        <v>4869</v>
      </c>
      <c r="I62" s="12">
        <f>_xll.BDH("WMT US Equity","CF_NET_CASH_PAID_FOR_AQUIS","FQ1 2018","FQ1 2018","Currency=USD","Period=FQ","BEST_FPERIOD_OVERRIDE=FQ","FILING_STATUS=MR","SCALING_FORMAT=MLN","Sort=A","Dates=H","DateFormat=P","Fill=—","Direction=H","UseDPDF=Y")</f>
        <v>88</v>
      </c>
      <c r="J62" s="12">
        <f>_xll.BDH("WMT US Equity","CF_NET_CASH_PAID_FOR_AQUIS","FQ2 2018","FQ2 2018","Currency=USD","Period=FQ","BEST_FPERIOD_OVERRIDE=FQ","FILING_STATUS=MR","SCALING_FORMAT=MLN","Sort=A","Dates=H","DateFormat=P","Fill=—","Direction=H","UseDPDF=Y")</f>
        <v>275</v>
      </c>
      <c r="K62" s="12">
        <f>_xll.BDH("WMT US Equity","CF_NET_CASH_PAID_FOR_AQUIS","FQ3 2018","FQ3 2018","Currency=USD","Period=FQ","BEST_FPERIOD_OVERRIDE=FQ","FILING_STATUS=MR","SCALING_FORMAT=MLN","Sort=A","Dates=H","DateFormat=P","Fill=—","Direction=H","UseDPDF=Y")</f>
        <v>9</v>
      </c>
      <c r="L62" s="12">
        <f>_xll.BDH("WMT US Equity","CF_NET_CASH_PAID_FOR_AQUIS","FQ4 2018","FQ4 2018","Currency=USD","Period=FQ","BEST_FPERIOD_OVERRIDE=FQ","FILING_STATUS=MR","SCALING_FORMAT=MLN","Sort=A","Dates=H","DateFormat=P","Fill=—","Direction=H","UseDPDF=Y")</f>
        <v>3</v>
      </c>
      <c r="M62" s="12">
        <f>_xll.BDH("WMT US Equity","CF_NET_CASH_PAID_FOR_AQUIS","FQ1 2019","FQ1 2019","Currency=USD","Period=FQ","BEST_FPERIOD_OVERRIDE=FQ","FILING_STATUS=MR","SCALING_FORMAT=MLN","Sort=A","Dates=H","DateFormat=P","Fill=—","Direction=H","UseDPDF=Y")</f>
        <v>0</v>
      </c>
      <c r="N62" s="12">
        <f>_xll.BDH("WMT US Equity","CF_NET_CASH_PAID_FOR_AQUIS","FQ2 2019","FQ2 2019","Currency=USD","Period=FQ","BEST_FPERIOD_OVERRIDE=FQ","FILING_STATUS=MR","SCALING_FORMAT=MLN","Sort=A","Dates=H","DateFormat=P","Fill=—","Direction=H","UseDPDF=Y")</f>
        <v>0</v>
      </c>
      <c r="O62" s="12">
        <f>_xll.BDH("WMT US Equity","CF_NET_CASH_PAID_FOR_AQUIS","FQ3 2019","FQ3 2019","Currency=USD","Period=FQ","BEST_FPERIOD_OVERRIDE=FQ","FILING_STATUS=MR","SCALING_FORMAT=MLN","Sort=A","Dates=H","DateFormat=P","Fill=—","Direction=H","UseDPDF=Y")</f>
        <v>13269</v>
      </c>
      <c r="P62" s="12">
        <f>_xll.BDH("WMT US Equity","CF_NET_CASH_PAID_FOR_AQUIS","FQ4 2019","FQ4 2019","Currency=USD","Period=FQ","BEST_FPERIOD_OVERRIDE=FQ","FILING_STATUS=MR","SCALING_FORMAT=MLN","Sort=A","Dates=H","DateFormat=P","Fill=—","Direction=H","UseDPDF=Y")</f>
        <v>1387</v>
      </c>
      <c r="Q62" s="12">
        <f>_xll.BDH("WMT US Equity","CF_NET_CASH_PAID_FOR_AQUIS","FQ1 2020","FQ1 2020","Currency=USD","Period=FQ","BEST_FPERIOD_OVERRIDE=FQ","FILING_STATUS=MR","SCALING_FORMAT=MLN","Sort=A","Dates=H","DateFormat=P","Fill=—","Direction=H","UseDPDF=Y")</f>
        <v>56</v>
      </c>
      <c r="R62" s="12">
        <f>_xll.BDH("WMT US Equity","CF_NET_CASH_PAID_FOR_AQUIS","FQ2 2020","FQ2 2020","Currency=USD","Period=FQ","BEST_FPERIOD_OVERRIDE=FQ","FILING_STATUS=MR","SCALING_FORMAT=MLN","Sort=A","Dates=H","DateFormat=P","Fill=—","Direction=H","UseDPDF=Y")</f>
        <v>0</v>
      </c>
      <c r="S62" s="12">
        <f>_xll.BDH("WMT US Equity","CF_NET_CASH_PAID_FOR_AQUIS","FQ3 2020","FQ3 2020","Currency=USD","Period=FQ","BEST_FPERIOD_OVERRIDE=FQ","FILING_STATUS=MR","SCALING_FORMAT=MLN","Sort=A","Dates=H","DateFormat=P","Fill=—","Direction=H","UseDPDF=Y")</f>
        <v>0</v>
      </c>
      <c r="T62" s="12">
        <f>_xll.BDH("WMT US Equity","CF_NET_CASH_PAID_FOR_AQUIS","FQ4 2020","FQ4 2020","Currency=USD","Period=FQ","BEST_FPERIOD_OVERRIDE=FQ","FILING_STATUS=MR","SCALING_FORMAT=MLN","Sort=A","Dates=H","DateFormat=P","Fill=—","Direction=H","UseDPDF=Y")</f>
        <v>0</v>
      </c>
      <c r="U62" s="12">
        <f>_xll.BDH("WMT US Equity","CF_NET_CASH_PAID_FOR_AQUIS","FQ1 2021","FQ1 2021","Currency=USD","Period=FQ","BEST_FPERIOD_OVERRIDE=FQ","FILING_STATUS=MR","SCALING_FORMAT=MLN","Sort=A","Dates=H","DateFormat=P","Fill=—","Direction=H","UseDPDF=Y")</f>
        <v>10</v>
      </c>
      <c r="V62" s="12">
        <f>_xll.BDH("WMT US Equity","CF_NET_CASH_PAID_FOR_AQUIS","FQ2 2021","FQ2 2021","Currency=USD","Period=FQ","BEST_FPERIOD_OVERRIDE=FQ","FILING_STATUS=MR","SCALING_FORMAT=MLN","Sort=A","Dates=H","DateFormat=P","Fill=—","Direction=H","UseDPDF=Y")</f>
        <v>165</v>
      </c>
      <c r="W62" s="12">
        <f>_xll.BDH("WMT US Equity","CF_NET_CASH_PAID_FOR_AQUIS","FQ3 2021","FQ3 2021","Currency=USD","Period=FQ","BEST_FPERIOD_OVERRIDE=FQ","FILING_STATUS=MR","SCALING_FORMAT=MLN","Sort=A","Dates=H","DateFormat=P","Fill=—","Direction=H","UseDPDF=Y")</f>
        <v>5</v>
      </c>
      <c r="X62" s="12">
        <f>_xll.BDH("WMT US Equity","CF_NET_CASH_PAID_FOR_AQUIS","FQ4 2021","FQ4 2021","Currency=USD","Period=FQ","BEST_FPERIOD_OVERRIDE=FQ","FILING_STATUS=MR","SCALING_FORMAT=MLN","Sort=A","Dates=H","DateFormat=P","Fill=—","Direction=H","UseDPDF=Y")</f>
        <v>0</v>
      </c>
      <c r="Y62" s="12">
        <f>_xll.BDH("WMT US Equity","CF_NET_CASH_PAID_FOR_AQUIS","FQ1 2022","FQ1 2022","Currency=USD","Period=FQ","BEST_FPERIOD_OVERRIDE=FQ","FILING_STATUS=MR","SCALING_FORMAT=MLN","Sort=A","Dates=H","DateFormat=P","Fill=—","Direction=H","UseDPDF=Y")</f>
        <v>-7935</v>
      </c>
      <c r="Z62" s="12">
        <f>_xll.BDH("WMT US Equity","CF_NET_CASH_PAID_FOR_AQUIS","FQ2 2022","FQ2 2022","Currency=USD","Period=FQ","BEST_FPERIOD_OVERRIDE=FQ","FILING_STATUS=MR","SCALING_FORMAT=MLN","Sort=A","Dates=H","DateFormat=P","Fill=—","Direction=H","UseDPDF=Y")</f>
        <v>8183</v>
      </c>
      <c r="AA62" s="12">
        <f>_xll.BDH("WMT US Equity","CF_NET_CASH_PAID_FOR_AQUIS","FQ3 2022","FQ3 2022","Currency=USD","Period=FQ","BEST_FPERIOD_OVERRIDE=FQ","FILING_STATUS=MR","SCALING_FORMAT=MLN","Sort=A","Dates=H","DateFormat=P","Fill=—","Direction=H","UseDPDF=Y")</f>
        <v>0</v>
      </c>
      <c r="AB62" s="12">
        <f>_xll.BDH("WMT US Equity","CF_NET_CASH_PAID_FOR_AQUIS","FQ4 2022","FQ4 2022","Currency=USD","Period=FQ","BEST_FPERIOD_OVERRIDE=FQ","FILING_STATUS=MR","SCALING_FORMAT=MLN","Sort=A","Dates=H","DateFormat=P","Fill=—","Direction=H","UseDPDF=Y")</f>
        <v>111</v>
      </c>
      <c r="AC62" s="12">
        <f>_xll.BDH("WMT US Equity","CF_NET_CASH_PAID_FOR_AQUIS","FQ1 2023","FQ1 2023","Currency=USD","Period=FQ","BEST_FPERIOD_OVERRIDE=FQ","FILING_STATUS=MR","SCALING_FORMAT=MLN","Sort=A","Dates=H","DateFormat=P","Fill=—","Direction=H","UseDPDF=Y")</f>
        <v>598</v>
      </c>
      <c r="AD62" s="12">
        <f>_xll.BDH("WMT US Equity","CF_NET_CASH_PAID_FOR_AQUIS","FQ2 2023","FQ2 2023","Currency=USD","Period=FQ","BEST_FPERIOD_OVERRIDE=FQ","FILING_STATUS=MR","SCALING_FORMAT=MLN","Sort=A","Dates=H","DateFormat=P","Fill=—","Direction=H","UseDPDF=Y")</f>
        <v>18</v>
      </c>
      <c r="AE62" s="12">
        <f>_xll.BDH("WMT US Equity","CF_NET_CASH_PAID_FOR_AQUIS","FQ3 2023","FQ3 2023","Currency=USD","Period=FQ","BEST_FPERIOD_OVERRIDE=FQ","FILING_STATUS=MR","SCALING_FORMAT=MLN","Sort=A","Dates=H","DateFormat=P","Fill=—","Direction=H","UseDPDF=Y")</f>
        <v>114</v>
      </c>
      <c r="AF62" s="12">
        <f>_xll.BDH("WMT US Equity","CF_NET_CASH_PAID_FOR_AQUIS","FQ4 2023","FQ4 2023","Currency=USD","Period=FQ","BEST_FPERIOD_OVERRIDE=FQ","FILING_STATUS=MR","SCALING_FORMAT=MLN","Sort=A","Dates=H","DateFormat=P","Fill=—","Direction=H","UseDPDF=Y")</f>
        <v>10</v>
      </c>
      <c r="AG62" s="12">
        <f>_xll.BDH("WMT US Equity","CF_NET_CASH_PAID_FOR_AQUIS","FQ1 2024","FQ1 2024","Currency=USD","Period=FQ","BEST_FPERIOD_OVERRIDE=FQ","FILING_STATUS=MR","SCALING_FORMAT=MLN","Sort=A","Dates=H","DateFormat=P","Fill=—","Direction=H","UseDPDF=Y")</f>
        <v>0</v>
      </c>
      <c r="AH62" s="12">
        <f>_xll.BDH("WMT US Equity","CF_NET_CASH_PAID_FOR_AQUIS","FQ2 2024","FQ2 2024","Currency=USD","Period=FQ","BEST_FPERIOD_OVERRIDE=FQ","FILING_STATUS=MR","SCALING_FORMAT=MLN","Sort=A","Dates=H","DateFormat=P","Fill=—","Direction=H","UseDPDF=Y")</f>
        <v>9</v>
      </c>
      <c r="AI62" s="12">
        <f>_xll.BDH("WMT US Equity","CF_NET_CASH_PAID_FOR_AQUIS","FQ3 2024","FQ3 2024","Currency=USD","Period=FQ","BEST_FPERIOD_OVERRIDE=FQ","FILING_STATUS=MR","SCALING_FORMAT=MLN","Sort=A","Dates=H","DateFormat=P","Fill=—","Direction=H","UseDPDF=Y")</f>
        <v>0</v>
      </c>
      <c r="AJ62" s="12">
        <f>_xll.BDH("WMT US Equity","CF_NET_CASH_PAID_FOR_AQUIS","FQ4 2024","FQ4 2024","Currency=USD","Period=FQ","BEST_FPERIOD_OVERRIDE=FQ","FILING_STATUS=MR","SCALING_FORMAT=MLN","Sort=A","Dates=H","DateFormat=P","Fill=—","Direction=H","UseDPDF=Y")</f>
        <v>0</v>
      </c>
      <c r="AK62" s="12" t="str">
        <f>_xll.BDH("WMT US Equity","CF_NET_CASH_PAID_FOR_AQUIS","FQ1 2025","FQ1 2025","Currency=USD","Period=FQ","BEST_FPERIOD_OVERRIDE=FQ","FILING_STATUS=MR","SCALING_FORMAT=MLN","Sort=A","Dates=H","DateFormat=P","Fill=—","Direction=H","UseDPDF=Y")</f>
        <v>—</v>
      </c>
      <c r="AL62" s="12" t="str">
        <f>_xll.BDH("WMT US Equity","CF_NET_CASH_PAID_FOR_AQUIS","FQ2 2025","FQ2 2025","Currency=USD","Period=FQ","BEST_FPERIOD_OVERRIDE=FQ","FILING_STATUS=MR","SCALING_FORMAT=MLN","Sort=A","Dates=H","DateFormat=P","Fill=—","Direction=H","UseDPDF=Y")</f>
        <v>—</v>
      </c>
      <c r="AM62" s="12" t="str">
        <f>_xll.BDH("WMT US Equity","CF_NET_CASH_PAID_FOR_AQUIS","FQ3 2025","FQ3 2025","Currency=USD","Period=FQ","BEST_FPERIOD_OVERRIDE=FQ","FILING_STATUS=MR","SCALING_FORMAT=MLN","Sort=A","Dates=H","DateFormat=P","Fill=—","Direction=H","UseDPDF=Y")</f>
        <v>—</v>
      </c>
      <c r="AN62" s="12" t="str">
        <f>_xll.BDH("WMT US Equity","CF_NET_CASH_PAID_FOR_AQUIS","FQ4 2025","FQ4 2025","Currency=USD","Period=FQ","BEST_FPERIOD_OVERRIDE=FQ","FILING_STATUS=MR","SCALING_FORMAT=MLN","Sort=A","Dates=H","DateFormat=P","Fill=—","Direction=H","UseDPDF=Y")</f>
        <v>—</v>
      </c>
      <c r="AO62" s="12" t="str">
        <f>_xll.BDH("WMT US Equity","CF_NET_CASH_PAID_FOR_AQUIS","FQ1 2026","FQ1 2026","Currency=USD","Period=FQ","BEST_FPERIOD_OVERRIDE=FQ","FILING_STATUS=MR","SCALING_FORMAT=MLN","Sort=A","Dates=H","DateFormat=P","Fill=—","Direction=H","UseDPDF=Y")</f>
        <v>—</v>
      </c>
      <c r="AP62" s="12" t="str">
        <f>_xll.BDH("WMT US Equity","CF_NET_CASH_PAID_FOR_AQUIS","FQ2 2026","FQ2 2026","Currency=USD","Period=FQ","BEST_FPERIOD_OVERRIDE=FQ","FILING_STATUS=MR","SCALING_FORMAT=MLN","Sort=A","Dates=H","DateFormat=P","Fill=—","Direction=H","UseDPDF=Y")</f>
        <v>—</v>
      </c>
    </row>
    <row r="63" spans="1:42" x14ac:dyDescent="0.3">
      <c r="A63" s="10" t="s">
        <v>140</v>
      </c>
      <c r="B63" s="10" t="s">
        <v>141</v>
      </c>
      <c r="C63" s="12">
        <f>_xll.BDH("WMT US Equity","CF_FREE_CASH_FLOW","FQ3 2016","FQ3 2016","Currency=USD","Period=FQ","BEST_FPERIOD_OVERRIDE=FQ","FILING_STATUS=MR","SCALING_FORMAT=MLN","Sort=A","Dates=H","DateFormat=P","Fill=—","Direction=H","UseDPDF=Y")</f>
        <v>1724</v>
      </c>
      <c r="D63" s="12">
        <f>_xll.BDH("WMT US Equity","CF_FREE_CASH_FLOW","FQ4 2016","FQ4 2016","Currency=USD","Period=FQ","BEST_FPERIOD_OVERRIDE=FQ","FILING_STATUS=MR","SCALING_FORMAT=MLN","Sort=A","Dates=H","DateFormat=P","Fill=—","Direction=H","UseDPDF=Y")</f>
        <v>9293</v>
      </c>
      <c r="E63" s="12">
        <f>_xll.BDH("WMT US Equity","CF_FREE_CASH_FLOW","FQ1 2017","FQ1 2017","Currency=USD","Period=FQ","BEST_FPERIOD_OVERRIDE=FQ","FILING_STATUS=MR","SCALING_FORMAT=MLN","Sort=A","Dates=H","DateFormat=P","Fill=—","Direction=H","UseDPDF=Y")</f>
        <v>3984</v>
      </c>
      <c r="F63" s="12">
        <f>_xll.BDH("WMT US Equity","CF_FREE_CASH_FLOW","FQ2 2017","FQ2 2017","Currency=USD","Period=FQ","BEST_FPERIOD_OVERRIDE=FQ","FILING_STATUS=MR","SCALING_FORMAT=MLN","Sort=A","Dates=H","DateFormat=P","Fill=—","Direction=H","UseDPDF=Y")</f>
        <v>6328</v>
      </c>
      <c r="G63" s="12">
        <f>_xll.BDH("WMT US Equity","CF_FREE_CASH_FLOW","FQ3 2017","FQ3 2017","Currency=USD","Period=FQ","BEST_FPERIOD_OVERRIDE=FQ","FILING_STATUS=MR","SCALING_FORMAT=MLN","Sort=A","Dates=H","DateFormat=P","Fill=—","Direction=H","UseDPDF=Y")</f>
        <v>2010</v>
      </c>
      <c r="H63" s="12">
        <f>_xll.BDH("WMT US Equity","CF_FREE_CASH_FLOW","FQ4 2017","FQ4 2017","Currency=USD","Period=FQ","BEST_FPERIOD_OVERRIDE=FQ","FILING_STATUS=MR","SCALING_FORMAT=MLN","Sort=A","Dates=H","DateFormat=P","Fill=—","Direction=H","UseDPDF=Y")</f>
        <v>8405</v>
      </c>
      <c r="I63" s="12">
        <f>_xll.BDH("WMT US Equity","CF_FREE_CASH_FLOW","FQ1 2018","FQ1 2018","Currency=USD","Period=FQ","BEST_FPERIOD_OVERRIDE=FQ","FILING_STATUS=MR","SCALING_FORMAT=MLN","Sort=A","Dates=H","DateFormat=P","Fill=—","Direction=H","UseDPDF=Y")</f>
        <v>3395</v>
      </c>
      <c r="J63" s="12">
        <f>_xll.BDH("WMT US Equity","CF_FREE_CASH_FLOW","FQ2 2018","FQ2 2018","Currency=USD","Period=FQ","BEST_FPERIOD_OVERRIDE=FQ","FILING_STATUS=MR","SCALING_FORMAT=MLN","Sort=A","Dates=H","DateFormat=P","Fill=—","Direction=H","UseDPDF=Y")</f>
        <v>3542</v>
      </c>
      <c r="K63" s="12">
        <f>_xll.BDH("WMT US Equity","CF_FREE_CASH_FLOW","FQ3 2018","FQ3 2018","Currency=USD","Period=FQ","BEST_FPERIOD_OVERRIDE=FQ","FILING_STATUS=MR","SCALING_FORMAT=MLN","Sort=A","Dates=H","DateFormat=P","Fill=—","Direction=H","UseDPDF=Y")</f>
        <v>3215</v>
      </c>
      <c r="L63" s="12">
        <f>_xll.BDH("WMT US Equity","CF_FREE_CASH_FLOW","FQ4 2018","FQ4 2018","Currency=USD","Period=FQ","BEST_FPERIOD_OVERRIDE=FQ","FILING_STATUS=MR","SCALING_FORMAT=MLN","Sort=A","Dates=H","DateFormat=P","Fill=—","Direction=H","UseDPDF=Y")</f>
        <v>8134</v>
      </c>
      <c r="M63" s="12">
        <f>_xll.BDH("WMT US Equity","CF_FREE_CASH_FLOW","FQ1 2019","FQ1 2019","Currency=USD","Period=FQ","BEST_FPERIOD_OVERRIDE=FQ","FILING_STATUS=MR","SCALING_FORMAT=MLN","Sort=A","Dates=H","DateFormat=P","Fill=—","Direction=H","UseDPDF=Y")</f>
        <v>3343</v>
      </c>
      <c r="N63" s="12">
        <f>_xll.BDH("WMT US Equity","CF_FREE_CASH_FLOW","FQ2 2019","FQ2 2019","Currency=USD","Period=FQ","BEST_FPERIOD_OVERRIDE=FQ","FILING_STATUS=MR","SCALING_FORMAT=MLN","Sort=A","Dates=H","DateFormat=P","Fill=—","Direction=H","UseDPDF=Y")</f>
        <v>3470</v>
      </c>
      <c r="O63" s="12">
        <f>_xll.BDH("WMT US Equity","CF_FREE_CASH_FLOW","FQ3 2019","FQ3 2019","Currency=USD","Period=FQ","BEST_FPERIOD_OVERRIDE=FQ","FILING_STATUS=MR","SCALING_FORMAT=MLN","Sort=A","Dates=H","DateFormat=P","Fill=—","Direction=H","UseDPDF=Y")</f>
        <v>3481</v>
      </c>
      <c r="P63" s="12">
        <f>_xll.BDH("WMT US Equity","CF_FREE_CASH_FLOW","FQ4 2019","FQ4 2019","Currency=USD","Period=FQ","BEST_FPERIOD_OVERRIDE=FQ","FILING_STATUS=MR","SCALING_FORMAT=MLN","Sort=A","Dates=H","DateFormat=P","Fill=—","Direction=H","UseDPDF=Y")</f>
        <v>7115</v>
      </c>
      <c r="Q63" s="12">
        <f>_xll.BDH("WMT US Equity","CF_FREE_CASH_FLOW","FQ1 2020","FQ1 2020","Currency=USD","Period=FQ","BEST_FPERIOD_OVERRIDE=FQ","FILING_STATUS=MR","SCALING_FORMAT=MLN","Sort=A","Dates=H","DateFormat=P","Fill=—","Direction=H","UseDPDF=Y")</f>
        <v>1358</v>
      </c>
      <c r="R63" s="12">
        <f>_xll.BDH("WMT US Equity","CF_FREE_CASH_FLOW","FQ2 2020","FQ2 2020","Currency=USD","Period=FQ","BEST_FPERIOD_OVERRIDE=FQ","FILING_STATUS=MR","SCALING_FORMAT=MLN","Sort=A","Dates=H","DateFormat=P","Fill=—","Direction=H","UseDPDF=Y")</f>
        <v>4956</v>
      </c>
      <c r="S63" s="12">
        <f>_xll.BDH("WMT US Equity","CF_FREE_CASH_FLOW","FQ3 2020","FQ3 2020","Currency=USD","Period=FQ","BEST_FPERIOD_OVERRIDE=FQ","FILING_STATUS=MR","SCALING_FORMAT=MLN","Sort=A","Dates=H","DateFormat=P","Fill=—","Direction=H","UseDPDF=Y")</f>
        <v>460</v>
      </c>
      <c r="T63" s="12">
        <f>_xll.BDH("WMT US Equity","CF_FREE_CASH_FLOW","FQ4 2020","FQ4 2020","Currency=USD","Period=FQ","BEST_FPERIOD_OVERRIDE=FQ","FILING_STATUS=MR","SCALING_FORMAT=MLN","Sort=A","Dates=H","DateFormat=P","Fill=—","Direction=H","UseDPDF=Y")</f>
        <v>7776</v>
      </c>
      <c r="U63" s="12">
        <f>_xll.BDH("WMT US Equity","CF_FREE_CASH_FLOW","FQ1 2021","FQ1 2021","Currency=USD","Period=FQ","BEST_FPERIOD_OVERRIDE=FQ","FILING_STATUS=MR","SCALING_FORMAT=MLN","Sort=A","Dates=H","DateFormat=P","Fill=—","Direction=H","UseDPDF=Y")</f>
        <v>5265</v>
      </c>
      <c r="V63" s="12">
        <f>_xll.BDH("WMT US Equity","CF_FREE_CASH_FLOW","FQ2 2021","FQ2 2021","Currency=USD","Period=FQ","BEST_FPERIOD_OVERRIDE=FQ","FILING_STATUS=MR","SCALING_FORMAT=MLN","Sort=A","Dates=H","DateFormat=P","Fill=—","Direction=H","UseDPDF=Y")</f>
        <v>10122</v>
      </c>
      <c r="W63" s="12">
        <f>_xll.BDH("WMT US Equity","CF_FREE_CASH_FLOW","FQ3 2021","FQ3 2021","Currency=USD","Period=FQ","BEST_FPERIOD_OVERRIDE=FQ","FILING_STATUS=MR","SCALING_FORMAT=MLN","Sort=A","Dates=H","DateFormat=P","Fill=—","Direction=H","UseDPDF=Y")</f>
        <v>1055</v>
      </c>
      <c r="X63" s="12">
        <f>_xll.BDH("WMT US Equity","CF_FREE_CASH_FLOW","FQ4 2021","FQ4 2021","Currency=USD","Period=FQ","BEST_FPERIOD_OVERRIDE=FQ","FILING_STATUS=MR","SCALING_FORMAT=MLN","Sort=A","Dates=H","DateFormat=P","Fill=—","Direction=H","UseDPDF=Y")</f>
        <v>9368</v>
      </c>
      <c r="Y63" s="12">
        <f>_xll.BDH("WMT US Equity","CF_FREE_CASH_FLOW","FQ1 2022","FQ1 2022","Currency=USD","Period=FQ","BEST_FPERIOD_OVERRIDE=FQ","FILING_STATUS=MR","SCALING_FORMAT=MLN","Sort=A","Dates=H","DateFormat=P","Fill=—","Direction=H","UseDPDF=Y")</f>
        <v>644</v>
      </c>
      <c r="Z63" s="12">
        <f>_xll.BDH("WMT US Equity","CF_FREE_CASH_FLOW","FQ2 2022","FQ2 2022","Currency=USD","Period=FQ","BEST_FPERIOD_OVERRIDE=FQ","FILING_STATUS=MR","SCALING_FORMAT=MLN","Sort=A","Dates=H","DateFormat=P","Fill=—","Direction=H","UseDPDF=Y")</f>
        <v>6760</v>
      </c>
      <c r="AA63" s="12">
        <f>_xll.BDH("WMT US Equity","CF_FREE_CASH_FLOW","FQ3 2022","FQ3 2022","Currency=USD","Period=FQ","BEST_FPERIOD_OVERRIDE=FQ","FILING_STATUS=MR","SCALING_FORMAT=MLN","Sort=A","Dates=H","DateFormat=P","Fill=—","Direction=H","UseDPDF=Y")</f>
        <v>299</v>
      </c>
      <c r="AB63" s="12">
        <f>_xll.BDH("WMT US Equity","CF_FREE_CASH_FLOW","FQ4 2022","FQ4 2022","Currency=USD","Period=FQ","BEST_FPERIOD_OVERRIDE=FQ","FILING_STATUS=MR","SCALING_FORMAT=MLN","Sort=A","Dates=H","DateFormat=P","Fill=—","Direction=H","UseDPDF=Y")</f>
        <v>3372</v>
      </c>
      <c r="AC63" s="12">
        <f>_xll.BDH("WMT US Equity","CF_FREE_CASH_FLOW","FQ1 2023","FQ1 2023","Currency=USD","Period=FQ","BEST_FPERIOD_OVERRIDE=FQ","FILING_STATUS=MR","SCALING_FORMAT=MLN","Sort=A","Dates=H","DateFormat=P","Fill=—","Direction=H","UseDPDF=Y")</f>
        <v>-7297</v>
      </c>
      <c r="AD63" s="12">
        <f>_xll.BDH("WMT US Equity","CF_FREE_CASH_FLOW","FQ2 2023","FQ2 2023","Currency=USD","Period=FQ","BEST_FPERIOD_OVERRIDE=FQ","FILING_STATUS=MR","SCALING_FORMAT=MLN","Sort=A","Dates=H","DateFormat=P","Fill=—","Direction=H","UseDPDF=Y")</f>
        <v>9045</v>
      </c>
      <c r="AE63" s="12">
        <f>_xll.BDH("WMT US Equity","CF_FREE_CASH_FLOW","FQ3 2023","FQ3 2023","Currency=USD","Period=FQ","BEST_FPERIOD_OVERRIDE=FQ","FILING_STATUS=MR","SCALING_FORMAT=MLN","Sort=A","Dates=H","DateFormat=P","Fill=—","Direction=H","UseDPDF=Y")</f>
        <v>1889</v>
      </c>
      <c r="AF63" s="12">
        <f>_xll.BDH("WMT US Equity","CF_FREE_CASH_FLOW","FQ4 2023","FQ4 2023","Currency=USD","Period=FQ","BEST_FPERIOD_OVERRIDE=FQ","FILING_STATUS=MR","SCALING_FORMAT=MLN","Sort=A","Dates=H","DateFormat=P","Fill=—","Direction=H","UseDPDF=Y")</f>
        <v>8347</v>
      </c>
      <c r="AG63" s="12">
        <f>_xll.BDH("WMT US Equity","CF_FREE_CASH_FLOW","FQ1 2024","FQ1 2024","Currency=USD","Period=FQ","BEST_FPERIOD_OVERRIDE=FQ","FILING_STATUS=MR","SCALING_FORMAT=MLN","Sort=A","Dates=H","DateFormat=P","Fill=—","Direction=H","UseDPDF=Y")</f>
        <v>204</v>
      </c>
      <c r="AH63" s="12">
        <f>_xll.BDH("WMT US Equity","CF_FREE_CASH_FLOW","FQ2 2024","FQ2 2024","Currency=USD","Period=FQ","BEST_FPERIOD_OVERRIDE=FQ","FILING_STATUS=MR","SCALING_FORMAT=MLN","Sort=A","Dates=H","DateFormat=P","Fill=—","Direction=H","UseDPDF=Y")</f>
        <v>8781</v>
      </c>
      <c r="AI63" s="12">
        <f>_xll.BDH("WMT US Equity","CF_FREE_CASH_FLOW","FQ3 2024","FQ3 2024","Currency=USD","Period=FQ","BEST_FPERIOD_OVERRIDE=FQ","FILING_STATUS=MR","SCALING_FORMAT=MLN","Sort=A","Dates=H","DateFormat=P","Fill=—","Direction=H","UseDPDF=Y")</f>
        <v>-4645</v>
      </c>
      <c r="AJ63" s="12">
        <f>_xll.BDH("WMT US Equity","CF_FREE_CASH_FLOW","FQ4 2024","FQ4 2024","Currency=USD","Period=FQ","BEST_FPERIOD_OVERRIDE=FQ","FILING_STATUS=MR","SCALING_FORMAT=MLN","Sort=A","Dates=H","DateFormat=P","Fill=—","Direction=H","UseDPDF=Y")</f>
        <v>10780</v>
      </c>
      <c r="AK63" s="12">
        <f>_xll.BDH("WMT US Equity","CF_FREE_CASH_FLOW","FQ1 2025","FQ1 2025","Currency=USD","Period=FQ","BEST_FPERIOD_OVERRIDE=FQ","FILING_STATUS=MR","SCALING_FORMAT=MLN","Sort=A","Dates=H","DateFormat=P","Fill=—","Direction=H","UseDPDF=Y")</f>
        <v>-427</v>
      </c>
      <c r="AL63" s="12">
        <f>_xll.BDH("WMT US Equity","CF_FREE_CASH_FLOW","FQ2 2025","FQ2 2025","Currency=USD","Period=FQ","BEST_FPERIOD_OVERRIDE=FQ","FILING_STATUS=MR","SCALING_FORMAT=MLN","Sort=A","Dates=H","DateFormat=P","Fill=—","Direction=H","UseDPDF=Y")</f>
        <v>6277</v>
      </c>
      <c r="AM63" s="12">
        <f>_xll.BDH("WMT US Equity","CF_FREE_CASH_FLOW","FQ3 2025","FQ3 2025","Currency=USD","Period=FQ","BEST_FPERIOD_OVERRIDE=FQ","FILING_STATUS=MR","SCALING_FORMAT=MLN","Sort=A","Dates=H","DateFormat=P","Fill=—","Direction=H","UseDPDF=Y")</f>
        <v>372</v>
      </c>
      <c r="AN63" s="12">
        <f>_xll.BDH("WMT US Equity","CF_FREE_CASH_FLOW","FQ4 2025","FQ4 2025","Currency=USD","Period=FQ","BEST_FPERIOD_OVERRIDE=FQ","FILING_STATUS=MR","SCALING_FORMAT=MLN","Sort=A","Dates=H","DateFormat=P","Fill=—","Direction=H","UseDPDF=Y")</f>
        <v>6438</v>
      </c>
      <c r="AO63" s="12">
        <f>_xll.BDH("WMT US Equity","CF_FREE_CASH_FLOW","FQ1 2026","FQ1 2026","Currency=USD","Period=FQ","BEST_FPERIOD_OVERRIDE=FQ","FILING_STATUS=MR","SCALING_FORMAT=MLN","Sort=A","Dates=H","DateFormat=P","Fill=—","Direction=H","UseDPDF=Y")</f>
        <v>425</v>
      </c>
      <c r="AP63" s="12">
        <f>_xll.BDH("WMT US Equity","CF_FREE_CASH_FLOW","FQ2 2026","FQ2 2026","Currency=USD","Period=FQ","BEST_FPERIOD_OVERRIDE=FQ","FILING_STATUS=MR","SCALING_FORMAT=MLN","Sort=A","Dates=H","DateFormat=P","Fill=—","Direction=H","UseDPDF=Y")</f>
        <v>6518</v>
      </c>
    </row>
    <row r="64" spans="1:42" x14ac:dyDescent="0.3">
      <c r="A64" s="10" t="s">
        <v>142</v>
      </c>
      <c r="B64" s="10" t="s">
        <v>143</v>
      </c>
      <c r="C64" s="12">
        <f>_xll.BDH("WMT US Equity","CF_FREE_CASH_FLOW_FIRM","FQ3 2016","FQ3 2016","Currency=USD","Period=FQ","BEST_FPERIOD_OVERRIDE=FQ","FILING_STATUS=MR","SCALING_FORMAT=MLN","FA_ADJUSTED=GAAP","Sort=A","Dates=H","DateFormat=P","Fill=—","Direction=H","UseDPDF=Y")</f>
        <v>2060.6381000000001</v>
      </c>
      <c r="D64" s="12">
        <f>_xll.BDH("WMT US Equity","CF_FREE_CASH_FLOW_FIRM","FQ4 2016","FQ4 2016","Currency=USD","Period=FQ","BEST_FPERIOD_OVERRIDE=FQ","FILING_STATUS=MR","SCALING_FORMAT=MLN","FA_ADJUSTED=GAAP","Sort=A","Dates=H","DateFormat=P","Fill=—","Direction=H","UseDPDF=Y")</f>
        <v>9660.7479000000003</v>
      </c>
      <c r="E64" s="12">
        <f>_xll.BDH("WMT US Equity","CF_FREE_CASH_FLOW_FIRM","FQ1 2017","FQ1 2017","Currency=USD","Period=FQ","BEST_FPERIOD_OVERRIDE=FQ","FILING_STATUS=MR","SCALING_FORMAT=MLN","FA_ADJUSTED=GAAP","Sort=A","Dates=H","DateFormat=P","Fill=—","Direction=H","UseDPDF=Y")</f>
        <v>4324.4294</v>
      </c>
      <c r="F64" s="12">
        <f>_xll.BDH("WMT US Equity","CF_FREE_CASH_FLOW_FIRM","FQ2 2017","FQ2 2017","Currency=USD","Period=FQ","BEST_FPERIOD_OVERRIDE=FQ","FILING_STATUS=MR","SCALING_FORMAT=MLN","FA_ADJUSTED=GAAP","Sort=A","Dates=H","DateFormat=P","Fill=—","Direction=H","UseDPDF=Y")</f>
        <v>6681.5455000000002</v>
      </c>
      <c r="G64" s="12">
        <f>_xll.BDH("WMT US Equity","CF_FREE_CASH_FLOW_FIRM","FQ3 2017","FQ3 2017","Currency=USD","Period=FQ","BEST_FPERIOD_OVERRIDE=FQ","FILING_STATUS=MR","SCALING_FORMAT=MLN","FA_ADJUSTED=GAAP","Sort=A","Dates=H","DateFormat=P","Fill=—","Direction=H","UseDPDF=Y")</f>
        <v>2382.884</v>
      </c>
      <c r="H64" s="12">
        <f>_xll.BDH("WMT US Equity","CF_FREE_CASH_FLOW_FIRM","FQ4 2017","FQ4 2017","Currency=USD","Period=FQ","BEST_FPERIOD_OVERRIDE=FQ","FILING_STATUS=MR","SCALING_FORMAT=MLN","FA_ADJUSTED=GAAP","Sort=A","Dates=H","DateFormat=P","Fill=—","Direction=H","UseDPDF=Y")</f>
        <v>8763.3873000000003</v>
      </c>
      <c r="I64" s="12">
        <f>_xll.BDH("WMT US Equity","CF_FREE_CASH_FLOW_FIRM","FQ1 2018","FQ1 2018","Currency=USD","Period=FQ","BEST_FPERIOD_OVERRIDE=FQ","FILING_STATUS=MR","SCALING_FORMAT=MLN","FA_ADJUSTED=GAAP","Sort=A","Dates=H","DateFormat=P","Fill=—","Direction=H","UseDPDF=Y")</f>
        <v>3736.2305999999999</v>
      </c>
      <c r="J64" s="12">
        <f>_xll.BDH("WMT US Equity","CF_FREE_CASH_FLOW_FIRM","FQ2 2018","FQ2 2018","Currency=USD","Period=FQ","BEST_FPERIOD_OVERRIDE=FQ","FILING_STATUS=MR","SCALING_FORMAT=MLN","FA_ADJUSTED=GAAP","Sort=A","Dates=H","DateFormat=P","Fill=—","Direction=H","UseDPDF=Y")</f>
        <v>3893.7777000000001</v>
      </c>
      <c r="K64" s="12">
        <f>_xll.BDH("WMT US Equity","CF_FREE_CASH_FLOW_FIRM","FQ3 2018","FQ3 2018","Currency=USD","Period=FQ","BEST_FPERIOD_OVERRIDE=FQ","FILING_STATUS=MR","SCALING_FORMAT=MLN","FA_ADJUSTED=GAAP","Sort=A","Dates=H","DateFormat=P","Fill=—","Direction=H","UseDPDF=Y")</f>
        <v>3546.9931000000001</v>
      </c>
      <c r="L64" s="12">
        <f>_xll.BDH("WMT US Equity","CF_FREE_CASH_FLOW_FIRM","FQ4 2018","FQ4 2018","Currency=USD","Period=FQ","BEST_FPERIOD_OVERRIDE=FQ","FILING_STATUS=MR","SCALING_FORMAT=MLN","FA_ADJUSTED=GAAP","Sort=A","Dates=H","DateFormat=P","Fill=—","Direction=H","UseDPDF=Y")</f>
        <v>8491.1605999999992</v>
      </c>
      <c r="M64" s="12">
        <f>_xll.BDH("WMT US Equity","CF_FREE_CASH_FLOW_FIRM","FQ1 2019","FQ1 2019","Currency=USD","Period=FQ","BEST_FPERIOD_OVERRIDE=FQ","FILING_STATUS=MR","SCALING_FORMAT=MLN","FA_ADJUSTED=GAAP","Sort=A","Dates=H","DateFormat=P","Fill=—","Direction=H","UseDPDF=Y")</f>
        <v>3695.4493000000002</v>
      </c>
      <c r="N64" s="12">
        <f>_xll.BDH("WMT US Equity","CF_FREE_CASH_FLOW_FIRM","FQ2 2019","FQ2 2019","Currency=USD","Period=FQ","BEST_FPERIOD_OVERRIDE=FQ","FILING_STATUS=MR","SCALING_FORMAT=MLN","FA_ADJUSTED=GAAP","Sort=A","Dates=H","DateFormat=P","Fill=—","Direction=H","UseDPDF=Y")</f>
        <v>2629.7487000000001</v>
      </c>
      <c r="O64" s="12">
        <f>_xll.BDH("WMT US Equity","CF_FREE_CASH_FLOW_FIRM","FQ3 2019","FQ3 2019","Currency=USD","Period=FQ","BEST_FPERIOD_OVERRIDE=FQ","FILING_STATUS=MR","SCALING_FORMAT=MLN","FA_ADJUSTED=GAAP","Sort=A","Dates=H","DateFormat=P","Fill=—","Direction=H","UseDPDF=Y")</f>
        <v>3834.3838999999998</v>
      </c>
      <c r="P64" s="12">
        <f>_xll.BDH("WMT US Equity","CF_FREE_CASH_FLOW_FIRM","FQ4 2019","FQ4 2019","Currency=USD","Period=FQ","BEST_FPERIOD_OVERRIDE=FQ","FILING_STATUS=MR","SCALING_FORMAT=MLN","FA_ADJUSTED=GAAP","Sort=A","Dates=H","DateFormat=P","Fill=—","Direction=H","UseDPDF=Y")</f>
        <v>7503.4359000000004</v>
      </c>
      <c r="Q64" s="12">
        <f>_xll.BDH("WMT US Equity","CF_FREE_CASH_FLOW_FIRM","FQ1 2020","FQ1 2020","Currency=USD","Period=FQ","BEST_FPERIOD_OVERRIDE=FQ","FILING_STATUS=MR","SCALING_FORMAT=MLN","FA_ADJUSTED=GAAP","Sort=A","Dates=H","DateFormat=P","Fill=—","Direction=H","UseDPDF=Y")</f>
        <v>1803.3613</v>
      </c>
      <c r="R64" s="12">
        <f>_xll.BDH("WMT US Equity","CF_FREE_CASH_FLOW_FIRM","FQ2 2020","FQ2 2020","Currency=USD","Period=FQ","BEST_FPERIOD_OVERRIDE=FQ","FILING_STATUS=MR","SCALING_FORMAT=MLN","FA_ADJUSTED=GAAP","Sort=A","Dates=H","DateFormat=P","Fill=—","Direction=H","UseDPDF=Y")</f>
        <v>5373.9605000000001</v>
      </c>
      <c r="S64" s="12">
        <f>_xll.BDH("WMT US Equity","CF_FREE_CASH_FLOW_FIRM","FQ3 2020","FQ3 2020","Currency=USD","Period=FQ","BEST_FPERIOD_OVERRIDE=FQ","FILING_STATUS=MR","SCALING_FORMAT=MLN","FA_ADJUSTED=GAAP","Sort=A","Dates=H","DateFormat=P","Fill=—","Direction=H","UseDPDF=Y")</f>
        <v>875.40980000000002</v>
      </c>
      <c r="T64" s="12">
        <f>_xll.BDH("WMT US Equity","CF_FREE_CASH_FLOW_FIRM","FQ4 2020","FQ4 2020","Currency=USD","Period=FQ","BEST_FPERIOD_OVERRIDE=FQ","FILING_STATUS=MR","SCALING_FORMAT=MLN","FA_ADJUSTED=GAAP","Sort=A","Dates=H","DateFormat=P","Fill=—","Direction=H","UseDPDF=Y")</f>
        <v>8206.6867999999995</v>
      </c>
      <c r="U64" s="12">
        <f>_xll.BDH("WMT US Equity","CF_FREE_CASH_FLOW_FIRM","FQ1 2021","FQ1 2021","Currency=USD","Period=FQ","BEST_FPERIOD_OVERRIDE=FQ","FILING_STATUS=MR","SCALING_FORMAT=MLN","FA_ADJUSTED=GAAP","Sort=A","Dates=H","DateFormat=P","Fill=—","Direction=H","UseDPDF=Y")</f>
        <v>5650.0519000000004</v>
      </c>
      <c r="V64" s="12">
        <f>_xll.BDH("WMT US Equity","CF_FREE_CASH_FLOW_FIRM","FQ2 2021","FQ2 2021","Currency=USD","Period=FQ","BEST_FPERIOD_OVERRIDE=FQ","FILING_STATUS=MR","SCALING_FORMAT=MLN","FA_ADJUSTED=GAAP","Sort=A","Dates=H","DateFormat=P","Fill=—","Direction=H","UseDPDF=Y")</f>
        <v>10551.7135</v>
      </c>
      <c r="W64" s="12">
        <f>_xll.BDH("WMT US Equity","CF_FREE_CASH_FLOW_FIRM","FQ3 2021","FQ3 2021","Currency=USD","Period=FQ","BEST_FPERIOD_OVERRIDE=FQ","FILING_STATUS=MR","SCALING_FORMAT=MLN","FA_ADJUSTED=GAAP","Sort=A","Dates=H","DateFormat=P","Fill=—","Direction=H","UseDPDF=Y")</f>
        <v>1387.6007999999999</v>
      </c>
      <c r="X64" s="12">
        <f>_xll.BDH("WMT US Equity","CF_FREE_CASH_FLOW_FIRM","FQ4 2021","FQ4 2021","Currency=USD","Period=FQ","BEST_FPERIOD_OVERRIDE=FQ","FILING_STATUS=MR","SCALING_FORMAT=MLN","FA_ADJUSTED=GAAP","Sort=A","Dates=H","DateFormat=P","Fill=—","Direction=H","UseDPDF=Y")</f>
        <v>9657.2630000000008</v>
      </c>
      <c r="Y64" s="12">
        <f>_xll.BDH("WMT US Equity","CF_FREE_CASH_FLOW_FIRM","FQ1 2022","FQ1 2022","Currency=USD","Period=FQ","BEST_FPERIOD_OVERRIDE=FQ","FILING_STATUS=MR","SCALING_FORMAT=MLN","FA_ADJUSTED=GAAP","Sort=A","Dates=H","DateFormat=P","Fill=—","Direction=H","UseDPDF=Y")</f>
        <v>995.74059999999997</v>
      </c>
      <c r="Z64" s="12">
        <f>_xll.BDH("WMT US Equity","CF_FREE_CASH_FLOW_FIRM","FQ2 2022","FQ2 2022","Currency=USD","Period=FQ","BEST_FPERIOD_OVERRIDE=FQ","FILING_STATUS=MR","SCALING_FORMAT=MLN","FA_ADJUSTED=GAAP","Sort=A","Dates=H","DateFormat=P","Fill=—","Direction=H","UseDPDF=Y")</f>
        <v>7081.9767000000002</v>
      </c>
      <c r="AA64" s="12">
        <f>_xll.BDH("WMT US Equity","CF_FREE_CASH_FLOW_FIRM","FQ3 2022","FQ3 2022","Currency=USD","Period=FQ","BEST_FPERIOD_OVERRIDE=FQ","FILING_STATUS=MR","SCALING_FORMAT=MLN","FA_ADJUSTED=GAAP","Sort=A","Dates=H","DateFormat=P","Fill=—","Direction=H","UseDPDF=Y")</f>
        <v>607.13990000000001</v>
      </c>
      <c r="AB64" s="12">
        <f>_xll.BDH("WMT US Equity","CF_FREE_CASH_FLOW_FIRM","FQ4 2022","FQ4 2022","Currency=USD","Period=FQ","BEST_FPERIOD_OVERRIDE=FQ","FILING_STATUS=MR","SCALING_FORMAT=MLN","FA_ADJUSTED=GAAP","Sort=A","Dates=H","DateFormat=P","Fill=—","Direction=H","UseDPDF=Y")</f>
        <v>3636.3838999999998</v>
      </c>
      <c r="AC64" s="12">
        <f>_xll.BDH("WMT US Equity","CF_FREE_CASH_FLOW_FIRM","FQ1 2023","FQ1 2023","Currency=USD","Period=FQ","BEST_FPERIOD_OVERRIDE=FQ","FILING_STATUS=MR","SCALING_FORMAT=MLN","FA_ADJUSTED=GAAP","Sort=A","Dates=H","DateFormat=P","Fill=—","Direction=H","UseDPDF=Y")</f>
        <v>-7027.3289000000004</v>
      </c>
      <c r="AD64" s="12">
        <f>_xll.BDH("WMT US Equity","CF_FREE_CASH_FLOW_FIRM","FQ2 2023","FQ2 2023","Currency=USD","Period=FQ","BEST_FPERIOD_OVERRIDE=FQ","FILING_STATUS=MR","SCALING_FORMAT=MLN","FA_ADJUSTED=GAAP","Sort=A","Dates=H","DateFormat=P","Fill=—","Direction=H","UseDPDF=Y")</f>
        <v>9351.0002000000004</v>
      </c>
      <c r="AE64" s="12">
        <f>_xll.BDH("WMT US Equity","CF_FREE_CASH_FLOW_FIRM","FQ3 2023","FQ3 2023","Currency=USD","Period=FQ","BEST_FPERIOD_OVERRIDE=FQ","FILING_STATUS=MR","SCALING_FORMAT=MLN","FA_ADJUSTED=GAAP","Sort=A","Dates=H","DateFormat=P","Fill=—","Direction=H","UseDPDF=Y")</f>
        <v>2241.7359999999999</v>
      </c>
      <c r="AF64" s="12">
        <f>_xll.BDH("WMT US Equity","CF_FREE_CASH_FLOW_FIRM","FQ4 2023","FQ4 2023","Currency=USD","Period=FQ","BEST_FPERIOD_OVERRIDE=FQ","FILING_STATUS=MR","SCALING_FORMAT=MLN","FA_ADJUSTED=GAAP","Sort=A","Dates=H","DateFormat=P","Fill=—","Direction=H","UseDPDF=Y")</f>
        <v>8686.9784999999993</v>
      </c>
      <c r="AG64" s="12">
        <f>_xll.BDH("WMT US Equity","CF_FREE_CASH_FLOW_FIRM","FQ1 2024","FQ1 2024","Currency=USD","Period=FQ","BEST_FPERIOD_OVERRIDE=FQ","FILING_STATUS=MR","SCALING_FORMAT=MLN","FA_ADJUSTED=GAAP","Sort=A","Dates=H","DateFormat=P","Fill=—","Direction=H","UseDPDF=Y")</f>
        <v>604.64290000000005</v>
      </c>
      <c r="AH64" s="12">
        <f>_xll.BDH("WMT US Equity","CF_FREE_CASH_FLOW_FIRM","FQ2 2024","FQ2 2024","Currency=USD","Period=FQ","BEST_FPERIOD_OVERRIDE=FQ","FILING_STATUS=MR","SCALING_FORMAT=MLN","FA_ADJUSTED=GAAP","Sort=A","Dates=H","DateFormat=P","Fill=—","Direction=H","UseDPDF=Y")</f>
        <v>9188.6422999999995</v>
      </c>
      <c r="AI64" s="12">
        <f>_xll.BDH("WMT US Equity","CF_FREE_CASH_FLOW_FIRM","FQ3 2024","FQ3 2024","Currency=USD","Period=FQ","BEST_FPERIOD_OVERRIDE=FQ","FILING_STATUS=MR","SCALING_FORMAT=MLN","FA_ADJUSTED=GAAP","Sort=A","Dates=H","DateFormat=P","Fill=—","Direction=H","UseDPDF=Y")</f>
        <v>-4243.0371999999998</v>
      </c>
      <c r="AJ64" s="12">
        <f>_xll.BDH("WMT US Equity","CF_FREE_CASH_FLOW_FIRM","FQ4 2024","FQ4 2024","Currency=USD","Period=FQ","BEST_FPERIOD_OVERRIDE=FQ","FILING_STATUS=MR","SCALING_FORMAT=MLN","FA_ADJUSTED=GAAP","Sort=A","Dates=H","DateFormat=P","Fill=—","Direction=H","UseDPDF=Y")</f>
        <v>11215.0263</v>
      </c>
      <c r="AK64" s="12">
        <f>_xll.BDH("WMT US Equity","CF_FREE_CASH_FLOW_FIRM","FQ1 2025","FQ1 2025","Currency=USD","Period=FQ","BEST_FPERIOD_OVERRIDE=FQ","FILING_STATUS=MR","SCALING_FORMAT=MLN","FA_ADJUSTED=GAAP","Sort=A","Dates=H","DateFormat=P","Fill=—","Direction=H","UseDPDF=Y")</f>
        <v>23.359500000000001</v>
      </c>
      <c r="AL64" s="12">
        <f>_xll.BDH("WMT US Equity","CF_FREE_CASH_FLOW_FIRM","FQ2 2025","FQ2 2025","Currency=USD","Period=FQ","BEST_FPERIOD_OVERRIDE=FQ","FILING_STATUS=MR","SCALING_FORMAT=MLN","FA_ADJUSTED=GAAP","Sort=A","Dates=H","DateFormat=P","Fill=—","Direction=H","UseDPDF=Y")</f>
        <v>6699.3446000000004</v>
      </c>
      <c r="AM64" s="12">
        <f>_xll.BDH("WMT US Equity","CF_FREE_CASH_FLOW_FIRM","FQ3 2025","FQ3 2025","Currency=USD","Period=FQ","BEST_FPERIOD_OVERRIDE=FQ","FILING_STATUS=MR","SCALING_FORMAT=MLN","FA_ADJUSTED=GAAP","Sort=A","Dates=H","DateFormat=P","Fill=—","Direction=H","UseDPDF=Y")</f>
        <v>755.428</v>
      </c>
      <c r="AN64" s="12">
        <f>_xll.BDH("WMT US Equity","CF_FREE_CASH_FLOW_FIRM","FQ4 2025","FQ4 2025","Currency=USD","Period=FQ","BEST_FPERIOD_OVERRIDE=FQ","FILING_STATUS=MR","SCALING_FORMAT=MLN","FA_ADJUSTED=GAAP","Sort=A","Dates=H","DateFormat=P","Fill=—","Direction=H","UseDPDF=Y")</f>
        <v>6904.6917999999996</v>
      </c>
      <c r="AO64" s="12">
        <f>_xll.BDH("WMT US Equity","CF_FREE_CASH_FLOW_FIRM","FQ1 2026","FQ1 2026","Currency=USD","Period=FQ","BEST_FPERIOD_OVERRIDE=FQ","FILING_STATUS=MR","SCALING_FORMAT=MLN","FA_ADJUSTED=GAAP","Sort=A","Dates=H","DateFormat=P","Fill=—","Direction=H","UseDPDF=Y")</f>
        <v>826.67520000000002</v>
      </c>
      <c r="AP64" s="12">
        <f>_xll.BDH("WMT US Equity","CF_FREE_CASH_FLOW_FIRM","FQ2 2026","FQ2 2026","Currency=USD","Period=FQ","BEST_FPERIOD_OVERRIDE=FQ","FILING_STATUS=MR","SCALING_FORMAT=MLN","FA_ADJUSTED=GAAP","Sort=A","Dates=H","DateFormat=P","Fill=—","Direction=H","UseDPDF=Y")</f>
        <v>7017.5493999999999</v>
      </c>
    </row>
    <row r="65" spans="1:42" x14ac:dyDescent="0.3">
      <c r="A65" s="10" t="s">
        <v>144</v>
      </c>
      <c r="B65" s="10" t="s">
        <v>145</v>
      </c>
      <c r="C65" s="12">
        <f>_xll.BDH("WMT US Equity","FREE_CASH_FLOW_EQUITY","FQ3 2016","FQ3 2016","Currency=USD","Period=FQ","BEST_FPERIOD_OVERRIDE=FQ","FILING_STATUS=MR","SCALING_FORMAT=MLN","Sort=A","Dates=H","DateFormat=P","Fill=—","Direction=H","UseDPDF=Y")</f>
        <v>3798</v>
      </c>
      <c r="D65" s="12">
        <f>_xll.BDH("WMT US Equity","FREE_CASH_FLOW_EQUITY","FQ4 2016","FQ4 2016","Currency=USD","Period=FQ","BEST_FPERIOD_OVERRIDE=FQ","FILING_STATUS=MR","SCALING_FORMAT=MLN","Sort=A","Dates=H","DateFormat=P","Fill=—","Direction=H","UseDPDF=Y")</f>
        <v>7252</v>
      </c>
      <c r="E65" s="12">
        <f>_xll.BDH("WMT US Equity","FREE_CASH_FLOW_EQUITY","FQ1 2017","FQ1 2017","Currency=USD","Period=FQ","BEST_FPERIOD_OVERRIDE=FQ","FILING_STATUS=MR","SCALING_FORMAT=MLN","Sort=A","Dates=H","DateFormat=P","Fill=—","Direction=H","UseDPDF=Y")</f>
        <v>3252</v>
      </c>
      <c r="F65" s="12">
        <f>_xll.BDH("WMT US Equity","FREE_CASH_FLOW_EQUITY","FQ2 2017","FQ2 2017","Currency=USD","Period=FQ","BEST_FPERIOD_OVERRIDE=FQ","FILING_STATUS=MR","SCALING_FORMAT=MLN","Sort=A","Dates=H","DateFormat=P","Fill=—","Direction=H","UseDPDF=Y")</f>
        <v>4567</v>
      </c>
      <c r="G65" s="12">
        <f>_xll.BDH("WMT US Equity","FREE_CASH_FLOW_EQUITY","FQ3 2017","FQ3 2017","Currency=USD","Period=FQ","BEST_FPERIOD_OVERRIDE=FQ","FILING_STATUS=MR","SCALING_FORMAT=MLN","Sort=A","Dates=H","DateFormat=P","Fill=—","Direction=H","UseDPDF=Y")</f>
        <v>5682</v>
      </c>
      <c r="H65" s="12">
        <f>_xll.BDH("WMT US Equity","FREE_CASH_FLOW_EQUITY","FQ4 2017","FQ4 2017","Currency=USD","Period=FQ","BEST_FPERIOD_OVERRIDE=FQ","FILING_STATUS=MR","SCALING_FORMAT=MLN","Sort=A","Dates=H","DateFormat=P","Fill=—","Direction=H","UseDPDF=Y")</f>
        <v>4874</v>
      </c>
      <c r="I65" s="12">
        <f>_xll.BDH("WMT US Equity","FREE_CASH_FLOW_EQUITY","FQ1 2018","FQ1 2018","Currency=USD","Period=FQ","BEST_FPERIOD_OVERRIDE=FQ","FILING_STATUS=MR","SCALING_FORMAT=MLN","Sort=A","Dates=H","DateFormat=P","Fill=—","Direction=H","UseDPDF=Y")</f>
        <v>3560</v>
      </c>
      <c r="J65" s="12">
        <f>_xll.BDH("WMT US Equity","FREE_CASH_FLOW_EQUITY","FQ2 2018","FQ2 2018","Currency=USD","Period=FQ","BEST_FPERIOD_OVERRIDE=FQ","FILING_STATUS=MR","SCALING_FORMAT=MLN","Sort=A","Dates=H","DateFormat=P","Fill=—","Direction=H","UseDPDF=Y")</f>
        <v>3836</v>
      </c>
      <c r="K65" s="12">
        <f>_xll.BDH("WMT US Equity","FREE_CASH_FLOW_EQUITY","FQ3 2018","FQ3 2018","Currency=USD","Period=FQ","BEST_FPERIOD_OVERRIDE=FQ","FILING_STATUS=MR","SCALING_FORMAT=MLN","Sort=A","Dates=H","DateFormat=P","Fill=—","Direction=H","UseDPDF=Y")</f>
        <v>3611</v>
      </c>
      <c r="L65" s="12">
        <f>_xll.BDH("WMT US Equity","FREE_CASH_FLOW_EQUITY","FQ4 2018","FQ4 2018","Currency=USD","Period=FQ","BEST_FPERIOD_OVERRIDE=FQ","FILING_STATUS=MR","SCALING_FORMAT=MLN","Sort=A","Dates=H","DateFormat=P","Fill=—","Direction=H","UseDPDF=Y")</f>
        <v>6220</v>
      </c>
      <c r="M65" s="12">
        <f>_xll.BDH("WMT US Equity","FREE_CASH_FLOW_EQUITY","FQ1 2019","FQ1 2019","Currency=USD","Period=FQ","BEST_FPERIOD_OVERRIDE=FQ","FILING_STATUS=MR","SCALING_FORMAT=MLN","Sort=A","Dates=H","DateFormat=P","Fill=—","Direction=H","UseDPDF=Y")</f>
        <v>3521</v>
      </c>
      <c r="N65" s="12">
        <f>_xll.BDH("WMT US Equity","FREE_CASH_FLOW_EQUITY","FQ2 2019","FQ2 2019","Currency=USD","Period=FQ","BEST_FPERIOD_OVERRIDE=FQ","FILING_STATUS=MR","SCALING_FORMAT=MLN","Sort=A","Dates=H","DateFormat=P","Fill=—","Direction=H","UseDPDF=Y")</f>
        <v>11537</v>
      </c>
      <c r="O65" s="12">
        <f>_xll.BDH("WMT US Equity","FREE_CASH_FLOW_EQUITY","FQ3 2019","FQ3 2019","Currency=USD","Period=FQ","BEST_FPERIOD_OVERRIDE=FQ","FILING_STATUS=MR","SCALING_FORMAT=MLN","Sort=A","Dates=H","DateFormat=P","Fill=—","Direction=H","UseDPDF=Y")</f>
        <v>10956</v>
      </c>
      <c r="P65" s="12">
        <f>_xll.BDH("WMT US Equity","FREE_CASH_FLOW_EQUITY","FQ4 2019","FQ4 2019","Currency=USD","Period=FQ","BEST_FPERIOD_OVERRIDE=FQ","FILING_STATUS=MR","SCALING_FORMAT=MLN","Sort=A","Dates=H","DateFormat=P","Fill=—","Direction=H","UseDPDF=Y")</f>
        <v>3949</v>
      </c>
      <c r="Q65" s="12">
        <f>_xll.BDH("WMT US Equity","FREE_CASH_FLOW_EQUITY","FQ1 2020","FQ1 2020","Currency=USD","Period=FQ","BEST_FPERIOD_OVERRIDE=FQ","FILING_STATUS=MR","SCALING_FORMAT=MLN","Sort=A","Dates=H","DateFormat=P","Fill=—","Direction=H","UseDPDF=Y")</f>
        <v>4615</v>
      </c>
      <c r="R65" s="12">
        <f>_xll.BDH("WMT US Equity","FREE_CASH_FLOW_EQUITY","FQ2 2020","FQ2 2020","Currency=USD","Period=FQ","BEST_FPERIOD_OVERRIDE=FQ","FILING_STATUS=MR","SCALING_FORMAT=MLN","Sort=A","Dates=H","DateFormat=P","Fill=—","Direction=H","UseDPDF=Y")</f>
        <v>3876</v>
      </c>
      <c r="S65" s="12">
        <f>_xll.BDH("WMT US Equity","FREE_CASH_FLOW_EQUITY","FQ3 2020","FQ3 2020","Currency=USD","Period=FQ","BEST_FPERIOD_OVERRIDE=FQ","FILING_STATUS=MR","SCALING_FORMAT=MLN","Sort=A","Dates=H","DateFormat=P","Fill=—","Direction=H","UseDPDF=Y")</f>
        <v>1804</v>
      </c>
      <c r="T65" s="12">
        <f>_xll.BDH("WMT US Equity","FREE_CASH_FLOW_EQUITY","FQ4 2020","FQ4 2020","Currency=USD","Period=FQ","BEST_FPERIOD_OVERRIDE=FQ","FILING_STATUS=MR","SCALING_FORMAT=MLN","Sort=A","Dates=H","DateFormat=P","Fill=—","Direction=H","UseDPDF=Y")</f>
        <v>3505</v>
      </c>
      <c r="U65" s="12">
        <f>_xll.BDH("WMT US Equity","FREE_CASH_FLOW_EQUITY","FQ1 2021","FQ1 2021","Currency=USD","Period=FQ","BEST_FPERIOD_OVERRIDE=FQ","FILING_STATUS=MR","SCALING_FORMAT=MLN","Sort=A","Dates=H","DateFormat=P","Fill=—","Direction=H","UseDPDF=Y")</f>
        <v>8867</v>
      </c>
      <c r="V65" s="12">
        <f>_xll.BDH("WMT US Equity","FREE_CASH_FLOW_EQUITY","FQ2 2021","FQ2 2021","Currency=USD","Period=FQ","BEST_FPERIOD_OVERRIDE=FQ","FILING_STATUS=MR","SCALING_FORMAT=MLN","Sort=A","Dates=H","DateFormat=P","Fill=—","Direction=H","UseDPDF=Y")</f>
        <v>3488</v>
      </c>
      <c r="W65" s="12">
        <f>_xll.BDH("WMT US Equity","FREE_CASH_FLOW_EQUITY","FQ3 2021","FQ3 2021","Currency=USD","Period=FQ","BEST_FPERIOD_OVERRIDE=FQ","FILING_STATUS=MR","SCALING_FORMAT=MLN","Sort=A","Dates=H","DateFormat=P","Fill=—","Direction=H","UseDPDF=Y")</f>
        <v>-247</v>
      </c>
      <c r="X65" s="12">
        <f>_xll.BDH("WMT US Equity","FREE_CASH_FLOW_EQUITY","FQ4 2021","FQ4 2021","Currency=USD","Period=FQ","BEST_FPERIOD_OVERRIDE=FQ","FILING_STATUS=MR","SCALING_FORMAT=MLN","Sort=A","Dates=H","DateFormat=P","Fill=—","Direction=H","UseDPDF=Y")</f>
        <v>8211</v>
      </c>
      <c r="Y65" s="12">
        <f>_xll.BDH("WMT US Equity","FREE_CASH_FLOW_EQUITY","FQ1 2022","FQ1 2022","Currency=USD","Period=FQ","BEST_FPERIOD_OVERRIDE=FQ","FILING_STATUS=MR","SCALING_FORMAT=MLN","Sort=A","Dates=H","DateFormat=P","Fill=—","Direction=H","UseDPDF=Y")</f>
        <v>344</v>
      </c>
      <c r="Z65" s="12">
        <f>_xll.BDH("WMT US Equity","FREE_CASH_FLOW_EQUITY","FQ2 2022","FQ2 2022","Currency=USD","Period=FQ","BEST_FPERIOD_OVERRIDE=FQ","FILING_STATUS=MR","SCALING_FORMAT=MLN","Sort=A","Dates=H","DateFormat=P","Fill=—","Direction=H","UseDPDF=Y")</f>
        <v>4667</v>
      </c>
      <c r="AA65" s="12">
        <f>_xll.BDH("WMT US Equity","FREE_CASH_FLOW_EQUITY","FQ3 2022","FQ3 2022","Currency=USD","Period=FQ","BEST_FPERIOD_OVERRIDE=FQ","FILING_STATUS=MR","SCALING_FORMAT=MLN","Sort=A","Dates=H","DateFormat=P","Fill=—","Direction=H","UseDPDF=Y")</f>
        <v>-2855</v>
      </c>
      <c r="AB65" s="12">
        <f>_xll.BDH("WMT US Equity","FREE_CASH_FLOW_EQUITY","FQ4 2022","FQ4 2022","Currency=USD","Period=FQ","BEST_FPERIOD_OVERRIDE=FQ","FILING_STATUS=MR","SCALING_FORMAT=MLN","Sort=A","Dates=H","DateFormat=P","Fill=—","Direction=H","UseDPDF=Y")</f>
        <v>3441</v>
      </c>
      <c r="AC65" s="12">
        <f>_xll.BDH("WMT US Equity","FREE_CASH_FLOW_EQUITY","FQ1 2023","FQ1 2023","Currency=USD","Period=FQ","BEST_FPERIOD_OVERRIDE=FQ","FILING_STATUS=MR","SCALING_FORMAT=MLN","Sort=A","Dates=H","DateFormat=P","Fill=—","Direction=H","UseDPDF=Y")</f>
        <v>2807</v>
      </c>
      <c r="AD65" s="12">
        <f>_xll.BDH("WMT US Equity","FREE_CASH_FLOW_EQUITY","FQ2 2023","FQ2 2023","Currency=USD","Period=FQ","BEST_FPERIOD_OVERRIDE=FQ","FILING_STATUS=MR","SCALING_FORMAT=MLN","Sort=A","Dates=H","DateFormat=P","Fill=—","Direction=H","UseDPDF=Y")</f>
        <v>7804</v>
      </c>
      <c r="AE65" s="12">
        <f>_xll.BDH("WMT US Equity","FREE_CASH_FLOW_EQUITY","FQ3 2023","FQ3 2023","Currency=USD","Period=FQ","BEST_FPERIOD_OVERRIDE=FQ","FILING_STATUS=MR","SCALING_FORMAT=MLN","Sort=A","Dates=H","DateFormat=P","Fill=—","Direction=H","UseDPDF=Y")</f>
        <v>3133</v>
      </c>
      <c r="AF65" s="12">
        <f>_xll.BDH("WMT US Equity","FREE_CASH_FLOW_EQUITY","FQ4 2023","FQ4 2023","Currency=USD","Period=FQ","BEST_FPERIOD_OVERRIDE=FQ","FILING_STATUS=MR","SCALING_FORMAT=MLN","Sort=A","Dates=H","DateFormat=P","Fill=—","Direction=H","UseDPDF=Y")</f>
        <v>728</v>
      </c>
      <c r="AG65" s="12">
        <f>_xll.BDH("WMT US Equity","FREE_CASH_FLOW_EQUITY","FQ1 2024","FQ1 2024","Currency=USD","Period=FQ","BEST_FPERIOD_OVERRIDE=FQ","FILING_STATUS=MR","SCALING_FORMAT=MLN","Sort=A","Dates=H","DateFormat=P","Fill=—","Direction=H","UseDPDF=Y")</f>
        <v>4777</v>
      </c>
      <c r="AH65" s="12">
        <f>_xll.BDH("WMT US Equity","FREE_CASH_FLOW_EQUITY","FQ2 2024","FQ2 2024","Currency=USD","Period=FQ","BEST_FPERIOD_OVERRIDE=FQ","FILING_STATUS=MR","SCALING_FORMAT=MLN","Sort=A","Dates=H","DateFormat=P","Fill=—","Direction=H","UseDPDF=Y")</f>
        <v>9426</v>
      </c>
      <c r="AI65" s="12">
        <f>_xll.BDH("WMT US Equity","FREE_CASH_FLOW_EQUITY","FQ3 2024","FQ3 2024","Currency=USD","Period=FQ","BEST_FPERIOD_OVERRIDE=FQ","FILING_STATUS=MR","SCALING_FORMAT=MLN","Sort=A","Dates=H","DateFormat=P","Fill=—","Direction=H","UseDPDF=Y")</f>
        <v>637</v>
      </c>
      <c r="AJ65" s="12">
        <f>_xll.BDH("WMT US Equity","FREE_CASH_FLOW_EQUITY","FQ4 2024","FQ4 2024","Currency=USD","Period=FQ","BEST_FPERIOD_OVERRIDE=FQ","FILING_STATUS=MR","SCALING_FORMAT=MLN","Sort=A","Dates=H","DateFormat=P","Fill=—","Direction=H","UseDPDF=Y")</f>
        <v>1792</v>
      </c>
      <c r="AK65" s="12">
        <f>_xll.BDH("WMT US Equity","FREE_CASH_FLOW_EQUITY","FQ1 2025","FQ1 2025","Currency=USD","Period=FQ","BEST_FPERIOD_OVERRIDE=FQ","FILING_STATUS=MR","SCALING_FORMAT=MLN","Sort=A","Dates=H","DateFormat=P","Fill=—","Direction=H","UseDPDF=Y")</f>
        <v>2656</v>
      </c>
      <c r="AL65" s="12">
        <f>_xll.BDH("WMT US Equity","FREE_CASH_FLOW_EQUITY","FQ2 2025","FQ2 2025","Currency=USD","Period=FQ","BEST_FPERIOD_OVERRIDE=FQ","FILING_STATUS=MR","SCALING_FORMAT=MLN","Sort=A","Dates=H","DateFormat=P","Fill=—","Direction=H","UseDPDF=Y")</f>
        <v>2984</v>
      </c>
      <c r="AM65" s="12">
        <f>_xll.BDH("WMT US Equity","FREE_CASH_FLOW_EQUITY","FQ3 2025","FQ3 2025","Currency=USD","Period=FQ","BEST_FPERIOD_OVERRIDE=FQ","FILING_STATUS=MR","SCALING_FORMAT=MLN","Sort=A","Dates=H","DateFormat=P","Fill=—","Direction=H","UseDPDF=Y")</f>
        <v>803</v>
      </c>
      <c r="AN65" s="12">
        <f>_xll.BDH("WMT US Equity","FREE_CASH_FLOW_EQUITY","FQ4 2025","FQ4 2025","Currency=USD","Period=FQ","BEST_FPERIOD_OVERRIDE=FQ","FILING_STATUS=MR","SCALING_FORMAT=MLN","Sort=A","Dates=H","DateFormat=P","Fill=—","Direction=H","UseDPDF=Y")</f>
        <v>5393</v>
      </c>
      <c r="AO65" s="12">
        <f>_xll.BDH("WMT US Equity","FREE_CASH_FLOW_EQUITY","FQ1 2026","FQ1 2026","Currency=USD","Period=FQ","BEST_FPERIOD_OVERRIDE=FQ","FILING_STATUS=MR","SCALING_FORMAT=MLN","Sort=A","Dates=H","DateFormat=P","Fill=—","Direction=H","UseDPDF=Y")</f>
        <v>6954</v>
      </c>
      <c r="AP65" s="12">
        <f>_xll.BDH("WMT US Equity","FREE_CASH_FLOW_EQUITY","FQ2 2026","FQ2 2026","Currency=USD","Period=FQ","BEST_FPERIOD_OVERRIDE=FQ","FILING_STATUS=MR","SCALING_FORMAT=MLN","Sort=A","Dates=H","DateFormat=P","Fill=—","Direction=H","UseDPDF=Y")</f>
        <v>3897</v>
      </c>
    </row>
    <row r="66" spans="1:42" x14ac:dyDescent="0.3">
      <c r="A66" s="10" t="s">
        <v>146</v>
      </c>
      <c r="B66" s="10" t="s">
        <v>147</v>
      </c>
      <c r="C66" s="13">
        <f>_xll.BDH("WMT US Equity","FREE_CASH_FLOW_PER_SH","FQ3 2016","FQ3 2016","Currency=USD","Period=FQ","BEST_FPERIOD_OVERRIDE=FQ","FILING_STATUS=MR","Sort=A","Dates=H","DateFormat=P","Fill=—","Direction=H","UseDPDF=Y")</f>
        <v>0.17899999999999999</v>
      </c>
      <c r="D66" s="13">
        <f>_xll.BDH("WMT US Equity","FREE_CASH_FLOW_PER_SH","FQ4 2016","FQ4 2016","Currency=USD","Period=FQ","BEST_FPERIOD_OVERRIDE=FQ","FILING_STATUS=MR","Sort=A","Dates=H","DateFormat=P","Fill=—","Direction=H","UseDPDF=Y")</f>
        <v>0.97230000000000005</v>
      </c>
      <c r="E66" s="13">
        <f>_xll.BDH("WMT US Equity","FREE_CASH_FLOW_PER_SH","FQ1 2017","FQ1 2017","Currency=USD","Period=FQ","BEST_FPERIOD_OVERRIDE=FQ","FILING_STATUS=MR","Sort=A","Dates=H","DateFormat=P","Fill=—","Direction=H","UseDPDF=Y")</f>
        <v>0.4224</v>
      </c>
      <c r="F66" s="13">
        <f>_xll.BDH("WMT US Equity","FREE_CASH_FLOW_PER_SH","FQ2 2017","FQ2 2017","Currency=USD","Period=FQ","BEST_FPERIOD_OVERRIDE=FQ","FILING_STATUS=MR","Sort=A","Dates=H","DateFormat=P","Fill=—","Direction=H","UseDPDF=Y")</f>
        <v>0.67849999999999999</v>
      </c>
      <c r="G66" s="13">
        <f>_xll.BDH("WMT US Equity","FREE_CASH_FLOW_PER_SH","FQ3 2017","FQ3 2017","Currency=USD","Period=FQ","BEST_FPERIOD_OVERRIDE=FQ","FILING_STATUS=MR","Sort=A","Dates=H","DateFormat=P","Fill=—","Direction=H","UseDPDF=Y")</f>
        <v>0.21690000000000001</v>
      </c>
      <c r="H66" s="13">
        <f>_xll.BDH("WMT US Equity","FREE_CASH_FLOW_PER_SH","FQ4 2017","FQ4 2017","Currency=USD","Period=FQ","BEST_FPERIOD_OVERRIDE=FQ","FILING_STATUS=MR","Sort=A","Dates=H","DateFormat=P","Fill=—","Direction=H","UseDPDF=Y")</f>
        <v>0.91410000000000002</v>
      </c>
      <c r="I66" s="13">
        <f>_xll.BDH("WMT US Equity","FREE_CASH_FLOW_PER_SH","FQ1 2018","FQ1 2018","Currency=USD","Period=FQ","BEST_FPERIOD_OVERRIDE=FQ","FILING_STATUS=MR","Sort=A","Dates=H","DateFormat=P","Fill=—","Direction=H","UseDPDF=Y")</f>
        <v>0.37290000000000001</v>
      </c>
      <c r="J66" s="13">
        <f>_xll.BDH("WMT US Equity","FREE_CASH_FLOW_PER_SH","FQ2 2018","FQ2 2018","Currency=USD","Period=FQ","BEST_FPERIOD_OVERRIDE=FQ","FILING_STATUS=MR","Sort=A","Dates=H","DateFormat=P","Fill=—","Direction=H","UseDPDF=Y")</f>
        <v>0.39250000000000002</v>
      </c>
      <c r="K66" s="13">
        <f>_xll.BDH("WMT US Equity","FREE_CASH_FLOW_PER_SH","FQ3 2018","FQ3 2018","Currency=USD","Period=FQ","BEST_FPERIOD_OVERRIDE=FQ","FILING_STATUS=MR","Sort=A","Dates=H","DateFormat=P","Fill=—","Direction=H","UseDPDF=Y")</f>
        <v>0.35949999999999999</v>
      </c>
      <c r="L66" s="13">
        <f>_xll.BDH("WMT US Equity","FREE_CASH_FLOW_PER_SH","FQ4 2018","FQ4 2018","Currency=USD","Period=FQ","BEST_FPERIOD_OVERRIDE=FQ","FILING_STATUS=MR","Sort=A","Dates=H","DateFormat=P","Fill=—","Direction=H","UseDPDF=Y")</f>
        <v>0.9163</v>
      </c>
      <c r="M66" s="13">
        <f>_xll.BDH("WMT US Equity","FREE_CASH_FLOW_PER_SH","FQ1 2019","FQ1 2019","Currency=USD","Period=FQ","BEST_FPERIOD_OVERRIDE=FQ","FILING_STATUS=MR","Sort=A","Dates=H","DateFormat=P","Fill=—","Direction=H","UseDPDF=Y")</f>
        <v>0.37769999999999998</v>
      </c>
      <c r="N66" s="13">
        <f>_xll.BDH("WMT US Equity","FREE_CASH_FLOW_PER_SH","FQ2 2019","FQ2 2019","Currency=USD","Period=FQ","BEST_FPERIOD_OVERRIDE=FQ","FILING_STATUS=MR","Sort=A","Dates=H","DateFormat=P","Fill=—","Direction=H","UseDPDF=Y")</f>
        <v>0.3926</v>
      </c>
      <c r="O66" s="13">
        <f>_xll.BDH("WMT US Equity","FREE_CASH_FLOW_PER_SH","FQ3 2019","FQ3 2019","Currency=USD","Period=FQ","BEST_FPERIOD_OVERRIDE=FQ","FILING_STATUS=MR","Sort=A","Dates=H","DateFormat=P","Fill=—","Direction=H","UseDPDF=Y")</f>
        <v>0.39679999999999999</v>
      </c>
      <c r="P66" s="13">
        <f>_xll.BDH("WMT US Equity","FREE_CASH_FLOW_PER_SH","FQ4 2019","FQ4 2019","Currency=USD","Period=FQ","BEST_FPERIOD_OVERRIDE=FQ","FILING_STATUS=MR","Sort=A","Dates=H","DateFormat=P","Fill=—","Direction=H","UseDPDF=Y")</f>
        <v>0.81889999999999996</v>
      </c>
      <c r="Q66" s="13">
        <f>_xll.BDH("WMT US Equity","FREE_CASH_FLOW_PER_SH","FQ1 2020","FQ1 2020","Currency=USD","Period=FQ","BEST_FPERIOD_OVERRIDE=FQ","FILING_STATUS=MR","Sort=A","Dates=H","DateFormat=P","Fill=—","Direction=H","UseDPDF=Y")</f>
        <v>0.1578</v>
      </c>
      <c r="R66" s="13">
        <f>_xll.BDH("WMT US Equity","FREE_CASH_FLOW_PER_SH","FQ2 2020","FQ2 2020","Currency=USD","Period=FQ","BEST_FPERIOD_OVERRIDE=FQ","FILING_STATUS=MR","Sort=A","Dates=H","DateFormat=P","Fill=—","Direction=H","UseDPDF=Y")</f>
        <v>0.57899999999999996</v>
      </c>
      <c r="S66" s="13">
        <f>_xll.BDH("WMT US Equity","FREE_CASH_FLOW_PER_SH","FQ3 2020","FQ3 2020","Currency=USD","Period=FQ","BEST_FPERIOD_OVERRIDE=FQ","FILING_STATUS=MR","Sort=A","Dates=H","DateFormat=P","Fill=—","Direction=H","UseDPDF=Y")</f>
        <v>5.3900000000000003E-2</v>
      </c>
      <c r="T66" s="13">
        <f>_xll.BDH("WMT US Equity","FREE_CASH_FLOW_PER_SH","FQ4 2020","FQ4 2020","Currency=USD","Period=FQ","BEST_FPERIOD_OVERRIDE=FQ","FILING_STATUS=MR","Sort=A","Dates=H","DateFormat=P","Fill=—","Direction=H","UseDPDF=Y")</f>
        <v>0.91400000000000003</v>
      </c>
      <c r="U66" s="13">
        <f>_xll.BDH("WMT US Equity","FREE_CASH_FLOW_PER_SH","FQ1 2021","FQ1 2021","Currency=USD","Period=FQ","BEST_FPERIOD_OVERRIDE=FQ","FILING_STATUS=MR","Sort=A","Dates=H","DateFormat=P","Fill=—","Direction=H","UseDPDF=Y")</f>
        <v>0.61990000000000001</v>
      </c>
      <c r="V66" s="13">
        <f>_xll.BDH("WMT US Equity","FREE_CASH_FLOW_PER_SH","FQ2 2021","FQ2 2021","Currency=USD","Period=FQ","BEST_FPERIOD_OVERRIDE=FQ","FILING_STATUS=MR","Sort=A","Dates=H","DateFormat=P","Fill=—","Direction=H","UseDPDF=Y")</f>
        <v>1.1914</v>
      </c>
      <c r="W66" s="13">
        <f>_xll.BDH("WMT US Equity","FREE_CASH_FLOW_PER_SH","FQ3 2021","FQ3 2021","Currency=USD","Period=FQ","BEST_FPERIOD_OVERRIDE=FQ","FILING_STATUS=MR","Sort=A","Dates=H","DateFormat=P","Fill=—","Direction=H","UseDPDF=Y")</f>
        <v>0.1241</v>
      </c>
      <c r="X66" s="13">
        <f>_xll.BDH("WMT US Equity","FREE_CASH_FLOW_PER_SH","FQ4 2021","FQ4 2021","Currency=USD","Period=FQ","BEST_FPERIOD_OVERRIDE=FQ","FILING_STATUS=MR","Sort=A","Dates=H","DateFormat=P","Fill=—","Direction=H","UseDPDF=Y")</f>
        <v>1.105</v>
      </c>
      <c r="Y66" s="13">
        <f>_xll.BDH("WMT US Equity","FREE_CASH_FLOW_PER_SH","FQ1 2022","FQ1 2022","Currency=USD","Period=FQ","BEST_FPERIOD_OVERRIDE=FQ","FILING_STATUS=MR","Sort=A","Dates=H","DateFormat=P","Fill=—","Direction=H","UseDPDF=Y")</f>
        <v>7.6300000000000007E-2</v>
      </c>
      <c r="Z66" s="13">
        <f>_xll.BDH("WMT US Equity","FREE_CASH_FLOW_PER_SH","FQ2 2022","FQ2 2022","Currency=USD","Period=FQ","BEST_FPERIOD_OVERRIDE=FQ","FILING_STATUS=MR","Sort=A","Dates=H","DateFormat=P","Fill=—","Direction=H","UseDPDF=Y")</f>
        <v>0.80500000000000005</v>
      </c>
      <c r="AA66" s="13">
        <f>_xll.BDH("WMT US Equity","FREE_CASH_FLOW_PER_SH","FQ3 2022","FQ3 2022","Currency=USD","Period=FQ","BEST_FPERIOD_OVERRIDE=FQ","FILING_STATUS=MR","Sort=A","Dates=H","DateFormat=P","Fill=—","Direction=H","UseDPDF=Y")</f>
        <v>3.5799999999999998E-2</v>
      </c>
      <c r="AB66" s="13">
        <f>_xll.BDH("WMT US Equity","FREE_CASH_FLOW_PER_SH","FQ4 2022","FQ4 2022","Currency=USD","Period=FQ","BEST_FPERIOD_OVERRIDE=FQ","FILING_STATUS=MR","Sort=A","Dates=H","DateFormat=P","Fill=—","Direction=H","UseDPDF=Y")</f>
        <v>0.40589999999999998</v>
      </c>
      <c r="AC66" s="13">
        <f>_xll.BDH("WMT US Equity","FREE_CASH_FLOW_PER_SH","FQ1 2023","FQ1 2023","Currency=USD","Period=FQ","BEST_FPERIOD_OVERRIDE=FQ","FILING_STATUS=MR","Sort=A","Dates=H","DateFormat=P","Fill=—","Direction=H","UseDPDF=Y")</f>
        <v>-0.88319999999999999</v>
      </c>
      <c r="AD66" s="13">
        <f>_xll.BDH("WMT US Equity","FREE_CASH_FLOW_PER_SH","FQ2 2023","FQ2 2023","Currency=USD","Period=FQ","BEST_FPERIOD_OVERRIDE=FQ","FILING_STATUS=MR","Sort=A","Dates=H","DateFormat=P","Fill=—","Direction=H","UseDPDF=Y")</f>
        <v>1.1020000000000001</v>
      </c>
      <c r="AE66" s="13">
        <f>_xll.BDH("WMT US Equity","FREE_CASH_FLOW_PER_SH","FQ3 2023","FQ3 2023","Currency=USD","Period=FQ","BEST_FPERIOD_OVERRIDE=FQ","FILING_STATUS=MR","Sort=A","Dates=H","DateFormat=P","Fill=—","Direction=H","UseDPDF=Y")</f>
        <v>0.23230000000000001</v>
      </c>
      <c r="AF66" s="13">
        <f>_xll.BDH("WMT US Equity","FREE_CASH_FLOW_PER_SH","FQ4 2023","FQ4 2023","Currency=USD","Period=FQ","BEST_FPERIOD_OVERRIDE=FQ","FILING_STATUS=MR","Sort=A","Dates=H","DateFormat=P","Fill=—","Direction=H","UseDPDF=Y")</f>
        <v>1.032</v>
      </c>
      <c r="AG66" s="13">
        <f>_xll.BDH("WMT US Equity","FREE_CASH_FLOW_PER_SH","FQ1 2024","FQ1 2024","Currency=USD","Period=FQ","BEST_FPERIOD_OVERRIDE=FQ","FILING_STATUS=MR","Sort=A","Dates=H","DateFormat=P","Fill=—","Direction=H","UseDPDF=Y")</f>
        <v>2.52E-2</v>
      </c>
      <c r="AH66" s="13">
        <f>_xll.BDH("WMT US Equity","FREE_CASH_FLOW_PER_SH","FQ2 2024","FQ2 2024","Currency=USD","Period=FQ","BEST_FPERIOD_OVERRIDE=FQ","FILING_STATUS=MR","Sort=A","Dates=H","DateFormat=P","Fill=—","Direction=H","UseDPDF=Y")</f>
        <v>1.0869</v>
      </c>
      <c r="AI66" s="13">
        <f>_xll.BDH("WMT US Equity","FREE_CASH_FLOW_PER_SH","FQ3 2024","FQ3 2024","Currency=USD","Period=FQ","BEST_FPERIOD_OVERRIDE=FQ","FILING_STATUS=MR","Sort=A","Dates=H","DateFormat=P","Fill=—","Direction=H","UseDPDF=Y")</f>
        <v>-0.57489999999999997</v>
      </c>
      <c r="AJ66" s="13">
        <f>_xll.BDH("WMT US Equity","FREE_CASH_FLOW_PER_SH","FQ4 2024","FQ4 2024","Currency=USD","Period=FQ","BEST_FPERIOD_OVERRIDE=FQ","FILING_STATUS=MR","Sort=A","Dates=H","DateFormat=P","Fill=—","Direction=H","UseDPDF=Y")</f>
        <v>1.3358000000000001</v>
      </c>
      <c r="AK66" s="13">
        <f>_xll.BDH("WMT US Equity","FREE_CASH_FLOW_PER_SH","FQ1 2025","FQ1 2025","Currency=USD","Period=FQ","BEST_FPERIOD_OVERRIDE=FQ","FILING_STATUS=MR","Sort=A","Dates=H","DateFormat=P","Fill=—","Direction=H","UseDPDF=Y")</f>
        <v>-5.2999999999999999E-2</v>
      </c>
      <c r="AL66" s="13">
        <f>_xll.BDH("WMT US Equity","FREE_CASH_FLOW_PER_SH","FQ2 2025","FQ2 2025","Currency=USD","Period=FQ","BEST_FPERIOD_OVERRIDE=FQ","FILING_STATUS=MR","Sort=A","Dates=H","DateFormat=P","Fill=—","Direction=H","UseDPDF=Y")</f>
        <v>0.78029999999999999</v>
      </c>
      <c r="AM66" s="13">
        <f>_xll.BDH("WMT US Equity","FREE_CASH_FLOW_PER_SH","FQ3 2025","FQ3 2025","Currency=USD","Period=FQ","BEST_FPERIOD_OVERRIDE=FQ","FILING_STATUS=MR","Sort=A","Dates=H","DateFormat=P","Fill=—","Direction=H","UseDPDF=Y")</f>
        <v>4.6300000000000001E-2</v>
      </c>
      <c r="AN66" s="13">
        <f>_xll.BDH("WMT US Equity","FREE_CASH_FLOW_PER_SH","FQ4 2025","FQ4 2025","Currency=USD","Period=FQ","BEST_FPERIOD_OVERRIDE=FQ","FILING_STATUS=MR","Sort=A","Dates=H","DateFormat=P","Fill=—","Direction=H","UseDPDF=Y")</f>
        <v>0.80179999999999996</v>
      </c>
      <c r="AO66" s="13">
        <f>_xll.BDH("WMT US Equity","FREE_CASH_FLOW_PER_SH","FQ1 2026","FQ1 2026","Currency=USD","Period=FQ","BEST_FPERIOD_OVERRIDE=FQ","FILING_STATUS=MR","Sort=A","Dates=H","DateFormat=P","Fill=—","Direction=H","UseDPDF=Y")</f>
        <v>5.3100000000000001E-2</v>
      </c>
      <c r="AP66" s="13">
        <f>_xll.BDH("WMT US Equity","FREE_CASH_FLOW_PER_SH","FQ2 2026","FQ2 2026","Currency=USD","Period=FQ","BEST_FPERIOD_OVERRIDE=FQ","FILING_STATUS=MR","Sort=A","Dates=H","DateFormat=P","Fill=—","Direction=H","UseDPDF=Y")</f>
        <v>0.81699999999999995</v>
      </c>
    </row>
    <row r="67" spans="1:42" x14ac:dyDescent="0.3">
      <c r="A67" s="10" t="s">
        <v>148</v>
      </c>
      <c r="B67" s="10" t="s">
        <v>149</v>
      </c>
      <c r="C67" s="13">
        <f>_xll.BDH("WMT US Equity","PX_TO_FREE_CASH_FLOW","FQ3 2016","FQ3 2016","Currency=USD","Period=FQ","BEST_FPERIOD_OVERRIDE=FQ","FILING_STATUS=MR","Sort=A","Dates=H","DateFormat=P","Fill=—","Direction=H","UseDPDF=Y")</f>
        <v>11.5822</v>
      </c>
      <c r="D67" s="13">
        <f>_xll.BDH("WMT US Equity","PX_TO_FREE_CASH_FLOW","FQ4 2016","FQ4 2016","Currency=USD","Period=FQ","BEST_FPERIOD_OVERRIDE=FQ","FILING_STATUS=MR","Sort=A","Dates=H","DateFormat=P","Fill=—","Direction=H","UseDPDF=Y")</f>
        <v>13.213699999999999</v>
      </c>
      <c r="E67" s="13">
        <f>_xll.BDH("WMT US Equity","PX_TO_FREE_CASH_FLOW","FQ1 2017","FQ1 2017","Currency=USD","Period=FQ","BEST_FPERIOD_OVERRIDE=FQ","FILING_STATUS=MR","Sort=A","Dates=H","DateFormat=P","Fill=—","Direction=H","UseDPDF=Y")</f>
        <v>11.951700000000001</v>
      </c>
      <c r="F67" s="13">
        <f>_xll.BDH("WMT US Equity","PX_TO_FREE_CASH_FLOW","FQ2 2017","FQ2 2017","Currency=USD","Period=FQ","BEST_FPERIOD_OVERRIDE=FQ","FILING_STATUS=MR","Sort=A","Dates=H","DateFormat=P","Fill=—","Direction=H","UseDPDF=Y")</f>
        <v>10.8</v>
      </c>
      <c r="G67" s="13">
        <f>_xll.BDH("WMT US Equity","PX_TO_FREE_CASH_FLOW","FQ3 2017","FQ3 2017","Currency=USD","Period=FQ","BEST_FPERIOD_OVERRIDE=FQ","FILING_STATUS=MR","Sort=A","Dates=H","DateFormat=P","Fill=—","Direction=H","UseDPDF=Y")</f>
        <v>10.192</v>
      </c>
      <c r="H67" s="13">
        <f>_xll.BDH("WMT US Equity","PX_TO_FREE_CASH_FLOW","FQ4 2017","FQ4 2017","Currency=USD","Period=FQ","BEST_FPERIOD_OVERRIDE=FQ","FILING_STATUS=MR","Sort=A","Dates=H","DateFormat=P","Fill=—","Direction=H","UseDPDF=Y")</f>
        <v>9.9679000000000002</v>
      </c>
      <c r="I67" s="13">
        <f>_xll.BDH("WMT US Equity","PX_TO_FREE_CASH_FLOW","FQ1 2018","FQ1 2018","Currency=USD","Period=FQ","BEST_FPERIOD_OVERRIDE=FQ","FILING_STATUS=MR","Sort=A","Dates=H","DateFormat=P","Fill=—","Direction=H","UseDPDF=Y")</f>
        <v>11.4832</v>
      </c>
      <c r="J67" s="13">
        <f>_xll.BDH("WMT US Equity","PX_TO_FREE_CASH_FLOW","FQ2 2018","FQ2 2018","Currency=USD","Period=FQ","BEST_FPERIOD_OVERRIDE=FQ","FILING_STATUS=MR","Sort=A","Dates=H","DateFormat=P","Fill=—","Direction=H","UseDPDF=Y")</f>
        <v>14.0602</v>
      </c>
      <c r="K67" s="13">
        <f>_xll.BDH("WMT US Equity","PX_TO_FREE_CASH_FLOW","FQ3 2018","FQ3 2018","Currency=USD","Period=FQ","BEST_FPERIOD_OVERRIDE=FQ","FILING_STATUS=MR","Sort=A","Dates=H","DateFormat=P","Fill=—","Direction=H","UseDPDF=Y")</f>
        <v>14.2736</v>
      </c>
      <c r="L67" s="13">
        <f>_xll.BDH("WMT US Equity","PX_TO_FREE_CASH_FLOW","FQ4 2018","FQ4 2018","Currency=USD","Period=FQ","BEST_FPERIOD_OVERRIDE=FQ","FILING_STATUS=MR","Sort=A","Dates=H","DateFormat=P","Fill=—","Direction=H","UseDPDF=Y")</f>
        <v>17.408200000000001</v>
      </c>
      <c r="M67" s="13">
        <f>_xll.BDH("WMT US Equity","PX_TO_FREE_CASH_FLOW","FQ1 2019","FQ1 2019","Currency=USD","Period=FQ","BEST_FPERIOD_OVERRIDE=FQ","FILING_STATUS=MR","Sort=A","Dates=H","DateFormat=P","Fill=—","Direction=H","UseDPDF=Y")</f>
        <v>14.4115</v>
      </c>
      <c r="N67" s="13">
        <f>_xll.BDH("WMT US Equity","PX_TO_FREE_CASH_FLOW","FQ2 2019","FQ2 2019","Currency=USD","Period=FQ","BEST_FPERIOD_OVERRIDE=FQ","FILING_STATUS=MR","Sort=A","Dates=H","DateFormat=P","Fill=—","Direction=H","UseDPDF=Y")</f>
        <v>14.536199999999999</v>
      </c>
      <c r="O67" s="13">
        <f>_xll.BDH("WMT US Equity","PX_TO_FREE_CASH_FLOW","FQ3 2019","FQ3 2019","Currency=USD","Period=FQ","BEST_FPERIOD_OVERRIDE=FQ","FILING_STATUS=MR","Sort=A","Dates=H","DateFormat=P","Fill=—","Direction=H","UseDPDF=Y")</f>
        <v>16.043600000000001</v>
      </c>
      <c r="P67" s="13">
        <f>_xll.BDH("WMT US Equity","PX_TO_FREE_CASH_FLOW","FQ4 2019","FQ4 2019","Currency=USD","Period=FQ","BEST_FPERIOD_OVERRIDE=FQ","FILING_STATUS=MR","Sort=A","Dates=H","DateFormat=P","Fill=—","Direction=H","UseDPDF=Y")</f>
        <v>16.083100000000002</v>
      </c>
      <c r="Q67" s="13">
        <f>_xll.BDH("WMT US Equity","PX_TO_FREE_CASH_FLOW","FQ1 2020","FQ1 2020","Currency=USD","Period=FQ","BEST_FPERIOD_OVERRIDE=FQ","FILING_STATUS=MR","Sort=A","Dates=H","DateFormat=P","Fill=—","Direction=H","UseDPDF=Y")</f>
        <v>19.409099999999999</v>
      </c>
      <c r="R67" s="13">
        <f>_xll.BDH("WMT US Equity","PX_TO_FREE_CASH_FLOW","FQ2 2020","FQ2 2020","Currency=USD","Period=FQ","BEST_FPERIOD_OVERRIDE=FQ","FILING_STATUS=MR","Sort=A","Dates=H","DateFormat=P","Fill=—","Direction=H","UseDPDF=Y")</f>
        <v>18.843299999999999</v>
      </c>
      <c r="S67" s="13">
        <f>_xll.BDH("WMT US Equity","PX_TO_FREE_CASH_FLOW","FQ3 2020","FQ3 2020","Currency=USD","Period=FQ","BEST_FPERIOD_OVERRIDE=FQ","FILING_STATUS=MR","Sort=A","Dates=H","DateFormat=P","Fill=—","Direction=H","UseDPDF=Y")</f>
        <v>24.282</v>
      </c>
      <c r="T67" s="13">
        <f>_xll.BDH("WMT US Equity","PX_TO_FREE_CASH_FLOW","FQ4 2020","FQ4 2020","Currency=USD","Period=FQ","BEST_FPERIOD_OVERRIDE=FQ","FILING_STATUS=MR","Sort=A","Dates=H","DateFormat=P","Fill=—","Direction=H","UseDPDF=Y")</f>
        <v>22.386900000000001</v>
      </c>
      <c r="U67" s="13">
        <f>_xll.BDH("WMT US Equity","PX_TO_FREE_CASH_FLOW","FQ1 2021","FQ1 2021","Currency=USD","Period=FQ","BEST_FPERIOD_OVERRIDE=FQ","FILING_STATUS=MR","Sort=A","Dates=H","DateFormat=P","Fill=—","Direction=H","UseDPDF=Y")</f>
        <v>18.6983</v>
      </c>
      <c r="V67" s="13">
        <f>_xll.BDH("WMT US Equity","PX_TO_FREE_CASH_FLOW","FQ2 2021","FQ2 2021","Currency=USD","Period=FQ","BEST_FPERIOD_OVERRIDE=FQ","FILING_STATUS=MR","Sort=A","Dates=H","DateFormat=P","Fill=—","Direction=H","UseDPDF=Y")</f>
        <v>15.52</v>
      </c>
      <c r="W67" s="13">
        <f>_xll.BDH("WMT US Equity","PX_TO_FREE_CASH_FLOW","FQ3 2021","FQ3 2021","Currency=USD","Period=FQ","BEST_FPERIOD_OVERRIDE=FQ","FILING_STATUS=MR","Sort=A","Dates=H","DateFormat=P","Fill=—","Direction=H","UseDPDF=Y")</f>
        <v>16.2315</v>
      </c>
      <c r="X67" s="13">
        <f>_xll.BDH("WMT US Equity","PX_TO_FREE_CASH_FLOW","FQ4 2021","FQ4 2021","Currency=USD","Period=FQ","BEST_FPERIOD_OVERRIDE=FQ","FILING_STATUS=MR","Sort=A","Dates=H","DateFormat=P","Fill=—","Direction=H","UseDPDF=Y")</f>
        <v>15.4025</v>
      </c>
      <c r="Y67" s="13">
        <f>_xll.BDH("WMT US Equity","PX_TO_FREE_CASH_FLOW","FQ1 2022","FQ1 2022","Currency=USD","Period=FQ","BEST_FPERIOD_OVERRIDE=FQ","FILING_STATUS=MR","Sort=A","Dates=H","DateFormat=P","Fill=—","Direction=H","UseDPDF=Y")</f>
        <v>18.678899999999999</v>
      </c>
      <c r="Z67" s="13">
        <f>_xll.BDH("WMT US Equity","PX_TO_FREE_CASH_FLOW","FQ2 2022","FQ2 2022","Currency=USD","Period=FQ","BEST_FPERIOD_OVERRIDE=FQ","FILING_STATUS=MR","Sort=A","Dates=H","DateFormat=P","Fill=—","Direction=H","UseDPDF=Y")</f>
        <v>22.5153</v>
      </c>
      <c r="AA67" s="13">
        <f>_xll.BDH("WMT US Equity","PX_TO_FREE_CASH_FLOW","FQ3 2022","FQ3 2022","Currency=USD","Period=FQ","BEST_FPERIOD_OVERRIDE=FQ","FILING_STATUS=MR","Sort=A","Dates=H","DateFormat=P","Fill=—","Direction=H","UseDPDF=Y")</f>
        <v>24.631499999999999</v>
      </c>
      <c r="AB67" s="13">
        <f>_xll.BDH("WMT US Equity","PX_TO_FREE_CASH_FLOW","FQ4 2022","FQ4 2022","Currency=USD","Period=FQ","BEST_FPERIOD_OVERRIDE=FQ","FILING_STATUS=MR","Sort=A","Dates=H","DateFormat=P","Fill=—","Direction=H","UseDPDF=Y")</f>
        <v>35.225000000000001</v>
      </c>
      <c r="AC67" s="13">
        <f>_xll.BDH("WMT US Equity","PX_TO_FREE_CASH_FLOW","FQ1 2023","FQ1 2023","Currency=USD","Period=FQ","BEST_FPERIOD_OVERRIDE=FQ","FILING_STATUS=MR","Sort=A","Dates=H","DateFormat=P","Fill=—","Direction=H","UseDPDF=Y")</f>
        <v>140.27070000000001</v>
      </c>
      <c r="AD67" s="13">
        <f>_xll.BDH("WMT US Equity","PX_TO_FREE_CASH_FLOW","FQ2 2023","FQ2 2023","Currency=USD","Period=FQ","BEST_FPERIOD_OVERRIDE=FQ","FILING_STATUS=MR","Sort=A","Dates=H","DateFormat=P","Fill=—","Direction=H","UseDPDF=Y")</f>
        <v>66.643100000000004</v>
      </c>
      <c r="AE67" s="13">
        <f>_xll.BDH("WMT US Equity","PX_TO_FREE_CASH_FLOW","FQ3 2023","FQ3 2023","Currency=USD","Period=FQ","BEST_FPERIOD_OVERRIDE=FQ","FILING_STATUS=MR","Sort=A","Dates=H","DateFormat=P","Fill=—","Direction=H","UseDPDF=Y")</f>
        <v>55.362400000000001</v>
      </c>
      <c r="AF67" s="13">
        <f>_xll.BDH("WMT US Equity","PX_TO_FREE_CASH_FLOW","FQ4 2023","FQ4 2023","Currency=USD","Period=FQ","BEST_FPERIOD_OVERRIDE=FQ","FILING_STATUS=MR","Sort=A","Dates=H","DateFormat=P","Fill=—","Direction=H","UseDPDF=Y")</f>
        <v>32.336300000000001</v>
      </c>
      <c r="AG67" s="13">
        <f>_xll.BDH("WMT US Equity","PX_TO_FREE_CASH_FLOW","FQ1 2024","FQ1 2024","Currency=USD","Period=FQ","BEST_FPERIOD_OVERRIDE=FQ","FILING_STATUS=MR","Sort=A","Dates=H","DateFormat=P","Fill=—","Direction=H","UseDPDF=Y")</f>
        <v>21.0426</v>
      </c>
      <c r="AH67" s="13">
        <f>_xll.BDH("WMT US Equity","PX_TO_FREE_CASH_FLOW","FQ2 2024","FQ2 2024","Currency=USD","Period=FQ","BEST_FPERIOD_OVERRIDE=FQ","FILING_STATUS=MR","Sort=A","Dates=H","DateFormat=P","Fill=—","Direction=H","UseDPDF=Y")</f>
        <v>22.423100000000002</v>
      </c>
      <c r="AI67" s="13">
        <f>_xll.BDH("WMT US Equity","PX_TO_FREE_CASH_FLOW","FQ3 2024","FQ3 2024","Currency=USD","Period=FQ","BEST_FPERIOD_OVERRIDE=FQ","FILING_STATUS=MR","Sort=A","Dates=H","DateFormat=P","Fill=—","Direction=H","UseDPDF=Y")</f>
        <v>34.711799999999997</v>
      </c>
      <c r="AJ67" s="13">
        <f>_xll.BDH("WMT US Equity","PX_TO_FREE_CASH_FLOW","FQ4 2024","FQ4 2024","Currency=USD","Period=FQ","BEST_FPERIOD_OVERRIDE=FQ","FILING_STATUS=MR","Sort=A","Dates=H","DateFormat=P","Fill=—","Direction=H","UseDPDF=Y")</f>
        <v>29.409199999999998</v>
      </c>
      <c r="AK67" s="13">
        <f>_xll.BDH("WMT US Equity","PX_TO_FREE_CASH_FLOW","FQ1 2025","FQ1 2025","Currency=USD","Period=FQ","BEST_FPERIOD_OVERRIDE=FQ","FILING_STATUS=MR","Sort=A","Dates=H","DateFormat=P","Fill=—","Direction=H","UseDPDF=Y")</f>
        <v>33.069000000000003</v>
      </c>
      <c r="AL67" s="13">
        <f>_xll.BDH("WMT US Equity","PX_TO_FREE_CASH_FLOW","FQ2 2025","FQ2 2025","Currency=USD","Period=FQ","BEST_FPERIOD_OVERRIDE=FQ","FILING_STATUS=MR","Sort=A","Dates=H","DateFormat=P","Fill=—","Direction=H","UseDPDF=Y")</f>
        <v>46.123600000000003</v>
      </c>
      <c r="AM67" s="13">
        <f>_xll.BDH("WMT US Equity","PX_TO_FREE_CASH_FLOW","FQ3 2025","FQ3 2025","Currency=USD","Period=FQ","BEST_FPERIOD_OVERRIDE=FQ","FILING_STATUS=MR","Sort=A","Dates=H","DateFormat=P","Fill=—","Direction=H","UseDPDF=Y")</f>
        <v>38.849899999999998</v>
      </c>
      <c r="AN67" s="13">
        <f>_xll.BDH("WMT US Equity","PX_TO_FREE_CASH_FLOW","FQ4 2025","FQ4 2025","Currency=USD","Period=FQ","BEST_FPERIOD_OVERRIDE=FQ","FILING_STATUS=MR","Sort=A","Dates=H","DateFormat=P","Fill=—","Direction=H","UseDPDF=Y")</f>
        <v>62.306699999999999</v>
      </c>
      <c r="AO67" s="13">
        <f>_xll.BDH("WMT US Equity","PX_TO_FREE_CASH_FLOW","FQ1 2026","FQ1 2026","Currency=USD","Period=FQ","BEST_FPERIOD_OVERRIDE=FQ","FILING_STATUS=MR","Sort=A","Dates=H","DateFormat=P","Fill=—","Direction=H","UseDPDF=Y")</f>
        <v>57.835000000000001</v>
      </c>
      <c r="AP67" s="13">
        <f>_xll.BDH("WMT US Equity","PX_TO_FREE_CASH_FLOW","FQ2 2026","FQ2 2026","Currency=USD","Period=FQ","BEST_FPERIOD_OVERRIDE=FQ","FILING_STATUS=MR","Sort=A","Dates=H","DateFormat=P","Fill=—","Direction=H","UseDPDF=Y")</f>
        <v>57.025700000000001</v>
      </c>
    </row>
    <row r="68" spans="1:42" x14ac:dyDescent="0.3">
      <c r="A68" s="10" t="s">
        <v>150</v>
      </c>
      <c r="B68" s="10" t="s">
        <v>151</v>
      </c>
      <c r="C68" s="13">
        <f>_xll.BDH("WMT US Equity","CASH_FLOW_TO_NET_INC","FQ3 2016","FQ3 2016","Currency=USD","Period=FQ","BEST_FPERIOD_OVERRIDE=FQ","FILING_STATUS=MR","FA_ADJUSTED=GAAP","Sort=A","Dates=H","DateFormat=P","Fill=—","Direction=H","UseDPDF=Y")</f>
        <v>1.484</v>
      </c>
      <c r="D68" s="13">
        <f>_xll.BDH("WMT US Equity","CASH_FLOW_TO_NET_INC","FQ4 2016","FQ4 2016","Currency=USD","Period=FQ","BEST_FPERIOD_OVERRIDE=FQ","FILING_STATUS=MR","FA_ADJUSTED=GAAP","Sort=A","Dates=H","DateFormat=P","Fill=—","Direction=H","UseDPDF=Y")</f>
        <v>2.7431000000000001</v>
      </c>
      <c r="E68" s="13">
        <f>_xll.BDH("WMT US Equity","CASH_FLOW_TO_NET_INC","FQ1 2017","FQ1 2017","Currency=USD","Period=FQ","BEST_FPERIOD_OVERRIDE=FQ","FILING_STATUS=MR","FA_ADJUSTED=GAAP","Sort=A","Dates=H","DateFormat=P","Fill=—","Direction=H","UseDPDF=Y")</f>
        <v>2.0114000000000001</v>
      </c>
      <c r="F68" s="13">
        <f>_xll.BDH("WMT US Equity","CASH_FLOW_TO_NET_INC","FQ2 2017","FQ2 2017","Currency=USD","Period=FQ","BEST_FPERIOD_OVERRIDE=FQ","FILING_STATUS=MR","FA_ADJUSTED=GAAP","Sort=A","Dates=H","DateFormat=P","Fill=—","Direction=H","UseDPDF=Y")</f>
        <v>2.3159000000000001</v>
      </c>
      <c r="G68" s="13">
        <f>_xll.BDH("WMT US Equity","CASH_FLOW_TO_NET_INC","FQ3 2017","FQ3 2017","Currency=USD","Period=FQ","BEST_FPERIOD_OVERRIDE=FQ","FILING_STATUS=MR","FA_ADJUSTED=GAAP","Sort=A","Dates=H","DateFormat=P","Fill=—","Direction=H","UseDPDF=Y")</f>
        <v>1.5985</v>
      </c>
      <c r="H68" s="13">
        <f>_xll.BDH("WMT US Equity","CASH_FLOW_TO_NET_INC","FQ4 2017","FQ4 2017","Currency=USD","Period=FQ","BEST_FPERIOD_OVERRIDE=FQ","FILING_STATUS=MR","FA_ADJUSTED=GAAP","Sort=A","Dates=H","DateFormat=P","Fill=—","Direction=H","UseDPDF=Y")</f>
        <v>3.1652999999999998</v>
      </c>
      <c r="I68" s="13">
        <f>_xll.BDH("WMT US Equity","CASH_FLOW_TO_NET_INC","FQ1 2018","FQ1 2018","Currency=USD","Period=FQ","BEST_FPERIOD_OVERRIDE=FQ","FILING_STATUS=MR","FA_ADJUSTED=GAAP","Sort=A","Dates=H","DateFormat=P","Fill=—","Direction=H","UseDPDF=Y")</f>
        <v>1.772</v>
      </c>
      <c r="J68" s="13">
        <f>_xll.BDH("WMT US Equity","CASH_FLOW_TO_NET_INC","FQ2 2018","FQ2 2018","Currency=USD","Period=FQ","BEST_FPERIOD_OVERRIDE=FQ","FILING_STATUS=MR","FA_ADJUSTED=GAAP","Sort=A","Dates=H","DateFormat=P","Fill=—","Direction=H","UseDPDF=Y")</f>
        <v>2.0611000000000002</v>
      </c>
      <c r="K68" s="13">
        <f>_xll.BDH("WMT US Equity","CASH_FLOW_TO_NET_INC","FQ3 2018","FQ3 2018","Currency=USD","Period=FQ","BEST_FPERIOD_OVERRIDE=FQ","FILING_STATUS=MR","FA_ADJUSTED=GAAP","Sort=A","Dates=H","DateFormat=P","Fill=—","Direction=H","UseDPDF=Y")</f>
        <v>3.2589999999999999</v>
      </c>
      <c r="L68" s="13">
        <f>_xll.BDH("WMT US Equity","CASH_FLOW_TO_NET_INC","FQ4 2018","FQ4 2018","Currency=USD","Period=FQ","BEST_FPERIOD_OVERRIDE=FQ","FILING_STATUS=MR","FA_ADJUSTED=GAAP","Sort=A","Dates=H","DateFormat=P","Fill=—","Direction=H","UseDPDF=Y")</f>
        <v>5.1848000000000001</v>
      </c>
      <c r="M68" s="13">
        <f>_xll.BDH("WMT US Equity","CASH_FLOW_TO_NET_INC","FQ1 2019","FQ1 2019","Currency=USD","Period=FQ","BEST_FPERIOD_OVERRIDE=FQ","FILING_STATUS=MR","FA_ADJUSTED=GAAP","Sort=A","Dates=H","DateFormat=P","Fill=—","Direction=H","UseDPDF=Y")</f>
        <v>2.4184999999999999</v>
      </c>
      <c r="N68" s="13" t="str">
        <f>_xll.BDH("WMT US Equity","CASH_FLOW_TO_NET_INC","FQ2 2019","FQ2 2019","Currency=USD","Period=FQ","BEST_FPERIOD_OVERRIDE=FQ","FILING_STATUS=MR","FA_ADJUSTED=GAAP","Sort=A","Dates=H","DateFormat=P","Fill=—","Direction=H","UseDPDF=Y")</f>
        <v>—</v>
      </c>
      <c r="O68" s="13">
        <f>_xll.BDH("WMT US Equity","CASH_FLOW_TO_NET_INC","FQ3 2019","FQ3 2019","Currency=USD","Period=FQ","BEST_FPERIOD_OVERRIDE=FQ","FILING_STATUS=MR","FA_ADJUSTED=GAAP","Sort=A","Dates=H","DateFormat=P","Fill=—","Direction=H","UseDPDF=Y")</f>
        <v>3.6333000000000002</v>
      </c>
      <c r="P68" s="13">
        <f>_xll.BDH("WMT US Equity","CASH_FLOW_TO_NET_INC","FQ4 2019","FQ4 2019","Currency=USD","Period=FQ","BEST_FPERIOD_OVERRIDE=FQ","FILING_STATUS=MR","FA_ADJUSTED=GAAP","Sort=A","Dates=H","DateFormat=P","Fill=—","Direction=H","UseDPDF=Y")</f>
        <v>2.8329</v>
      </c>
      <c r="Q68" s="13">
        <f>_xll.BDH("WMT US Equity","CASH_FLOW_TO_NET_INC","FQ1 2020","FQ1 2020","Currency=USD","Period=FQ","BEST_FPERIOD_OVERRIDE=FQ","FILING_STATUS=MR","FA_ADJUSTED=GAAP","Sort=A","Dates=H","DateFormat=P","Fill=—","Direction=H","UseDPDF=Y")</f>
        <v>0.9274</v>
      </c>
      <c r="R68" s="13">
        <f>_xll.BDH("WMT US Equity","CASH_FLOW_TO_NET_INC","FQ2 2020","FQ2 2020","Currency=USD","Period=FQ","BEST_FPERIOD_OVERRIDE=FQ","FILING_STATUS=MR","FA_ADJUSTED=GAAP","Sort=A","Dates=H","DateFormat=P","Fill=—","Direction=H","UseDPDF=Y")</f>
        <v>2.1114000000000002</v>
      </c>
      <c r="S68" s="13">
        <f>_xll.BDH("WMT US Equity","CASH_FLOW_TO_NET_INC","FQ3 2020","FQ3 2020","Currency=USD","Period=FQ","BEST_FPERIOD_OVERRIDE=FQ","FILING_STATUS=MR","FA_ADJUSTED=GAAP","Sort=A","Dates=H","DateFormat=P","Fill=—","Direction=H","UseDPDF=Y")</f>
        <v>1.0201</v>
      </c>
      <c r="T68" s="13">
        <f>_xll.BDH("WMT US Equity","CASH_FLOW_TO_NET_INC","FQ4 2020","FQ4 2020","Currency=USD","Period=FQ","BEST_FPERIOD_OVERRIDE=FQ","FILING_STATUS=MR","FA_ADJUSTED=GAAP","Sort=A","Dates=H","DateFormat=P","Fill=—","Direction=H","UseDPDF=Y")</f>
        <v>2.5878000000000001</v>
      </c>
      <c r="U68" s="13">
        <f>_xll.BDH("WMT US Equity","CASH_FLOW_TO_NET_INC","FQ1 2021","FQ1 2021","Currency=USD","Period=FQ","BEST_FPERIOD_OVERRIDE=FQ","FILING_STATUS=MR","FA_ADJUSTED=GAAP","Sort=A","Dates=H","DateFormat=P","Fill=—","Direction=H","UseDPDF=Y")</f>
        <v>1.7585999999999999</v>
      </c>
      <c r="V68" s="13">
        <f>_xll.BDH("WMT US Equity","CASH_FLOW_TO_NET_INC","FQ2 2021","FQ2 2021","Currency=USD","Period=FQ","BEST_FPERIOD_OVERRIDE=FQ","FILING_STATUS=MR","FA_ADJUSTED=GAAP","Sort=A","Dates=H","DateFormat=P","Fill=—","Direction=H","UseDPDF=Y")</f>
        <v>1.8435999999999999</v>
      </c>
      <c r="W68" s="13">
        <f>_xll.BDH("WMT US Equity","CASH_FLOW_TO_NET_INC","FQ3 2021","FQ3 2021","Currency=USD","Period=FQ","BEST_FPERIOD_OVERRIDE=FQ","FILING_STATUS=MR","FA_ADJUSTED=GAAP","Sort=A","Dates=H","DateFormat=P","Fill=—","Direction=H","UseDPDF=Y")</f>
        <v>0.76419999999999999</v>
      </c>
      <c r="X68" s="13" t="str">
        <f>_xll.BDH("WMT US Equity","CASH_FLOW_TO_NET_INC","FQ4 2021","FQ4 2021","Currency=USD","Period=FQ","BEST_FPERIOD_OVERRIDE=FQ","FILING_STATUS=MR","FA_ADJUSTED=GAAP","Sort=A","Dates=H","DateFormat=P","Fill=—","Direction=H","UseDPDF=Y")</f>
        <v>—</v>
      </c>
      <c r="Y68" s="13">
        <f>_xll.BDH("WMT US Equity","CASH_FLOW_TO_NET_INC","FQ1 2022","FQ1 2022","Currency=USD","Period=FQ","BEST_FPERIOD_OVERRIDE=FQ","FILING_STATUS=MR","FA_ADJUSTED=GAAP","Sort=A","Dates=H","DateFormat=P","Fill=—","Direction=H","UseDPDF=Y")</f>
        <v>1.0468999999999999</v>
      </c>
      <c r="Z68" s="13">
        <f>_xll.BDH("WMT US Equity","CASH_FLOW_TO_NET_INC","FQ2 2022","FQ2 2022","Currency=USD","Period=FQ","BEST_FPERIOD_OVERRIDE=FQ","FILING_STATUS=MR","FA_ADJUSTED=GAAP","Sort=A","Dates=H","DateFormat=P","Fill=—","Direction=H","UseDPDF=Y")</f>
        <v>2.2368999999999999</v>
      </c>
      <c r="AA68" s="13">
        <f>_xll.BDH("WMT US Equity","CASH_FLOW_TO_NET_INC","FQ3 2022","FQ3 2022","Currency=USD","Period=FQ","BEST_FPERIOD_OVERRIDE=FQ","FILING_STATUS=MR","FA_ADJUSTED=GAAP","Sort=A","Dates=H","DateFormat=P","Fill=—","Direction=H","UseDPDF=Y")</f>
        <v>1.2457</v>
      </c>
      <c r="AB68" s="13">
        <f>_xll.BDH("WMT US Equity","CASH_FLOW_TO_NET_INC","FQ4 2022","FQ4 2022","Currency=USD","Period=FQ","BEST_FPERIOD_OVERRIDE=FQ","FILING_STATUS=MR","FA_ADJUSTED=GAAP","Sort=A","Dates=H","DateFormat=P","Fill=—","Direction=H","UseDPDF=Y")</f>
        <v>2.2149999999999999</v>
      </c>
      <c r="AC68" s="13">
        <f>_xll.BDH("WMT US Equity","CASH_FLOW_TO_NET_INC","FQ1 2023","FQ1 2023","Currency=USD","Period=FQ","BEST_FPERIOD_OVERRIDE=FQ","FILING_STATUS=MR","FA_ADJUSTED=GAAP","Sort=A","Dates=H","DateFormat=P","Fill=—","Direction=H","UseDPDF=Y")</f>
        <v>-1.8295999999999999</v>
      </c>
      <c r="AD68" s="13">
        <f>_xll.BDH("WMT US Equity","CASH_FLOW_TO_NET_INC","FQ2 2023","FQ2 2023","Currency=USD","Period=FQ","BEST_FPERIOD_OVERRIDE=FQ","FILING_STATUS=MR","FA_ADJUSTED=GAAP","Sort=A","Dates=H","DateFormat=P","Fill=—","Direction=H","UseDPDF=Y")</f>
        <v>2.5244</v>
      </c>
      <c r="AE68" s="13" t="str">
        <f>_xll.BDH("WMT US Equity","CASH_FLOW_TO_NET_INC","FQ3 2023","FQ3 2023","Currency=USD","Period=FQ","BEST_FPERIOD_OVERRIDE=FQ","FILING_STATUS=MR","FA_ADJUSTED=GAAP","Sort=A","Dates=H","DateFormat=P","Fill=—","Direction=H","UseDPDF=Y")</f>
        <v>—</v>
      </c>
      <c r="AF68" s="13">
        <f>_xll.BDH("WMT US Equity","CASH_FLOW_TO_NET_INC","FQ4 2023","FQ4 2023","Currency=USD","Period=FQ","BEST_FPERIOD_OVERRIDE=FQ","FILING_STATUS=MR","FA_ADJUSTED=GAAP","Sort=A","Dates=H","DateFormat=P","Fill=—","Direction=H","UseDPDF=Y")</f>
        <v>2.0945</v>
      </c>
      <c r="AG68" s="13">
        <f>_xll.BDH("WMT US Equity","CASH_FLOW_TO_NET_INC","FQ1 2024","FQ1 2024","Currency=USD","Period=FQ","BEST_FPERIOD_OVERRIDE=FQ","FILING_STATUS=MR","FA_ADJUSTED=GAAP","Sort=A","Dates=H","DateFormat=P","Fill=—","Direction=H","UseDPDF=Y")</f>
        <v>2.7692999999999999</v>
      </c>
      <c r="AH68" s="13">
        <f>_xll.BDH("WMT US Equity","CASH_FLOW_TO_NET_INC","FQ2 2024","FQ2 2024","Currency=USD","Period=FQ","BEST_FPERIOD_OVERRIDE=FQ","FILING_STATUS=MR","FA_ADJUSTED=GAAP","Sort=A","Dates=H","DateFormat=P","Fill=—","Direction=H","UseDPDF=Y")</f>
        <v>1.7194</v>
      </c>
      <c r="AI68" s="13">
        <f>_xll.BDH("WMT US Equity","CASH_FLOW_TO_NET_INC","FQ3 2024","FQ3 2024","Currency=USD","Period=FQ","BEST_FPERIOD_OVERRIDE=FQ","FILING_STATUS=MR","FA_ADJUSTED=GAAP","Sort=A","Dates=H","DateFormat=P","Fill=—","Direction=H","UseDPDF=Y")</f>
        <v>1.7947</v>
      </c>
      <c r="AJ68" s="13">
        <f>_xll.BDH("WMT US Equity","CASH_FLOW_TO_NET_INC","FQ4 2024","FQ4 2024","Currency=USD","Period=FQ","BEST_FPERIOD_OVERRIDE=FQ","FILING_STATUS=MR","FA_ADJUSTED=GAAP","Sort=A","Dates=H","DateFormat=P","Fill=—","Direction=H","UseDPDF=Y")</f>
        <v>3.0419</v>
      </c>
      <c r="AK68" s="13">
        <f>_xll.BDH("WMT US Equity","CASH_FLOW_TO_NET_INC","FQ1 2025","FQ1 2025","Currency=USD","Period=FQ","BEST_FPERIOD_OVERRIDE=FQ","FILING_STATUS=MR","FA_ADJUSTED=GAAP","Sort=A","Dates=H","DateFormat=P","Fill=—","Direction=H","UseDPDF=Y")</f>
        <v>0.83250000000000002</v>
      </c>
      <c r="AL68" s="13">
        <f>_xll.BDH("WMT US Equity","CASH_FLOW_TO_NET_INC","FQ2 2025","FQ2 2025","Currency=USD","Period=FQ","BEST_FPERIOD_OVERRIDE=FQ","FILING_STATUS=MR","FA_ADJUSTED=GAAP","Sort=A","Dates=H","DateFormat=P","Fill=—","Direction=H","UseDPDF=Y")</f>
        <v>2.6901000000000002</v>
      </c>
      <c r="AM68" s="13">
        <f>_xll.BDH("WMT US Equity","CASH_FLOW_TO_NET_INC","FQ3 2025","FQ3 2025","Currency=USD","Period=FQ","BEST_FPERIOD_OVERRIDE=FQ","FILING_STATUS=MR","FA_ADJUSTED=GAAP","Sort=A","Dates=H","DateFormat=P","Fill=—","Direction=H","UseDPDF=Y")</f>
        <v>1.4335</v>
      </c>
      <c r="AN68" s="13">
        <f>_xll.BDH("WMT US Equity","CASH_FLOW_TO_NET_INC","FQ4 2025","FQ4 2025","Currency=USD","Period=FQ","BEST_FPERIOD_OVERRIDE=FQ","FILING_STATUS=MR","FA_ADJUSTED=GAAP","Sort=A","Dates=H","DateFormat=P","Fill=—","Direction=H","UseDPDF=Y")</f>
        <v>2.5741999999999998</v>
      </c>
      <c r="AO68" s="13">
        <f>_xll.BDH("WMT US Equity","CASH_FLOW_TO_NET_INC","FQ1 2026","FQ1 2026","Currency=USD","Period=FQ","BEST_FPERIOD_OVERRIDE=FQ","FILING_STATUS=MR","FA_ADJUSTED=GAAP","Sort=A","Dates=H","DateFormat=P","Fill=—","Direction=H","UseDPDF=Y")</f>
        <v>1.2059</v>
      </c>
      <c r="AP68" s="13">
        <f>_xll.BDH("WMT US Equity","CASH_FLOW_TO_NET_INC","FQ2 2026","FQ2 2026","Currency=USD","Period=FQ","BEST_FPERIOD_OVERRIDE=FQ","FILING_STATUS=MR","FA_ADJUSTED=GAAP","Sort=A","Dates=H","DateFormat=P","Fill=—","Direction=H","UseDPDF=Y")</f>
        <v>1.8419000000000001</v>
      </c>
    </row>
    <row r="69" spans="1:42" x14ac:dyDescent="0.3">
      <c r="A69" s="7" t="s">
        <v>152</v>
      </c>
      <c r="B69" s="7"/>
      <c r="C69" s="7" t="s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Nguyen Minh</cp:lastModifiedBy>
  <dcterms:created xsi:type="dcterms:W3CDTF">2013-04-03T15:49:21Z</dcterms:created>
  <dcterms:modified xsi:type="dcterms:W3CDTF">2025-10-13T08:04:05Z</dcterms:modified>
</cp:coreProperties>
</file>