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OneDrive\Desktop\My carrer\My_project\BWIN\"/>
    </mc:Choice>
  </mc:AlternateContent>
  <xr:revisionPtr revIDLastSave="0" documentId="8_{461E2C7D-911D-4260-8C12-096383468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 statement" sheetId="2" r:id="rId1"/>
  </sheet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3" i="2" l="1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</calcChain>
</file>

<file path=xl/sharedStrings.xml><?xml version="1.0" encoding="utf-8"?>
<sst xmlns="http://schemas.openxmlformats.org/spreadsheetml/2006/main" count="230" uniqueCount="189">
  <si>
    <t>Revenue</t>
  </si>
  <si>
    <t>Gross Profit</t>
  </si>
  <si>
    <t>Reference Items</t>
  </si>
  <si>
    <t>Right click to show data transparency (not supported for all values)</t>
  </si>
  <si>
    <t>Walmart Inc (WMT US) - BBG GAAP</t>
  </si>
  <si>
    <t>In Millions of USD except Per Share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</si>
  <si>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</si>
  <si>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</si>
  <si>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</si>
  <si>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</si>
  <si>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</si>
  <si>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</si>
  <si>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</si>
  <si>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</si>
  <si>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</si>
  <si>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</si>
  <si>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</si>
  <si>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</si>
  <si>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</si>
  <si>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</si>
  <si>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</si>
  <si>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</si>
  <si>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</si>
  <si>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</si>
  <si>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</si>
  <si>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</si>
  <si>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</si>
  <si>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</si>
  <si>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</si>
  <si>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</si>
  <si>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</si>
  <si>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</si>
  <si>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</si>
  <si>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</si>
  <si>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</si>
  <si>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</si>
  <si>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</si>
  <si>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</si>
  <si>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</si>
  <si>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</si>
  <si>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</si>
  <si>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</si>
  <si>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</si>
  <si>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</si>
  <si>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 Est</t>
  </si>
  <si>
    <t>Q4 2026 Est</t>
  </si>
  <si>
    <t>3 Months Ending</t>
  </si>
  <si>
    <t>04/30/2016</t>
  </si>
  <si>
    <t>07/31/2016</t>
  </si>
  <si>
    <t>10/31/2016</t>
  </si>
  <si>
    <t>01/31/2017</t>
  </si>
  <si>
    <t>04/30/2017</t>
  </si>
  <si>
    <t>07/31/2017</t>
  </si>
  <si>
    <t>10/31/2017</t>
  </si>
  <si>
    <t>01/31/2018</t>
  </si>
  <si>
    <t>04/30/2018</t>
  </si>
  <si>
    <t>07/31/2018</t>
  </si>
  <si>
    <t>10/31/2018</t>
  </si>
  <si>
    <t>01/31/2019</t>
  </si>
  <si>
    <t>04/30/2019</t>
  </si>
  <si>
    <t>07/31/2019</t>
  </si>
  <si>
    <t>10/31/2019</t>
  </si>
  <si>
    <t>01/31/2020</t>
  </si>
  <si>
    <t>04/30/2020</t>
  </si>
  <si>
    <t>07/31/2020</t>
  </si>
  <si>
    <t>10/31/2020</t>
  </si>
  <si>
    <t>01/31/2021</t>
  </si>
  <si>
    <t>04/30/2021</t>
  </si>
  <si>
    <t>07/31/2021</t>
  </si>
  <si>
    <t>10/31/2021</t>
  </si>
  <si>
    <t>01/31/2022</t>
  </si>
  <si>
    <t>04/30/2022</t>
  </si>
  <si>
    <t>07/31/2022</t>
  </si>
  <si>
    <t>10/31/2022</t>
  </si>
  <si>
    <t>01/31/2023</t>
  </si>
  <si>
    <t>04/30/2023</t>
  </si>
  <si>
    <t>07/31/2023</t>
  </si>
  <si>
    <t>10/31/2023</t>
  </si>
  <si>
    <t>01/31/2024</t>
  </si>
  <si>
    <t>04/30/2024</t>
  </si>
  <si>
    <t>07/31/2024</t>
  </si>
  <si>
    <t>10/31/2024</t>
  </si>
  <si>
    <t>01/31/2025</t>
  </si>
  <si>
    <t>04/30/2025</t>
  </si>
  <si>
    <t>07/31/2025</t>
  </si>
  <si>
    <t>10/31/2025</t>
  </si>
  <si>
    <t>01/31/2026</t>
  </si>
  <si>
    <t>SALES_REV_TURN</t>
  </si>
  <si>
    <t>IS_SALES_AND_SERVICES_REVENUES</t>
  </si>
  <si>
    <t>IS_OTHER_REVENUE</t>
  </si>
  <si>
    <t>IS_COGS_TO_FE_AND_PP_AND_G</t>
  </si>
  <si>
    <t>IS_COG_AND_SERVICES_SOLD</t>
  </si>
  <si>
    <t>GROSS_PROFIT</t>
  </si>
  <si>
    <t>IS_OTHER_OPER_INC</t>
  </si>
  <si>
    <t>IS_OPERATING_EXPN</t>
  </si>
  <si>
    <t>IS_SGA_EXPENSE</t>
  </si>
  <si>
    <t>IS_OPER_EXPENSES_RD_GAAP</t>
  </si>
  <si>
    <t>OTHER_OPERATING_EXPENSES_RATIO</t>
  </si>
  <si>
    <t>Operating Income (Loss)</t>
  </si>
  <si>
    <t>IS_OPER_INC</t>
  </si>
  <si>
    <t>NONOP_INCOME_LOSS</t>
  </si>
  <si>
    <t>IS_NET_INTEREST_EXPENSE</t>
  </si>
  <si>
    <t>IS_INT_EXPENSE</t>
  </si>
  <si>
    <t>IS_INT_INC</t>
  </si>
  <si>
    <t>OTHER_NONOP_INCOME_LOSS</t>
  </si>
  <si>
    <t>Pretax Income</t>
  </si>
  <si>
    <t>PRETAX_INC</t>
  </si>
  <si>
    <t>IS_INC_TAX_EXP</t>
  </si>
  <si>
    <t>Income (Loss) from Cont Ops</t>
  </si>
  <si>
    <t>IS_INC_BEF_XO_ITEM</t>
  </si>
  <si>
    <t>XO_GL_NET_OF_TAX</t>
  </si>
  <si>
    <t>IS_DISCONTINUED_OPERATIONS</t>
  </si>
  <si>
    <t>EXTRAORD_ITEMS_ACCOUNTING_CHANGS</t>
  </si>
  <si>
    <t>Income (Loss) Incl. MI</t>
  </si>
  <si>
    <t>NI_INCLUDING_MINORITY_INT_RATIO</t>
  </si>
  <si>
    <t>MIN_NONCONTROL_INTEREST_CREDITS</t>
  </si>
  <si>
    <t>Net Income, GAAP</t>
  </si>
  <si>
    <t>NET_INCOME</t>
  </si>
  <si>
    <t>IS_TOT_CASH_PFD_DVD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</si>
  <si>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</si>
  <si>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</si>
  <si>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</si>
  <si>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</si>
  <si>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</si>
  <si>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</si>
  <si>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</si>
  <si>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</si>
  <si>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</si>
  <si>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</si>
  <si>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</si>
  <si>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</si>
  <si>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</si>
  <si>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</si>
  <si>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</si>
  <si>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</si>
  <si>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</si>
  <si>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</si>
  <si>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</si>
  <si>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</si>
  <si>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</si>
  <si>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</si>
  <si>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</si>
  <si>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</si>
  <si>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</si>
  <si>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</si>
  <si>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</si>
  <si>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</si>
  <si>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</si>
  <si>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</si>
  <si>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</si>
  <si>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</si>
  <si>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</si>
  <si>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</si>
  <si>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</si>
  <si>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</si>
  <si>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</si>
  <si>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</si>
  <si>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</si>
  <si>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</si>
  <si>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</si>
  <si>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</si>
  <si>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</si>
  <si>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</si>
  <si>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</si>
  <si>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</si>
  <si>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Rental Expense</t>
  </si>
  <si>
    <t>BS_CURR_RENTAL_EXPENSE</t>
  </si>
  <si>
    <t>Source: Bloomberg</t>
  </si>
  <si>
    <t xml:space="preserve">     Sales &amp; Services Revenue</t>
  </si>
  <si>
    <t xml:space="preserve">     Other Revenue</t>
  </si>
  <si>
    <t xml:space="preserve">     Cost of Goods &amp; Services</t>
  </si>
  <si>
    <t xml:space="preserve">   Other Operating Income</t>
  </si>
  <si>
    <t xml:space="preserve">     Selling, General &amp; Admin</t>
  </si>
  <si>
    <t xml:space="preserve">     Research &amp; Development</t>
  </si>
  <si>
    <t xml:space="preserve">     Other Operating Expense</t>
  </si>
  <si>
    <t xml:space="preserve">     Interest Expense, Net</t>
  </si>
  <si>
    <t xml:space="preserve">     Interest Expense</t>
  </si>
  <si>
    <t xml:space="preserve">     Discontinued Operations</t>
  </si>
  <si>
    <t xml:space="preserve">     XO &amp; Accounting Changes</t>
  </si>
  <si>
    <t xml:space="preserve">   Cost of Revenue</t>
  </si>
  <si>
    <t xml:space="preserve">   Operating Expenses</t>
  </si>
  <si>
    <t xml:space="preserve">   NonOperating (Income) Loss</t>
  </si>
  <si>
    <t xml:space="preserve">     Interest Income</t>
  </si>
  <si>
    <t xml:space="preserve">     Other NonOp (Income) Loss</t>
  </si>
  <si>
    <t xml:space="preserve">   Income Tax Expense (Benefit)</t>
  </si>
  <si>
    <t xml:space="preserve">   Net Extraordinary Losses (Gains)</t>
  </si>
  <si>
    <t xml:space="preserve">   Minority Interest</t>
  </si>
  <si>
    <t xml:space="preserve">   Preferred Dividends</t>
  </si>
  <si>
    <t xml:space="preserve">   Other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</si>
</sst>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164" fontId="11" fillId="34" borderId="2">
      <alignment horizontal="right"/>
    </xf>
  </cellStyleXfs>
  <cellXfs count="19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5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4" fontId="1" fillId="34" borderId="2" xfId="54">
      <alignment horizontal="right"/>
    </xf>
    <xf numFmtId="4" fontId="1" fillId="34" borderId="2" xfId="55">
      <alignment horizontal="right"/>
    </xf>
    <xf numFmtId="3" fontId="8" fillId="34" borderId="2" xfId="56">
      <alignment horizontal="right"/>
    </xf>
    <xf numFmtId="164" fontId="8" fillId="34" borderId="2" xfId="57">
      <alignment horizontal="right"/>
    </xf>
    <xf numFmtId="4" fontId="8" fillId="34" borderId="2" xfId="58">
      <alignment horizontal="right"/>
    </xf>
    <xf numFmtId="164" fontId="11" fillId="34" borderId="2" xfId="59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BDH|10523046462834430861</stp>
        <tr r="D54" s="2"/>
      </tp>
      <tp t="e">
        <v>#N/A</v>
        <stp/>
        <stp>BDH|11272224555058267466</stp>
        <tr r="Q18" s="2"/>
      </tp>
      <tp t="e">
        <v>#N/A</v>
        <stp/>
        <stp>BDH|17651293760160953975</stp>
        <tr r="AE20" s="2"/>
      </tp>
      <tp t="e">
        <v>#N/A</v>
        <stp/>
        <stp>BDH|10312871201585101746</stp>
        <tr r="R43" s="2"/>
      </tp>
      <tp t="e">
        <v>#N/A</v>
        <stp/>
        <stp>BDH|10732324477658774655</stp>
        <tr r="W60" s="2"/>
      </tp>
      <tp t="e">
        <v>#N/A</v>
        <stp/>
        <stp>BDH|11820408034249987553</stp>
        <tr r="AG42" s="2"/>
      </tp>
      <tp t="e">
        <v>#N/A</v>
        <stp/>
        <stp>BDH|12207101688194360594</stp>
        <tr r="O59" s="2"/>
      </tp>
      <tp t="e">
        <v>#N/A</v>
        <stp/>
        <stp>BDH|10220195438449556158</stp>
        <tr r="AB8" s="2"/>
      </tp>
      <tp t="e">
        <v>#N/A</v>
        <stp/>
        <stp>BDH|15440756277836027954</stp>
        <tr r="F55" s="2"/>
      </tp>
      <tp t="e">
        <v>#N/A</v>
        <stp/>
        <stp>BDH|13113002573158975683</stp>
        <tr r="N57" s="2"/>
      </tp>
      <tp t="e">
        <v>#N/A</v>
        <stp/>
        <stp>BDH|11017907033685882493</stp>
        <tr r="S55" s="2"/>
      </tp>
      <tp t="e">
        <v>#N/A</v>
        <stp/>
        <stp>BDH|11645852878937911307</stp>
        <tr r="AE38" s="2"/>
        <tr r="AE26" s="2"/>
      </tp>
      <tp t="e">
        <v>#N/A</v>
        <stp/>
        <stp>BDH|17160894518556496266</stp>
        <tr r="AD57" s="2"/>
      </tp>
      <tp t="e">
        <v>#N/A</v>
        <stp/>
        <stp>BDH|12638548525159374662</stp>
        <tr r="C61" s="2"/>
      </tp>
      <tp t="e">
        <v>#N/A</v>
        <stp/>
        <stp>BDH|12125704560781686857</stp>
        <tr r="AC33" s="2"/>
      </tp>
      <tp t="e">
        <v>#N/A</v>
        <stp/>
        <stp>BDH|14792769580211018030</stp>
        <tr r="S12" s="2"/>
      </tp>
      <tp t="e">
        <v>#N/A</v>
        <stp/>
        <stp>BDH|17200419277726582836</stp>
        <tr r="AN20" s="2"/>
      </tp>
      <tp t="e">
        <v>#N/A</v>
        <stp/>
        <stp>BDH|16500918666387599455</stp>
        <tr r="P56" s="2"/>
      </tp>
      <tp t="e">
        <v>#N/A</v>
        <stp/>
        <stp>BDH|12526611051532133961</stp>
        <tr r="X41" s="2"/>
      </tp>
      <tp t="e">
        <v>#N/A</v>
        <stp/>
        <stp>BDH|13944393030499518009</stp>
        <tr r="Z31" s="2"/>
      </tp>
      <tp t="e">
        <v>#N/A</v>
        <stp/>
        <stp>BDH|16533812313940457566</stp>
        <tr r="L62" s="2"/>
      </tp>
      <tp t="e">
        <v>#N/A</v>
        <stp/>
        <stp>BDH|13275344741597559970</stp>
        <tr r="N52" s="2"/>
      </tp>
      <tp t="e">
        <v>#N/A</v>
        <stp/>
        <stp>BDH|10519123785915532628</stp>
        <tr r="AC22" s="2"/>
      </tp>
      <tp t="e">
        <v>#N/A</v>
        <stp/>
        <stp>BDH|15912393606115307906</stp>
        <tr r="D9" s="2"/>
      </tp>
      <tp t="e">
        <v>#N/A</v>
        <stp/>
        <stp>BDH|17162311346712729859</stp>
        <tr r="V57" s="2"/>
      </tp>
      <tp t="e">
        <v>#N/A</v>
        <stp/>
        <stp>BDH|13184932182060288865</stp>
        <tr r="AM56" s="2"/>
      </tp>
      <tp t="e">
        <v>#N/A</v>
        <stp/>
        <stp>BDH|11657680683516821329</stp>
        <tr r="AC9" s="2"/>
      </tp>
      <tp t="e">
        <v>#N/A</v>
        <stp/>
        <stp>BDH|12154440393492602778</stp>
        <tr r="Y13" s="2"/>
      </tp>
      <tp t="e">
        <v>#N/A</v>
        <stp/>
        <stp>BDH|16807899660373094160</stp>
        <tr r="AH6" s="2"/>
      </tp>
      <tp t="e">
        <v>#N/A</v>
        <stp/>
        <stp>BDH|12914908871957824175</stp>
        <tr r="AA18" s="2"/>
      </tp>
      <tp t="e">
        <v>#N/A</v>
        <stp/>
        <stp>BDH|13430927956884738115</stp>
        <tr r="H13" s="2"/>
      </tp>
      <tp t="e">
        <v>#N/A</v>
        <stp/>
        <stp>BDH|10557467457529330219</stp>
        <tr r="AN46" s="2"/>
      </tp>
      <tp t="e">
        <v>#N/A</v>
        <stp/>
        <stp>BDH|13019293557107395940</stp>
        <tr r="J28" s="2"/>
      </tp>
      <tp t="e">
        <v>#N/A</v>
        <stp/>
        <stp>BDH|18338828159548778768</stp>
        <tr r="M58" s="2"/>
      </tp>
      <tp t="e">
        <v>#N/A</v>
        <stp/>
        <stp>BDH|11902145292110304347</stp>
        <tr r="E41" s="2"/>
      </tp>
      <tp t="e">
        <v>#N/A</v>
        <stp/>
        <stp>BDH|12226300445339750682</stp>
        <tr r="C54" s="2"/>
      </tp>
      <tp t="e">
        <v>#N/A</v>
        <stp/>
        <stp>BDH|15223096322009074416</stp>
        <tr r="X19" s="2"/>
      </tp>
      <tp t="e">
        <v>#N/A</v>
        <stp/>
        <stp>BDH|17527754999621598270</stp>
        <tr r="C10" s="2"/>
      </tp>
      <tp t="e">
        <v>#N/A</v>
        <stp/>
        <stp>BDH|13294698344983200867</stp>
        <tr r="W13" s="2"/>
      </tp>
      <tp t="e">
        <v>#N/A</v>
        <stp/>
        <stp>BDH|11243888781103563858</stp>
        <tr r="O29" s="2"/>
      </tp>
      <tp t="e">
        <v>#N/A</v>
        <stp/>
        <stp>BDH|12648900579626595000</stp>
        <tr r="AH36" s="2"/>
      </tp>
      <tp t="e">
        <v>#N/A</v>
        <stp/>
        <stp>BDH|18328091401393912189</stp>
        <tr r="P43" s="2"/>
      </tp>
      <tp t="e">
        <v>#N/A</v>
        <stp/>
        <stp>BDH|17468631459446043842</stp>
        <tr r="G57" s="2"/>
      </tp>
      <tp t="e">
        <v>#N/A</v>
        <stp/>
        <stp>BDH|17316559109779530108</stp>
        <tr r="AL17" s="2"/>
      </tp>
      <tp t="e">
        <v>#N/A</v>
        <stp/>
        <stp>BDH|10417883287272696806</stp>
        <tr r="AG59" s="2"/>
      </tp>
      <tp t="e">
        <v>#N/A</v>
        <stp/>
        <stp>BDH|12641489911189384419</stp>
        <tr r="G24" s="2"/>
      </tp>
      <tp t="e">
        <v>#N/A</v>
        <stp/>
        <stp>BDH|18161198674927438358</stp>
        <tr r="AL43" s="2"/>
      </tp>
      <tp t="e">
        <v>#N/A</v>
        <stp/>
        <stp>BDH|16865562062528551743</stp>
        <tr r="AL7" s="2"/>
      </tp>
      <tp t="e">
        <v>#N/A</v>
        <stp/>
        <stp>BDH|16676388500739661659</stp>
        <tr r="U15" s="2"/>
      </tp>
      <tp t="e">
        <v>#N/A</v>
        <stp/>
        <stp>BDH|12906998251393907740</stp>
        <tr r="N33" s="2"/>
      </tp>
      <tp t="e">
        <v>#N/A</v>
        <stp/>
        <stp>BDH|10335619058878642101</stp>
        <tr r="R45" s="2"/>
      </tp>
      <tp t="e">
        <v>#N/A</v>
        <stp/>
        <stp>BDH|14427108127105677899</stp>
        <tr r="H20" s="2"/>
      </tp>
      <tp t="e">
        <v>#N/A</v>
        <stp/>
        <stp>BDH|12125894253931415403</stp>
        <tr r="W20" s="2"/>
      </tp>
      <tp t="e">
        <v>#N/A</v>
        <stp/>
        <stp>BDH|10105877854844421391</stp>
        <tr r="AI46" s="2"/>
      </tp>
      <tp t="e">
        <v>#N/A</v>
        <stp/>
        <stp>BDH|16079851058190140131</stp>
        <tr r="X6" s="2"/>
      </tp>
      <tp t="e">
        <v>#N/A</v>
        <stp/>
        <stp>BDH|17474820317336847266</stp>
        <tr r="AD45" s="2"/>
      </tp>
      <tp t="e">
        <v>#N/A</v>
        <stp/>
        <stp>BDH|17540303079469433075</stp>
        <tr r="S37" s="2"/>
      </tp>
      <tp t="e">
        <v>#N/A</v>
        <stp/>
        <stp>BDH|16073498079379922676</stp>
        <tr r="V16" s="2"/>
      </tp>
      <tp t="e">
        <v>#N/A</v>
        <stp/>
        <stp>BDH|12107517668922050964</stp>
        <tr r="U61" s="2"/>
      </tp>
      <tp t="e">
        <v>#N/A</v>
        <stp/>
        <stp>BDH|13636760371598977164</stp>
        <tr r="AG16" s="2"/>
      </tp>
      <tp t="e">
        <v>#N/A</v>
        <stp/>
        <stp>BDH|10573507786092530478</stp>
        <tr r="O13" s="2"/>
      </tp>
      <tp t="e">
        <v>#N/A</v>
        <stp/>
        <stp>BDH|16788790533091801843</stp>
        <tr r="U25" s="2"/>
      </tp>
      <tp t="e">
        <v>#N/A</v>
        <stp/>
        <stp>BDH|11159717337918569637</stp>
        <tr r="AF43" s="2"/>
      </tp>
      <tp t="e">
        <v>#N/A</v>
        <stp/>
        <stp>BDH|12548386492080749399</stp>
        <tr r="AG21" s="2"/>
      </tp>
      <tp t="e">
        <v>#N/A</v>
        <stp/>
        <stp>BDH|14646641509251289883</stp>
        <tr r="Y6" s="2"/>
      </tp>
      <tp t="e">
        <v>#N/A</v>
        <stp/>
        <stp>BDH|12157755484731629770</stp>
        <tr r="U34" s="2"/>
      </tp>
      <tp t="e">
        <v>#N/A</v>
        <stp/>
        <stp>BDH|16631077087907671205</stp>
        <tr r="H22" s="2"/>
      </tp>
      <tp t="e">
        <v>#N/A</v>
        <stp/>
        <stp>BDH|15686880246777171596</stp>
        <tr r="AG12" s="2"/>
      </tp>
      <tp t="e">
        <v>#N/A</v>
        <stp/>
        <stp>BDH|10503158912378086326</stp>
        <tr r="AL31" s="2"/>
      </tp>
      <tp t="e">
        <v>#N/A</v>
        <stp/>
        <stp>BDH|13258635490222633548</stp>
        <tr r="I48" s="2"/>
      </tp>
      <tp t="e">
        <v>#N/A</v>
        <stp/>
        <stp>BDH|13796771784147640014</stp>
        <tr r="V10" s="2"/>
      </tp>
      <tp t="e">
        <v>#N/A</v>
        <stp/>
        <stp>BDH|14464890008570206747</stp>
        <tr r="AI12" s="2"/>
      </tp>
      <tp t="e">
        <v>#N/A</v>
        <stp/>
        <stp>BDH|14097632970977181902</stp>
        <tr r="AD59" s="2"/>
      </tp>
      <tp t="e">
        <v>#N/A</v>
        <stp/>
        <stp>BDH|13039095849344492863</stp>
        <tr r="AH61" s="2"/>
      </tp>
      <tp t="e">
        <v>#N/A</v>
        <stp/>
        <stp>BDH|11009345726712284926</stp>
        <tr r="D14" s="2"/>
      </tp>
      <tp t="e">
        <v>#N/A</v>
        <stp/>
        <stp>BDH|10205871623806136724</stp>
        <tr r="C34" s="2"/>
      </tp>
      <tp t="e">
        <v>#N/A</v>
        <stp/>
        <stp>BDH|15294078862979210104</stp>
        <tr r="P10" s="2"/>
      </tp>
      <tp t="e">
        <v>#N/A</v>
        <stp/>
        <stp>BDH|16665764915722442940</stp>
        <tr r="E20" s="2"/>
      </tp>
      <tp t="e">
        <v>#N/A</v>
        <stp/>
        <stp>BDH|14378889360893685289</stp>
        <tr r="AF58" s="2"/>
      </tp>
      <tp t="e">
        <v>#N/A</v>
        <stp/>
        <stp>BDH|14326845610074497269</stp>
        <tr r="AE63" s="2"/>
      </tp>
      <tp t="e">
        <v>#N/A</v>
        <stp/>
        <stp>BDH|18362563857847377459</stp>
        <tr r="V46" s="2"/>
      </tp>
      <tp t="e">
        <v>#N/A</v>
        <stp/>
        <stp>BDH|14002368080500962482</stp>
        <tr r="W15" s="2"/>
      </tp>
      <tp t="e">
        <v>#N/A</v>
        <stp/>
        <stp>BDH|12425241691733086161</stp>
        <tr r="E24" s="2"/>
      </tp>
      <tp t="e">
        <v>#N/A</v>
        <stp/>
        <stp>BDH|11347638425108221602</stp>
        <tr r="D21" s="2"/>
      </tp>
      <tp t="e">
        <v>#N/A</v>
        <stp/>
        <stp>BDH|13284640702257209919</stp>
        <tr r="Z7" s="2"/>
      </tp>
      <tp t="e">
        <v>#N/A</v>
        <stp/>
        <stp>BDH|15037902123423070640</stp>
        <tr r="J20" s="2"/>
      </tp>
      <tp t="e">
        <v>#N/A</v>
        <stp/>
        <stp>BDH|14849322536157303894</stp>
        <tr r="AN31" s="2"/>
      </tp>
      <tp t="e">
        <v>#N/A</v>
        <stp/>
        <stp>BDH|13007320191473302165</stp>
        <tr r="R34" s="2"/>
      </tp>
      <tp t="e">
        <v>#N/A</v>
        <stp/>
        <stp>BDH|17931537286755254483</stp>
        <tr r="AK8" s="2"/>
      </tp>
      <tp t="e">
        <v>#N/A</v>
        <stp/>
        <stp>BDH|15058589448629288646</stp>
        <tr r="AL59" s="2"/>
      </tp>
      <tp t="e">
        <v>#N/A</v>
        <stp/>
        <stp>BDH|16563899978006964440</stp>
        <tr r="C55" s="2"/>
      </tp>
      <tp t="e">
        <v>#N/A</v>
        <stp/>
        <stp>BDH|17746285870428451122</stp>
        <tr r="AE30" s="2"/>
      </tp>
      <tp t="e">
        <v>#N/A</v>
        <stp/>
        <stp>BDH|17070793991801127319</stp>
        <tr r="O56" s="2"/>
      </tp>
      <tp t="e">
        <v>#N/A</v>
        <stp/>
        <stp>BDH|18077192347864701226</stp>
        <tr r="H63" s="2"/>
      </tp>
      <tp t="e">
        <v>#N/A</v>
        <stp/>
        <stp>BDH|14442073871299011194</stp>
        <tr r="D36" s="2"/>
      </tp>
      <tp t="e">
        <v>#N/A</v>
        <stp/>
        <stp>BDH|17651059608085695978</stp>
        <tr r="F11" s="2"/>
      </tp>
      <tp t="e">
        <v>#N/A</v>
        <stp/>
        <stp>BDH|12010377650966864928</stp>
        <tr r="G6" s="2"/>
      </tp>
      <tp t="e">
        <v>#N/A</v>
        <stp/>
        <stp>BDH|13505350041899522681</stp>
        <tr r="D15" s="2"/>
      </tp>
      <tp t="e">
        <v>#N/A</v>
        <stp/>
        <stp>BDH|12084981097370033939</stp>
        <tr r="K60" s="2"/>
      </tp>
      <tp t="e">
        <v>#N/A</v>
        <stp/>
        <stp>BDH|18269041789278507363</stp>
        <tr r="AM29" s="2"/>
      </tp>
      <tp t="e">
        <v>#N/A</v>
        <stp/>
        <stp>BDH|18363062344882676581</stp>
        <tr r="AK19" s="2"/>
      </tp>
      <tp t="e">
        <v>#N/A</v>
        <stp/>
        <stp>BDH|15209739211771841972</stp>
        <tr r="J58" s="2"/>
      </tp>
      <tp t="e">
        <v>#N/A</v>
        <stp/>
        <stp>BDH|10150199882140448214</stp>
        <tr r="AF18" s="2"/>
      </tp>
      <tp t="e">
        <v>#N/A</v>
        <stp/>
        <stp>BDH|17921777023149154031</stp>
        <tr r="C22" s="2"/>
      </tp>
      <tp t="e">
        <v>#N/A</v>
        <stp/>
        <stp>BDH|14203106568219746138</stp>
        <tr r="U7" s="2"/>
      </tp>
      <tp t="e">
        <v>#N/A</v>
        <stp/>
        <stp>BDH|13412312586626580582</stp>
        <tr r="R9" s="2"/>
      </tp>
      <tp t="e">
        <v>#N/A</v>
        <stp/>
        <stp>BDH|17710258771230866953</stp>
        <tr r="AN42" s="2"/>
      </tp>
      <tp t="e">
        <v>#N/A</v>
        <stp/>
        <stp>BDH|17246925955919368988</stp>
        <tr r="AK13" s="2"/>
      </tp>
      <tp t="e">
        <v>#N/A</v>
        <stp/>
        <stp>BDH|10493054799980153275</stp>
        <tr r="R20" s="2"/>
      </tp>
      <tp t="e">
        <v>#N/A</v>
        <stp/>
        <stp>BDH|15447000260933458814</stp>
        <tr r="S30" s="2"/>
      </tp>
      <tp t="e">
        <v>#N/A</v>
        <stp/>
        <stp>BDH|14870396597141110762</stp>
        <tr r="I46" s="2"/>
      </tp>
      <tp t="e">
        <v>#N/A</v>
        <stp/>
        <stp>BDH|13281847356815110303</stp>
        <tr r="S11" s="2"/>
      </tp>
      <tp t="e">
        <v>#N/A</v>
        <stp/>
        <stp>BDH|17081487758707902990</stp>
        <tr r="AK21" s="2"/>
      </tp>
      <tp t="e">
        <v>#N/A</v>
        <stp/>
        <stp>BDH|10677328125791145803</stp>
        <tr r="L11" s="2"/>
      </tp>
      <tp t="e">
        <v>#N/A</v>
        <stp/>
        <stp>BDH|10498809503264027470</stp>
        <tr r="K57" s="2"/>
      </tp>
      <tp t="e">
        <v>#N/A</v>
        <stp/>
        <stp>BDH|12867053843178950677</stp>
        <tr r="T56" s="2"/>
      </tp>
      <tp t="e">
        <v>#N/A</v>
        <stp/>
        <stp>BDH|16455350681244946195</stp>
        <tr r="K63" s="2"/>
      </tp>
      <tp t="e">
        <v>#N/A</v>
        <stp/>
        <stp>BDH|15437409721898639334</stp>
        <tr r="AH48" s="2"/>
      </tp>
      <tp t="e">
        <v>#N/A</v>
        <stp/>
        <stp>BDH|15764731260174583821</stp>
        <tr r="AK7" s="2"/>
      </tp>
      <tp t="e">
        <v>#N/A</v>
        <stp/>
        <stp>BDH|12033525281716847188</stp>
        <tr r="Q12" s="2"/>
      </tp>
      <tp t="e">
        <v>#N/A</v>
        <stp/>
        <stp>BDH|16415412291433120069</stp>
        <tr r="P13" s="2"/>
      </tp>
      <tp t="e">
        <v>#N/A</v>
        <stp/>
        <stp>BDH|15156527880487881789</stp>
        <tr r="S54" s="2"/>
      </tp>
      <tp t="e">
        <v>#N/A</v>
        <stp/>
        <stp>BDH|14452974058645970509</stp>
        <tr r="D33" s="2"/>
      </tp>
      <tp t="e">
        <v>#N/A</v>
        <stp/>
        <stp>BDH|15940712788056681442</stp>
        <tr r="M56" s="2"/>
      </tp>
      <tp t="e">
        <v>#N/A</v>
        <stp/>
        <stp>BDH|16205645288346872642</stp>
        <tr r="E38" s="2"/>
        <tr r="E26" s="2"/>
      </tp>
      <tp t="e">
        <v>#N/A</v>
        <stp/>
        <stp>BDH|11204832332263311124</stp>
        <tr r="D55" s="2"/>
      </tp>
      <tp t="e">
        <v>#N/A</v>
        <stp/>
        <stp>BDH|17613569186401216316</stp>
        <tr r="W28" s="2"/>
      </tp>
      <tp t="e">
        <v>#N/A</v>
        <stp/>
        <stp>BDH|11176140157438715509</stp>
        <tr r="AF23" s="2"/>
      </tp>
      <tp t="e">
        <v>#N/A</v>
        <stp/>
        <stp>BDH|10695896907284800450</stp>
        <tr r="M40" s="2"/>
      </tp>
      <tp t="e">
        <v>#N/A</v>
        <stp/>
        <stp>BDH|11725247940026201944</stp>
        <tr r="N18" s="2"/>
      </tp>
      <tp t="e">
        <v>#N/A</v>
        <stp/>
        <stp>BDH|11505193089403499356</stp>
        <tr r="O27" s="2"/>
      </tp>
      <tp t="e">
        <v>#N/A</v>
        <stp/>
        <stp>BDH|10256373113712549877</stp>
        <tr r="Y29" s="2"/>
      </tp>
      <tp t="e">
        <v>#N/A</v>
        <stp/>
        <stp>BDH|17643277467898235331</stp>
        <tr r="E46" s="2"/>
      </tp>
      <tp t="e">
        <v>#N/A</v>
        <stp/>
        <stp>BDH|11786528635227292852</stp>
        <tr r="O55" s="2"/>
      </tp>
      <tp t="e">
        <v>#N/A</v>
        <stp/>
        <stp>BDH|13989101982114841642</stp>
        <tr r="AH54" s="2"/>
      </tp>
      <tp t="e">
        <v>#N/A</v>
        <stp/>
        <stp>BDH|18182548452485448543</stp>
        <tr r="X61" s="2"/>
      </tp>
      <tp t="e">
        <v>#N/A</v>
        <stp/>
        <stp>BDH|11542808140492508779</stp>
        <tr r="F27" s="2"/>
      </tp>
      <tp t="e">
        <v>#N/A</v>
        <stp/>
        <stp>BDH|17468293703104847910</stp>
        <tr r="AE53" s="2"/>
      </tp>
      <tp t="e">
        <v>#N/A</v>
        <stp/>
        <stp>BDH|12317833471782591725</stp>
        <tr r="AN55" s="2"/>
      </tp>
      <tp t="e">
        <v>#N/A</v>
        <stp/>
        <stp>BDH|14061495188397387740</stp>
        <tr r="AM22" s="2"/>
      </tp>
      <tp t="e">
        <v>#N/A</v>
        <stp/>
        <stp>BDH|15123415184926517770</stp>
        <tr r="F48" s="2"/>
      </tp>
      <tp t="e">
        <v>#N/A</v>
        <stp/>
        <stp>BDH|17121800071429384952</stp>
        <tr r="G60" s="2"/>
      </tp>
      <tp t="e">
        <v>#N/A</v>
        <stp/>
        <stp>BDH|16661234505008449427</stp>
        <tr r="R7" s="2"/>
      </tp>
      <tp t="e">
        <v>#N/A</v>
        <stp/>
        <stp>BDH|12027309527489436258</stp>
        <tr r="I62" s="2"/>
      </tp>
      <tp t="e">
        <v>#N/A</v>
        <stp/>
        <stp>BDH|11909967963760631637</stp>
        <tr r="Z30" s="2"/>
      </tp>
      <tp t="e">
        <v>#N/A</v>
        <stp/>
        <stp>BDH|16093782540274522953</stp>
        <tr r="Q29" s="2"/>
      </tp>
      <tp t="e">
        <v>#N/A</v>
        <stp/>
        <stp>BDH|14390643383270860243</stp>
        <tr r="W56" s="2"/>
      </tp>
      <tp t="e">
        <v>#N/A</v>
        <stp/>
        <stp>BDH|16553699494102062309</stp>
        <tr r="U6" s="2"/>
      </tp>
      <tp t="e">
        <v>#N/A</v>
        <stp/>
        <stp>BDH|16976215681101282539</stp>
        <tr r="C52" s="2"/>
      </tp>
      <tp t="e">
        <v>#N/A</v>
        <stp/>
        <stp>BDH|15358999377273369068</stp>
        <tr r="S47" s="2"/>
      </tp>
      <tp t="e">
        <v>#N/A</v>
        <stp/>
        <stp>BDH|16092827618850242705</stp>
        <tr r="T43" s="2"/>
      </tp>
      <tp t="e">
        <v>#N/A</v>
        <stp/>
        <stp>BDH|14037160894666392299</stp>
        <tr r="AI8" s="2"/>
      </tp>
      <tp t="e">
        <v>#N/A</v>
        <stp/>
        <stp>BDH|13425915641156868073</stp>
        <tr r="AG60" s="2"/>
      </tp>
      <tp t="e">
        <v>#N/A</v>
        <stp/>
        <stp>BDH|11562973422430917221</stp>
        <tr r="O18" s="2"/>
      </tp>
      <tp t="e">
        <v>#N/A</v>
        <stp/>
        <stp>BDH|17290996434446314363</stp>
        <tr r="AA54" s="2"/>
      </tp>
      <tp t="e">
        <v>#N/A</v>
        <stp/>
        <stp>BDH|12444771432797259995</stp>
        <tr r="R25" s="2"/>
      </tp>
      <tp t="e">
        <v>#N/A</v>
        <stp/>
        <stp>BDH|14306812979626316524</stp>
        <tr r="AF56" s="2"/>
      </tp>
      <tp t="e">
        <v>#N/A</v>
        <stp/>
        <stp>BDH|14434955149364364515</stp>
        <tr r="AG9" s="2"/>
      </tp>
      <tp t="e">
        <v>#N/A</v>
        <stp/>
        <stp>BDH|17632450788590099365</stp>
        <tr r="Q33" s="2"/>
      </tp>
      <tp t="e">
        <v>#N/A</v>
        <stp/>
        <stp>BDH|10179862528923540170</stp>
        <tr r="I54" s="2"/>
      </tp>
      <tp t="e">
        <v>#N/A</v>
        <stp/>
        <stp>BDH|13254050898672503071</stp>
        <tr r="O57" s="2"/>
      </tp>
      <tp t="e">
        <v>#N/A</v>
        <stp/>
        <stp>BDH|17226491981320473325</stp>
        <tr r="AN41" s="2"/>
      </tp>
      <tp t="e">
        <v>#N/A</v>
        <stp/>
        <stp>BDH|11896938587768208023</stp>
        <tr r="AJ56" s="2"/>
      </tp>
      <tp t="e">
        <v>#N/A</v>
        <stp/>
        <stp>BDH|10876600726865903980</stp>
        <tr r="Y27" s="2"/>
      </tp>
      <tp t="e">
        <v>#N/A</v>
        <stp/>
        <stp>BDH|10320423282135454186</stp>
        <tr r="AF32" s="2"/>
      </tp>
      <tp t="e">
        <v>#N/A</v>
        <stp/>
        <stp>BDH|14478987763212833187</stp>
        <tr r="T14" s="2"/>
      </tp>
      <tp t="e">
        <v>#N/A</v>
        <stp/>
        <stp>BDH|13874860688018142385</stp>
        <tr r="O36" s="2"/>
      </tp>
      <tp t="e">
        <v>#N/A</v>
        <stp/>
        <stp>BDH|16997829533450444534</stp>
        <tr r="AB29" s="2"/>
      </tp>
      <tp t="e">
        <v>#N/A</v>
        <stp/>
        <stp>BDH|18255503848928009946</stp>
        <tr r="V15" s="2"/>
      </tp>
      <tp t="e">
        <v>#N/A</v>
        <stp/>
        <stp>BDH|13297904648002249464</stp>
        <tr r="H11" s="2"/>
      </tp>
      <tp t="e">
        <v>#N/A</v>
        <stp/>
        <stp>BDH|17894170051719565255</stp>
        <tr r="U13" s="2"/>
      </tp>
      <tp t="e">
        <v>#N/A</v>
        <stp/>
        <stp>BDH|12002676329936586856</stp>
        <tr r="AI61" s="2"/>
      </tp>
      <tp t="e">
        <v>#N/A</v>
        <stp/>
        <stp>BDH|12790634581025314077</stp>
        <tr r="E62" s="2"/>
      </tp>
      <tp t="e">
        <v>#N/A</v>
        <stp/>
        <stp>BDH|12059549192312639513</stp>
        <tr r="D24" s="2"/>
      </tp>
      <tp t="e">
        <v>#N/A</v>
        <stp/>
        <stp>BDH|15928515386084670597</stp>
        <tr r="Y41" s="2"/>
      </tp>
      <tp t="e">
        <v>#N/A</v>
        <stp/>
        <stp>BDH|10685840304912778300</stp>
        <tr r="M63" s="2"/>
      </tp>
      <tp t="e">
        <v>#N/A</v>
        <stp/>
        <stp>BDH|12654844894098197248</stp>
        <tr r="AC6" s="2"/>
      </tp>
      <tp t="e">
        <v>#N/A</v>
        <stp/>
        <stp>BDH|18015453419561865571</stp>
        <tr r="AD36" s="2"/>
      </tp>
      <tp t="e">
        <v>#N/A</v>
        <stp/>
        <stp>BDH|12130971652523157465</stp>
        <tr r="AG41" s="2"/>
      </tp>
      <tp t="e">
        <v>#N/A</v>
        <stp/>
        <stp>BDH|17617462798114822736</stp>
        <tr r="I24" s="2"/>
      </tp>
      <tp t="e">
        <v>#N/A</v>
        <stp/>
        <stp>BDH|10769232772388570417</stp>
        <tr r="J29" s="2"/>
      </tp>
      <tp t="e">
        <v>#N/A</v>
        <stp/>
        <stp>BDH|14717831773594721658</stp>
        <tr r="F12" s="2"/>
      </tp>
      <tp t="e">
        <v>#N/A</v>
        <stp/>
        <stp>BDH|15748429333703559861</stp>
        <tr r="AE13" s="2"/>
      </tp>
      <tp t="e">
        <v>#N/A</v>
        <stp/>
        <stp>BDH|16992605388888046942</stp>
        <tr r="W48" s="2"/>
      </tp>
      <tp t="e">
        <v>#N/A</v>
        <stp/>
        <stp>BDH|11121493451220999958</stp>
        <tr r="Q21" s="2"/>
      </tp>
      <tp t="e">
        <v>#N/A</v>
        <stp/>
        <stp>BDH|15700712692770648274</stp>
        <tr r="N40" s="2"/>
      </tp>
      <tp t="e">
        <v>#N/A</v>
        <stp/>
        <stp>BDH|15678967557941758159</stp>
        <tr r="V34" s="2"/>
      </tp>
      <tp t="e">
        <v>#N/A</v>
        <stp/>
        <stp>BDH|11940786480933305461</stp>
        <tr r="AD43" s="2"/>
      </tp>
      <tp t="e">
        <v>#N/A</v>
        <stp/>
        <stp>BDH|15728703097461224365</stp>
        <tr r="E61" s="2"/>
      </tp>
      <tp t="e">
        <v>#N/A</v>
        <stp/>
        <stp>BDH|14758262920748465517</stp>
        <tr r="AC25" s="2"/>
      </tp>
      <tp t="e">
        <v>#N/A</v>
        <stp/>
        <stp>BDH|17604989402147174099</stp>
        <tr r="O41" s="2"/>
      </tp>
      <tp t="e">
        <v>#N/A</v>
        <stp/>
        <stp>BDH|16384433877834029835</stp>
        <tr r="W43" s="2"/>
      </tp>
      <tp t="e">
        <v>#N/A</v>
        <stp/>
        <stp>BDH|15028045696731098450</stp>
        <tr r="AM12" s="2"/>
      </tp>
      <tp t="e">
        <v>#N/A</v>
        <stp/>
        <stp>BDH|14054037436566332819</stp>
        <tr r="AD63" s="2"/>
      </tp>
      <tp t="e">
        <v>#N/A</v>
        <stp/>
        <stp>BDH|18355934380700377042</stp>
        <tr r="N47" s="2"/>
      </tp>
      <tp t="e">
        <v>#N/A</v>
        <stp/>
        <stp>BDH|11623917677937076164</stp>
        <tr r="Y14" s="2"/>
      </tp>
      <tp t="e">
        <v>#N/A</v>
        <stp/>
        <stp>BDH|17278236763322718830</stp>
        <tr r="T53" s="2"/>
      </tp>
      <tp t="e">
        <v>#N/A</v>
        <stp/>
        <stp>BDH|15615949444802257327</stp>
        <tr r="AN12" s="2"/>
      </tp>
      <tp t="e">
        <v>#N/A</v>
        <stp/>
        <stp>BDH|10491826618331983115</stp>
        <tr r="O9" s="2"/>
      </tp>
      <tp t="e">
        <v>#N/A</v>
        <stp/>
        <stp>BDH|14962945541244594409</stp>
        <tr r="G34" s="2"/>
      </tp>
      <tp t="e">
        <v>#N/A</v>
        <stp/>
        <stp>BDH|15130360783584500380</stp>
        <tr r="N28" s="2"/>
      </tp>
      <tp t="e">
        <v>#N/A</v>
        <stp/>
        <stp>BDH|11034280561114696871</stp>
        <tr r="G45" s="2"/>
      </tp>
      <tp t="e">
        <v>#N/A</v>
        <stp/>
        <stp>BDH|15981720221211067816</stp>
        <tr r="T8" s="2"/>
      </tp>
      <tp t="e">
        <v>#N/A</v>
        <stp/>
        <stp>BDH|10906469659569534185</stp>
        <tr r="AG11" s="2"/>
      </tp>
      <tp t="e">
        <v>#N/A</v>
        <stp/>
        <stp>BDH|17470530212959722395</stp>
        <tr r="M36" s="2"/>
      </tp>
      <tp t="e">
        <v>#N/A</v>
        <stp/>
        <stp>BDH|15308454519378447105</stp>
        <tr r="M24" s="2"/>
      </tp>
      <tp t="e">
        <v>#N/A</v>
        <stp/>
        <stp>BDH|15212641377708255586</stp>
        <tr r="AH43" s="2"/>
      </tp>
      <tp t="e">
        <v>#N/A</v>
        <stp/>
        <stp>BDH|13713024505738965220</stp>
        <tr r="X13" s="2"/>
      </tp>
      <tp t="e">
        <v>#N/A</v>
        <stp/>
        <stp>BDH|15406634828978507005</stp>
        <tr r="N22" s="2"/>
      </tp>
      <tp t="e">
        <v>#N/A</v>
        <stp/>
        <stp>BDH|12535535799392766522</stp>
        <tr r="W24" s="2"/>
      </tp>
      <tp t="e">
        <v>#N/A</v>
        <stp/>
        <stp>BDH|15083423168408204628</stp>
        <tr r="R6" s="2"/>
      </tp>
      <tp t="e">
        <v>#N/A</v>
        <stp/>
        <stp>BDH|15071711367069529491</stp>
        <tr r="G31" s="2"/>
      </tp>
      <tp t="e">
        <v>#N/A</v>
        <stp/>
        <stp>BDH|10358083172466546815</stp>
        <tr r="M20" s="2"/>
      </tp>
      <tp t="e">
        <v>#N/A</v>
        <stp/>
        <stp>BDH|13999913531200355066</stp>
        <tr r="AK14" s="2"/>
      </tp>
      <tp t="e">
        <v>#N/A</v>
        <stp/>
        <stp>BDH|18065219980039821252</stp>
        <tr r="Y40" s="2"/>
      </tp>
      <tp t="e">
        <v>#N/A</v>
        <stp/>
        <stp>BDH|15017712458128321652</stp>
        <tr r="T24" s="2"/>
      </tp>
      <tp t="e">
        <v>#N/A</v>
        <stp/>
        <stp>BDH|15813254331538017535</stp>
        <tr r="AH19" s="2"/>
      </tp>
      <tp t="e">
        <v>#N/A</v>
        <stp/>
        <stp>BDH|10570804843744051189</stp>
        <tr r="D28" s="2"/>
      </tp>
      <tp t="e">
        <v>#N/A</v>
        <stp/>
        <stp>BDH|17401473798643282075</stp>
        <tr r="AJ62" s="2"/>
      </tp>
      <tp t="e">
        <v>#N/A</v>
        <stp/>
        <stp>BDH|17080946353884929602</stp>
        <tr r="AA27" s="2"/>
      </tp>
      <tp t="e">
        <v>#N/A</v>
        <stp/>
        <stp>BDH|11687332492513519630</stp>
        <tr r="AB59" s="2"/>
      </tp>
      <tp t="e">
        <v>#N/A</v>
        <stp/>
        <stp>BDH|10376686253968822519</stp>
        <tr r="X57" s="2"/>
      </tp>
      <tp t="e">
        <v>#N/A</v>
        <stp/>
        <stp>BDH|15415490098961530718</stp>
        <tr r="AA32" s="2"/>
      </tp>
      <tp t="e">
        <v>#N/A</v>
        <stp/>
        <stp>BDH|10925741919661748922</stp>
        <tr r="U8" s="2"/>
      </tp>
      <tp t="e">
        <v>#N/A</v>
        <stp/>
        <stp>BDH|16879032288007435766</stp>
        <tr r="F54" s="2"/>
      </tp>
      <tp t="e">
        <v>#N/A</v>
        <stp/>
        <stp>BDH|17521620901878304753</stp>
        <tr r="F33" s="2"/>
      </tp>
      <tp t="e">
        <v>#N/A</v>
        <stp/>
        <stp>BDH|11734936183468251657</stp>
        <tr r="L41" s="2"/>
      </tp>
      <tp t="e">
        <v>#N/A</v>
        <stp/>
        <stp>BDH|14643451023068971492</stp>
        <tr r="S42" s="2"/>
      </tp>
      <tp t="e">
        <v>#N/A</v>
        <stp/>
        <stp>BDH|11481728232209598222</stp>
        <tr r="P62" s="2"/>
      </tp>
      <tp t="e">
        <v>#N/A</v>
        <stp/>
        <stp>BDH|10902989476206414610</stp>
        <tr r="AG7" s="2"/>
      </tp>
      <tp t="e">
        <v>#N/A</v>
        <stp/>
        <stp>BDH|12722719286552431165</stp>
        <tr r="L33" s="2"/>
      </tp>
      <tp t="e">
        <v>#N/A</v>
        <stp/>
        <stp>BDH|10223136990526422074</stp>
        <tr r="Q52" s="2"/>
      </tp>
      <tp t="e">
        <v>#N/A</v>
        <stp/>
        <stp>BDH|17053561130787458879</stp>
        <tr r="K54" s="2"/>
      </tp>
      <tp t="e">
        <v>#N/A</v>
        <stp/>
        <stp>BDH|15498762586190083412</stp>
        <tr r="O11" s="2"/>
      </tp>
      <tp t="e">
        <v>#N/A</v>
        <stp/>
        <stp>BDH|11245644654774255852</stp>
        <tr r="Q62" s="2"/>
      </tp>
      <tp t="e">
        <v>#N/A</v>
        <stp/>
        <stp>BDH|13657909177133154058</stp>
        <tr r="AG30" s="2"/>
      </tp>
      <tp t="e">
        <v>#N/A</v>
        <stp/>
        <stp>BDH|10499262055930690958</stp>
        <tr r="AH21" s="2"/>
      </tp>
      <tp t="e">
        <v>#N/A</v>
        <stp/>
        <stp>BDH|11120447898130962204</stp>
        <tr r="S13" s="2"/>
      </tp>
      <tp t="e">
        <v>#N/A</v>
        <stp/>
        <stp>BDH|17203274493637085511</stp>
        <tr r="AF54" s="2"/>
      </tp>
      <tp t="e">
        <v>#N/A</v>
        <stp/>
        <stp>BDH|13041325993521716619</stp>
        <tr r="X42" s="2"/>
      </tp>
      <tp t="e">
        <v>#N/A</v>
        <stp/>
        <stp>BDH|15023945113816211536</stp>
        <tr r="Z21" s="2"/>
      </tp>
      <tp t="e">
        <v>#N/A</v>
        <stp/>
        <stp>BDH|15332503094327155007</stp>
        <tr r="X56" s="2"/>
      </tp>
      <tp t="e">
        <v>#N/A</v>
        <stp/>
        <stp>BDH|15851847418345747750</stp>
        <tr r="AI11" s="2"/>
      </tp>
      <tp t="e">
        <v>#N/A</v>
        <stp/>
        <stp>BDH|17506651602378981728</stp>
        <tr r="G56" s="2"/>
      </tp>
      <tp t="e">
        <v>#N/A</v>
        <stp/>
        <stp>BDH|11643975232137375293</stp>
        <tr r="L7" s="2"/>
      </tp>
      <tp t="e">
        <v>#N/A</v>
        <stp/>
        <stp>BDH|11893538754206342948</stp>
        <tr r="AH29" s="2"/>
      </tp>
      <tp t="e">
        <v>#N/A</v>
        <stp/>
        <stp>BDH|17821263270834463820</stp>
        <tr r="S29" s="2"/>
      </tp>
      <tp t="e">
        <v>#N/A</v>
        <stp/>
        <stp>BDH|18128113821087165280</stp>
        <tr r="L17" s="2"/>
      </tp>
      <tp t="e">
        <v>#N/A</v>
        <stp/>
        <stp>BDH|18034995189403803404</stp>
        <tr r="AN24" s="2"/>
      </tp>
      <tp t="e">
        <v>#N/A</v>
        <stp/>
        <stp>BDH|10259672978919077662</stp>
        <tr r="AG27" s="2"/>
      </tp>
      <tp t="e">
        <v>#N/A</v>
        <stp/>
        <stp>BDH|12226698827728777003</stp>
        <tr r="AC30" s="2"/>
      </tp>
      <tp t="e">
        <v>#N/A</v>
        <stp/>
        <stp>BDH|17529100492950901155</stp>
        <tr r="Y28" s="2"/>
      </tp>
      <tp t="e">
        <v>#N/A</v>
        <stp/>
        <stp>BDH|13971329857382618919</stp>
        <tr r="U24" s="2"/>
      </tp>
      <tp t="e">
        <v>#N/A</v>
        <stp/>
        <stp>BDH|15591171266535702988</stp>
        <tr r="AF41" s="2"/>
      </tp>
      <tp t="e">
        <v>#N/A</v>
        <stp/>
        <stp>BDH|13460833645575856408</stp>
        <tr r="F24" s="2"/>
      </tp>
      <tp t="e">
        <v>#N/A</v>
        <stp/>
        <stp>BDH|12647412347834840826</stp>
        <tr r="AA45" s="2"/>
      </tp>
      <tp t="e">
        <v>#N/A</v>
        <stp/>
        <stp>BDH|17541709021479965573</stp>
        <tr r="V17" s="2"/>
      </tp>
      <tp t="e">
        <v>#N/A</v>
        <stp/>
        <stp>BDH|18101269177632296187</stp>
        <tr r="D48" s="2"/>
      </tp>
      <tp t="e">
        <v>#N/A</v>
        <stp/>
        <stp>BDH|11529103741749947376</stp>
        <tr r="M23" s="2"/>
      </tp>
      <tp t="e">
        <v>#N/A</v>
        <stp/>
        <stp>BDH|12390853866311413390</stp>
        <tr r="AN36" s="2"/>
      </tp>
      <tp t="e">
        <v>#N/A</v>
        <stp/>
        <stp>BDH|10781946983798513789</stp>
        <tr r="AH8" s="2"/>
      </tp>
      <tp t="e">
        <v>#N/A</v>
        <stp/>
        <stp>BDH|17446186888402109291</stp>
        <tr r="Z60" s="2"/>
      </tp>
      <tp t="e">
        <v>#N/A</v>
        <stp/>
        <stp>BDH|14082156214289623385</stp>
        <tr r="S33" s="2"/>
      </tp>
      <tp t="e">
        <v>#N/A</v>
        <stp/>
        <stp>BDH|13462225068351386821</stp>
        <tr r="J34" s="2"/>
      </tp>
      <tp t="e">
        <v>#N/A</v>
        <stp/>
        <stp>BDH|15215840246332709585</stp>
        <tr r="Y59" s="2"/>
      </tp>
      <tp t="e">
        <v>#N/A</v>
        <stp/>
        <stp>BDH|11233151395362884548</stp>
        <tr r="F10" s="2"/>
      </tp>
      <tp t="e">
        <v>#N/A</v>
        <stp/>
        <stp>BDH|17427092881918283906</stp>
        <tr r="AK41" s="2"/>
      </tp>
      <tp t="e">
        <v>#N/A</v>
        <stp/>
        <stp>BDH|18361027426621822513</stp>
        <tr r="S22" s="2"/>
      </tp>
      <tp t="e">
        <v>#N/A</v>
        <stp/>
        <stp>BDH|15410132987577170408</stp>
        <tr r="W21" s="2"/>
      </tp>
      <tp t="e">
        <v>#N/A</v>
        <stp/>
        <stp>BDH|13815311246972977978</stp>
        <tr r="AG46" s="2"/>
      </tp>
      <tp t="e">
        <v>#N/A</v>
        <stp/>
        <stp>BDH|16864906845982426698</stp>
        <tr r="K23" s="2"/>
      </tp>
      <tp t="e">
        <v>#N/A</v>
        <stp/>
        <stp>BDH|14380388385206640684</stp>
        <tr r="M32" s="2"/>
      </tp>
      <tp t="e">
        <v>#N/A</v>
        <stp/>
        <stp>BDH|16722207845207532874</stp>
        <tr r="F52" s="2"/>
      </tp>
      <tp t="e">
        <v>#N/A</v>
        <stp/>
        <stp>BDH|15083556378098764093</stp>
        <tr r="E22" s="2"/>
      </tp>
      <tp t="e">
        <v>#N/A</v>
        <stp/>
        <stp>BDH|13081517084677490629</stp>
        <tr r="F29" s="2"/>
      </tp>
      <tp t="e">
        <v>#N/A</v>
        <stp/>
        <stp>BDH|11397639413931808887</stp>
        <tr r="R10" s="2"/>
      </tp>
      <tp t="e">
        <v>#N/A</v>
        <stp/>
        <stp>BDH|16049436393333423771</stp>
        <tr r="AG31" s="2"/>
      </tp>
      <tp t="e">
        <v>#N/A</v>
        <stp/>
        <stp>BDH|16123130481530113017</stp>
        <tr r="AA24" s="2"/>
      </tp>
      <tp t="e">
        <v>#N/A</v>
        <stp/>
        <stp>BDH|10541438082335229659</stp>
        <tr r="G32" s="2"/>
      </tp>
      <tp t="e">
        <v>#N/A</v>
        <stp/>
        <stp>BDH|17107536427206642904</stp>
        <tr r="Y47" s="2"/>
      </tp>
      <tp t="e">
        <v>#N/A</v>
        <stp/>
        <stp>BDH|11729821441743662102</stp>
        <tr r="N25" s="2"/>
      </tp>
      <tp t="e">
        <v>#N/A</v>
        <stp/>
        <stp>BDH|18103500181733641939</stp>
        <tr r="V25" s="2"/>
      </tp>
      <tp t="e">
        <v>#N/A</v>
        <stp/>
        <stp>BDH|13259490851255757899</stp>
        <tr r="AK53" s="2"/>
      </tp>
      <tp t="e">
        <v>#N/A</v>
        <stp/>
        <stp>BDH|10361535952026527901</stp>
        <tr r="W18" s="2"/>
      </tp>
      <tp t="e">
        <v>#N/A</v>
        <stp/>
        <stp>BDH|16901724752109848266</stp>
        <tr r="I42" s="2"/>
      </tp>
      <tp t="e">
        <v>#N/A</v>
        <stp/>
        <stp>BDH|13997590537972538849</stp>
        <tr r="K48" s="2"/>
      </tp>
      <tp t="e">
        <v>#N/A</v>
        <stp/>
        <stp>BDH|16477402223006380927</stp>
        <tr r="G38" s="2"/>
        <tr r="G26" s="2"/>
      </tp>
      <tp t="e">
        <v>#N/A</v>
        <stp/>
        <stp>BDH|16360073302248910194</stp>
        <tr r="D27" s="2"/>
      </tp>
      <tp t="e">
        <v>#N/A</v>
        <stp/>
        <stp>BDH|10043871068693855213</stp>
        <tr r="Q54" s="2"/>
      </tp>
      <tp t="e">
        <v>#N/A</v>
        <stp/>
        <stp>BDH|16483325520041515959</stp>
        <tr r="AC34" s="2"/>
      </tp>
      <tp t="e">
        <v>#N/A</v>
        <stp/>
        <stp>BDH|11272297196942700731</stp>
        <tr r="S17" s="2"/>
      </tp>
      <tp t="e">
        <v>#N/A</v>
        <stp/>
        <stp>BDH|11639907493087823945</stp>
        <tr r="AC43" s="2"/>
      </tp>
      <tp t="e">
        <v>#N/A</v>
        <stp/>
        <stp>BDH|17075962220356669597</stp>
        <tr r="P33" s="2"/>
      </tp>
      <tp t="e">
        <v>#N/A</v>
        <stp/>
        <stp>BDH|14361599803109430751</stp>
        <tr r="AA12" s="2"/>
      </tp>
      <tp t="e">
        <v>#N/A</v>
        <stp/>
        <stp>BDH|14216876018711045353</stp>
        <tr r="D22" s="2"/>
      </tp>
      <tp t="e">
        <v>#N/A</v>
        <stp/>
        <stp>BDH|16035029263196341991</stp>
        <tr r="AJ55" s="2"/>
      </tp>
      <tp t="e">
        <v>#N/A</v>
        <stp/>
        <stp>BDH|16892511183795026107</stp>
        <tr r="AD55" s="2"/>
      </tp>
      <tp t="e">
        <v>#N/A</v>
        <stp/>
        <stp>BDH|15825558132524684831</stp>
        <tr r="D13" s="2"/>
      </tp>
      <tp t="e">
        <v>#N/A</v>
        <stp/>
        <stp>BDH|11257383382160094551</stp>
        <tr r="U59" s="2"/>
      </tp>
      <tp t="e">
        <v>#N/A</v>
        <stp/>
        <stp>BDH|16300340262384098884</stp>
        <tr r="I43" s="2"/>
      </tp>
      <tp t="e">
        <v>#N/A</v>
        <stp/>
        <stp>BDH|12153466786649521890</stp>
        <tr r="AH56" s="2"/>
      </tp>
      <tp t="e">
        <v>#N/A</v>
        <stp/>
        <stp>BDH|11108923563358539999</stp>
        <tr r="P48" s="2"/>
      </tp>
      <tp t="e">
        <v>#N/A</v>
        <stp/>
        <stp>BDH|17197261174675992863</stp>
        <tr r="D61" s="2"/>
      </tp>
      <tp t="e">
        <v>#N/A</v>
        <stp/>
        <stp>BDH|13556998634854779202</stp>
        <tr r="Y61" s="2"/>
      </tp>
      <tp t="e">
        <v>#N/A</v>
        <stp/>
        <stp>BDH|18291155310712888506</stp>
        <tr r="AJ22" s="2"/>
      </tp>
      <tp t="e">
        <v>#N/A</v>
        <stp/>
        <stp>BDH|15796058001389034028</stp>
        <tr r="Z57" s="2"/>
      </tp>
      <tp t="e">
        <v>#N/A</v>
        <stp/>
        <stp>BDH|11769097543300586995</stp>
        <tr r="R47" s="2"/>
      </tp>
      <tp t="e">
        <v>#N/A</v>
        <stp/>
        <stp>BDH|14419469594102458731</stp>
        <tr r="AI54" s="2"/>
      </tp>
      <tp t="e">
        <v>#N/A</v>
        <stp/>
        <stp>BDH|14105016728438880216</stp>
        <tr r="E21" s="2"/>
      </tp>
      <tp t="e">
        <v>#N/A</v>
        <stp/>
        <stp>BDH|13256254693931683532</stp>
        <tr r="AK31" s="2"/>
      </tp>
      <tp t="e">
        <v>#N/A</v>
        <stp/>
        <stp>BDH|11659423909331988858</stp>
        <tr r="AK61" s="2"/>
      </tp>
      <tp t="e">
        <v>#N/A</v>
        <stp/>
        <stp>BDH|14288230303392456868</stp>
        <tr r="L52" s="2"/>
      </tp>
      <tp t="e">
        <v>#N/A</v>
        <stp/>
        <stp>BDH|15563935163180306666</stp>
        <tr r="AK30" s="2"/>
      </tp>
      <tp t="e">
        <v>#N/A</v>
        <stp/>
        <stp>BDH|11567302125135717947</stp>
        <tr r="Y43" s="2"/>
      </tp>
      <tp t="e">
        <v>#N/A</v>
        <stp/>
        <stp>BDH|10207401707610148871</stp>
        <tr r="O40" s="2"/>
      </tp>
      <tp t="e">
        <v>#N/A</v>
        <stp/>
        <stp>BDH|10395183295801576584</stp>
        <tr r="I28" s="2"/>
      </tp>
      <tp t="e">
        <v>#N/A</v>
        <stp/>
        <stp>BDH|11807849080018768594</stp>
        <tr r="AJ37" s="2"/>
      </tp>
      <tp t="e">
        <v>#N/A</v>
        <stp/>
        <stp>BDH|13308308951341691869</stp>
        <tr r="C33" s="2"/>
      </tp>
      <tp t="e">
        <v>#N/A</v>
        <stp/>
        <stp>BDH|14622850458050088594</stp>
        <tr r="AC54" s="2"/>
      </tp>
      <tp t="e">
        <v>#N/A</v>
        <stp/>
        <stp>BDH|15996894581871780840</stp>
        <tr r="W29" s="2"/>
      </tp>
      <tp t="e">
        <v>#N/A</v>
        <stp/>
        <stp>BDH|12662929572733321376</stp>
        <tr r="AN9" s="2"/>
      </tp>
      <tp t="e">
        <v>#N/A</v>
        <stp/>
        <stp>BDH|12764867863647543751</stp>
        <tr r="AI59" s="2"/>
      </tp>
      <tp t="e">
        <v>#N/A</v>
        <stp/>
        <stp>BDH|16144758796091739579</stp>
        <tr r="AH63" s="2"/>
      </tp>
      <tp t="e">
        <v>#N/A</v>
        <stp/>
        <stp>BDH|15631317781981365302</stp>
        <tr r="Y8" s="2"/>
      </tp>
      <tp t="e">
        <v>#N/A</v>
        <stp/>
        <stp>BDH|16466805624719643927</stp>
        <tr r="G62" s="2"/>
      </tp>
      <tp t="e">
        <v>#N/A</v>
        <stp/>
        <stp>BDH|17339613582247089271</stp>
        <tr r="Z41" s="2"/>
      </tp>
      <tp t="e">
        <v>#N/A</v>
        <stp/>
        <stp>BDH|16585196877315945953</stp>
        <tr r="P34" s="2"/>
      </tp>
      <tp t="e">
        <v>#N/A</v>
        <stp/>
        <stp>BDH|10257633836831216827</stp>
        <tr r="V22" s="2"/>
      </tp>
      <tp t="e">
        <v>#N/A</v>
        <stp/>
        <stp>BDH|12653685851648084580</stp>
        <tr r="AH46" s="2"/>
      </tp>
      <tp t="e">
        <v>#N/A</v>
        <stp/>
        <stp>BDH|11239701384102182008</stp>
        <tr r="H38" s="2"/>
        <tr r="H26" s="2"/>
      </tp>
      <tp t="e">
        <v>#N/A</v>
        <stp/>
        <stp>BDH|10756087517584733981</stp>
        <tr r="J46" s="2"/>
      </tp>
      <tp t="e">
        <v>#N/A</v>
        <stp/>
        <stp>BDH|13442092815486712899</stp>
        <tr r="N42" s="2"/>
      </tp>
      <tp t="e">
        <v>#N/A</v>
        <stp/>
        <stp>BDH|12068815840317773504</stp>
        <tr r="AK20" s="2"/>
      </tp>
      <tp t="e">
        <v>#N/A</v>
        <stp/>
        <stp>BDH|14719161094886415680</stp>
        <tr r="T60" s="2"/>
      </tp>
      <tp t="e">
        <v>#N/A</v>
        <stp/>
        <stp>BDH|11680191706855866989</stp>
        <tr r="AK36" s="2"/>
      </tp>
      <tp t="e">
        <v>#N/A</v>
        <stp/>
        <stp>BDH|18113374071362608287</stp>
        <tr r="N36" s="2"/>
      </tp>
      <tp t="e">
        <v>#N/A</v>
        <stp/>
        <stp>BDH|16837131891554207602</stp>
        <tr r="AI20" s="2"/>
      </tp>
      <tp t="e">
        <v>#N/A</v>
        <stp/>
        <stp>BDH|18305626979141041438</stp>
        <tr r="O45" s="2"/>
      </tp>
      <tp t="e">
        <v>#N/A</v>
        <stp/>
        <stp>BDH|12681132779639758101</stp>
        <tr r="O19" s="2"/>
      </tp>
      <tp t="e">
        <v>#N/A</v>
        <stp/>
        <stp>BDH|16067799306258659527</stp>
        <tr r="AH14" s="2"/>
      </tp>
      <tp t="e">
        <v>#N/A</v>
        <stp/>
        <stp>BDH|11616807467526987534</stp>
        <tr r="K30" s="2"/>
      </tp>
      <tp t="e">
        <v>#N/A</v>
        <stp/>
        <stp>BDH|16732470188827736147</stp>
        <tr r="AF8" s="2"/>
      </tp>
      <tp t="e">
        <v>#N/A</v>
        <stp/>
        <stp>BDH|12862384271558355291</stp>
        <tr r="J38" s="2"/>
        <tr r="J26" s="2"/>
      </tp>
      <tp t="e">
        <v>#N/A</v>
        <stp/>
        <stp>BDH|16573317249135795877</stp>
        <tr r="W16" s="2"/>
      </tp>
      <tp t="e">
        <v>#N/A</v>
        <stp/>
        <stp>BDH|11592249610716830844</stp>
        <tr r="I61" s="2"/>
      </tp>
      <tp t="e">
        <v>#N/A</v>
        <stp/>
        <stp>BDH|10738721689310715379</stp>
        <tr r="T37" s="2"/>
      </tp>
      <tp t="e">
        <v>#N/A</v>
        <stp/>
        <stp>BDH|12818789605989856027</stp>
        <tr r="AD23" s="2"/>
      </tp>
      <tp t="e">
        <v>#N/A</v>
        <stp/>
        <stp>BDH|12788042248793641929</stp>
        <tr r="AF53" s="2"/>
      </tp>
      <tp t="e">
        <v>#N/A</v>
        <stp/>
        <stp>BDH|11112489695765647540</stp>
        <tr r="T20" s="2"/>
      </tp>
      <tp t="e">
        <v>#N/A</v>
        <stp/>
        <stp>BDH|11726994476941778218</stp>
        <tr r="AG34" s="2"/>
      </tp>
      <tp t="e">
        <v>#N/A</v>
        <stp/>
        <stp>BDH|17159768501639290459</stp>
        <tr r="Y57" s="2"/>
      </tp>
      <tp t="e">
        <v>#N/A</v>
        <stp/>
        <stp>BDH|17916412478308473158</stp>
        <tr r="AK56" s="2"/>
      </tp>
      <tp t="e">
        <v>#N/A</v>
        <stp/>
        <stp>BDH|11882557294969839912</stp>
        <tr r="S7" s="2"/>
      </tp>
      <tp t="e">
        <v>#N/A</v>
        <stp/>
        <stp>BDH|11150285960051246986</stp>
        <tr r="E53" s="2"/>
      </tp>
      <tp t="e">
        <v>#N/A</v>
        <stp/>
        <stp>BDH|13298939763337557647</stp>
        <tr r="AD46" s="2"/>
      </tp>
      <tp t="e">
        <v>#N/A</v>
        <stp/>
        <stp>BDH|10709961556953347279</stp>
        <tr r="AI27" s="2"/>
      </tp>
      <tp t="e">
        <v>#N/A</v>
        <stp/>
        <stp>BDH|15281529088266346382</stp>
        <tr r="AJ48" s="2"/>
      </tp>
      <tp t="e">
        <v>#N/A</v>
        <stp/>
        <stp>BDH|12105088489807408064</stp>
        <tr r="AJ47" s="2"/>
      </tp>
      <tp t="e">
        <v>#N/A</v>
        <stp/>
        <stp>BDH|14297554791183373601</stp>
        <tr r="P29" s="2"/>
      </tp>
      <tp t="e">
        <v>#N/A</v>
        <stp/>
        <stp>BDH|18089582818359072857</stp>
        <tr r="AM52" s="2"/>
      </tp>
      <tp t="e">
        <v>#N/A</v>
        <stp/>
        <stp>BDH|17422986682802824936</stp>
        <tr r="AJ54" s="2"/>
      </tp>
      <tp t="e">
        <v>#N/A</v>
        <stp/>
        <stp>BDH|10462964440516411635</stp>
        <tr r="R29" s="2"/>
      </tp>
      <tp t="e">
        <v>#N/A</v>
        <stp/>
        <stp>BDH|17347512414749115722</stp>
        <tr r="AE58" s="2"/>
      </tp>
      <tp t="e">
        <v>#N/A</v>
        <stp/>
        <stp>BDH|17804184541068190745</stp>
        <tr r="Z11" s="2"/>
      </tp>
      <tp t="e">
        <v>#N/A</v>
        <stp/>
        <stp>BDH|13099653008389130189</stp>
        <tr r="AJ46" s="2"/>
      </tp>
      <tp t="e">
        <v>#N/A</v>
        <stp/>
        <stp>BDH|15379925671512105456</stp>
        <tr r="W41" s="2"/>
      </tp>
      <tp t="e">
        <v>#N/A</v>
        <stp/>
        <stp>BDH|11799995626971547694</stp>
        <tr r="I16" s="2"/>
      </tp>
      <tp t="e">
        <v>#N/A</v>
        <stp/>
        <stp>BDH|12322150633238682543</stp>
        <tr r="AB47" s="2"/>
      </tp>
      <tp t="e">
        <v>#N/A</v>
        <stp/>
        <stp>BDH|15076143125573210849</stp>
        <tr r="AK43" s="2"/>
      </tp>
      <tp t="e">
        <v>#N/A</v>
        <stp/>
        <stp>BDH|12953759714559908066</stp>
        <tr r="F18" s="2"/>
      </tp>
      <tp t="e">
        <v>#N/A</v>
        <stp/>
        <stp>BDH|12619920655463793010</stp>
        <tr r="AE59" s="2"/>
      </tp>
      <tp t="e">
        <v>#N/A</v>
        <stp/>
        <stp>BDH|15153793686391137686</stp>
        <tr r="S23" s="2"/>
      </tp>
      <tp t="e">
        <v>#N/A</v>
        <stp/>
        <stp>BDH|10646144534818546748</stp>
        <tr r="AG56" s="2"/>
      </tp>
      <tp t="e">
        <v>#N/A</v>
        <stp/>
        <stp>BDH|17869303990757298736</stp>
        <tr r="I12" s="2"/>
      </tp>
      <tp t="e">
        <v>#N/A</v>
        <stp/>
        <stp>BDH|12435718948445315972</stp>
        <tr r="E63" s="2"/>
      </tp>
      <tp t="e">
        <v>#N/A</v>
        <stp/>
        <stp>BDH|13741599236248034037</stp>
        <tr r="AI37" s="2"/>
      </tp>
      <tp t="e">
        <v>#N/A</v>
        <stp/>
        <stp>BDH|11528711066958927505</stp>
        <tr r="S36" s="2"/>
      </tp>
      <tp t="e">
        <v>#N/A</v>
        <stp/>
        <stp>BDH|15940141363388439714</stp>
        <tr r="Q25" s="2"/>
      </tp>
      <tp t="e">
        <v>#N/A</v>
        <stp/>
        <stp>BDH|14550296058127966962</stp>
        <tr r="AA36" s="2"/>
      </tp>
      <tp t="e">
        <v>#N/A</v>
        <stp/>
        <stp>BDH|13099644294247826626</stp>
        <tr r="Y22" s="2"/>
      </tp>
      <tp t="e">
        <v>#N/A</v>
        <stp/>
        <stp>BDH|15850991236893244183</stp>
        <tr r="AE31" s="2"/>
      </tp>
      <tp t="e">
        <v>#N/A</v>
        <stp/>
        <stp>BDH|13497987694488168642</stp>
        <tr r="AH31" s="2"/>
      </tp>
      <tp t="e">
        <v>#N/A</v>
        <stp/>
        <stp>BDH|11365937069731022240</stp>
        <tr r="AM25" s="2"/>
      </tp>
      <tp t="e">
        <v>#N/A</v>
        <stp/>
        <stp>BDH|15090017989783231361</stp>
        <tr r="O30" s="2"/>
      </tp>
      <tp t="e">
        <v>#N/A</v>
        <stp/>
        <stp>BDH|16528590154878168355</stp>
        <tr r="Z27" s="2"/>
      </tp>
      <tp t="e">
        <v>#N/A</v>
        <stp/>
        <stp>BDH|16863896668910261579</stp>
        <tr r="G55" s="2"/>
      </tp>
      <tp t="e">
        <v>#N/A</v>
        <stp/>
        <stp>BDH|13882319361232459937</stp>
        <tr r="AB52" s="2"/>
      </tp>
      <tp t="e">
        <v>#N/A</v>
        <stp/>
        <stp>BDH|17318593885407711060</stp>
        <tr r="V11" s="2"/>
      </tp>
      <tp t="e">
        <v>#N/A</v>
        <stp/>
        <stp>BDH|11993158140779103033</stp>
        <tr r="J18" s="2"/>
      </tp>
      <tp t="e">
        <v>#N/A</v>
        <stp/>
        <stp>BDH|15264004248824859731</stp>
        <tr r="R38" s="2"/>
        <tr r="R26" s="2"/>
      </tp>
      <tp t="e">
        <v>#N/A</v>
        <stp/>
        <stp>BDH|12238342665326301310</stp>
        <tr r="Q45" s="2"/>
      </tp>
      <tp t="e">
        <v>#N/A</v>
        <stp/>
        <stp>BDH|18303261300179484109</stp>
        <tr r="AG17" s="2"/>
      </tp>
      <tp t="e">
        <v>#N/A</v>
        <stp/>
        <stp>BDH|16112515261526310137</stp>
        <tr r="AK55" s="2"/>
      </tp>
      <tp t="e">
        <v>#N/A</v>
        <stp/>
        <stp>BDH|17622793369713658715</stp>
        <tr r="AG48" s="2"/>
      </tp>
      <tp t="e">
        <v>#N/A</v>
        <stp/>
        <stp>BDH|10324401716745537213</stp>
        <tr r="AF46" s="2"/>
      </tp>
      <tp t="e">
        <v>#N/A</v>
        <stp/>
        <stp>BDH|11293218400900458176</stp>
        <tr r="M19" s="2"/>
      </tp>
      <tp t="e">
        <v>#N/A</v>
        <stp/>
        <stp>BDH|13316215570733413769</stp>
        <tr r="AL21" s="2"/>
      </tp>
      <tp t="e">
        <v>#N/A</v>
        <stp/>
        <stp>BDH|16063488299471277837</stp>
        <tr r="X12" s="2"/>
      </tp>
      <tp t="e">
        <v>#N/A</v>
        <stp/>
        <stp>BDH|15135883383102835528</stp>
        <tr r="AB7" s="2"/>
      </tp>
      <tp t="e">
        <v>#N/A</v>
        <stp/>
        <stp>BDH|15226441576952741670</stp>
        <tr r="E56" s="2"/>
      </tp>
      <tp t="e">
        <v>#N/A</v>
        <stp/>
        <stp>BDH|16600383034263370795</stp>
        <tr r="Q60" s="2"/>
      </tp>
      <tp t="e">
        <v>#N/A</v>
        <stp/>
        <stp>BDH|11885095472305687151</stp>
        <tr r="N29" s="2"/>
      </tp>
      <tp t="e">
        <v>#N/A</v>
        <stp/>
        <stp>BDH|18416770013138068400</stp>
        <tr r="AC56" s="2"/>
      </tp>
      <tp t="e">
        <v>#N/A</v>
        <stp/>
        <stp>BDH|15681651816160446019</stp>
        <tr r="V40" s="2"/>
      </tp>
      <tp t="e">
        <v>#N/A</v>
        <stp/>
        <stp>BDH|12295435659273823235</stp>
        <tr r="AF31" s="2"/>
      </tp>
      <tp t="e">
        <v>#N/A</v>
        <stp/>
        <stp>BDH|17617605603440484326</stp>
        <tr r="AL29" s="2"/>
      </tp>
      <tp t="e">
        <v>#N/A</v>
        <stp/>
        <stp>BDH|11270759317752734747</stp>
        <tr r="AJ10" s="2"/>
      </tp>
      <tp t="e">
        <v>#N/A</v>
        <stp/>
        <stp>BDH|17199675094093686972</stp>
        <tr r="V28" s="2"/>
      </tp>
      <tp t="e">
        <v>#N/A</v>
        <stp/>
        <stp>BDH|16147850843020398864</stp>
        <tr r="T62" s="2"/>
      </tp>
      <tp t="e">
        <v>#N/A</v>
        <stp/>
        <stp>BDH|15288887688151854689</stp>
        <tr r="AJ7" s="2"/>
      </tp>
      <tp t="e">
        <v>#N/A</v>
        <stp/>
        <stp>BDH|10637172010770476277</stp>
        <tr r="AC16" s="2"/>
      </tp>
      <tp t="e">
        <v>#N/A</v>
        <stp/>
        <stp>BDH|13706071349756597394</stp>
        <tr r="U10" s="2"/>
      </tp>
      <tp t="e">
        <v>#N/A</v>
        <stp/>
        <stp>BDH|10280165191498902295</stp>
        <tr r="L34" s="2"/>
      </tp>
      <tp t="e">
        <v>#N/A</v>
        <stp/>
        <stp>BDH|14305179120047001218</stp>
        <tr r="U18" s="2"/>
      </tp>
      <tp t="e">
        <v>#N/A</v>
        <stp/>
        <stp>BDH|13051265642930579748</stp>
        <tr r="AH25" s="2"/>
      </tp>
      <tp t="e">
        <v>#N/A</v>
        <stp/>
        <stp>BDH|14222022053291300256</stp>
        <tr r="M28" s="2"/>
      </tp>
      <tp t="e">
        <v>#N/A</v>
        <stp/>
        <stp>BDH|16293240831696779342</stp>
        <tr r="AB24" s="2"/>
      </tp>
      <tp t="e">
        <v>#N/A</v>
        <stp/>
        <stp>BDH|17180011104494103110</stp>
        <tr r="I59" s="2"/>
      </tp>
      <tp t="e">
        <v>#N/A</v>
        <stp/>
        <stp>BDH|10039322915674543463</stp>
        <tr r="U62" s="2"/>
      </tp>
      <tp t="e">
        <v>#N/A</v>
        <stp/>
        <stp>BDH|12583559068761976266</stp>
        <tr r="N38" s="2"/>
        <tr r="N26" s="2"/>
      </tp>
      <tp t="e">
        <v>#N/A</v>
        <stp/>
        <stp>BDH|11780257302779760815</stp>
        <tr r="G17" s="2"/>
      </tp>
      <tp t="e">
        <v>#N/A</v>
        <stp/>
        <stp>BDH|15731216859930840016</stp>
        <tr r="F17" s="2"/>
      </tp>
      <tp t="e">
        <v>#N/A</v>
        <stp/>
        <stp>BDH|13103488654287143751</stp>
        <tr r="U56" s="2"/>
      </tp>
      <tp t="e">
        <v>#N/A</v>
        <stp/>
        <stp>BDH|13815030540583753653</stp>
        <tr r="J31" s="2"/>
      </tp>
      <tp t="e">
        <v>#N/A</v>
        <stp/>
        <stp>BDH|14666004643507543591</stp>
        <tr r="V45" s="2"/>
      </tp>
      <tp t="e">
        <v>#N/A</v>
        <stp/>
        <stp>BDH|12187220048567468170</stp>
        <tr r="W36" s="2"/>
      </tp>
      <tp t="e">
        <v>#N/A</v>
        <stp/>
        <stp>BDH|15000467104432309198</stp>
        <tr r="AH18" s="2"/>
      </tp>
      <tp t="e">
        <v>#N/A</v>
        <stp/>
        <stp>BDH|16538034613981563488</stp>
        <tr r="U41" s="2"/>
      </tp>
      <tp t="e">
        <v>#N/A</v>
        <stp/>
        <stp>BDH|16043993961249530269</stp>
        <tr r="J10" s="2"/>
      </tp>
      <tp t="e">
        <v>#N/A</v>
        <stp/>
        <stp>BDH|14323097809603905510</stp>
        <tr r="K41" s="2"/>
      </tp>
      <tp t="e">
        <v>#N/A</v>
        <stp/>
        <stp>BDH|14917572274147491358</stp>
        <tr r="S40" s="2"/>
      </tp>
      <tp t="e">
        <v>#N/A</v>
        <stp/>
        <stp>BDH|18357942531363504387</stp>
        <tr r="G61" s="2"/>
      </tp>
      <tp t="e">
        <v>#N/A</v>
        <stp/>
        <stp>BDH|17404261768843622279</stp>
        <tr r="W45" s="2"/>
      </tp>
      <tp t="e">
        <v>#N/A</v>
        <stp/>
        <stp>BDH|15044641347273146695</stp>
        <tr r="F8" s="2"/>
      </tp>
      <tp t="e">
        <v>#N/A</v>
        <stp/>
        <stp>BDH|14867215139775297299</stp>
        <tr r="AK62" s="2"/>
      </tp>
      <tp t="e">
        <v>#N/A</v>
        <stp/>
        <stp>BDH|13544967580289104987</stp>
        <tr r="K6" s="2"/>
      </tp>
      <tp t="e">
        <v>#N/A</v>
        <stp/>
        <stp>BDH|18083879456480312780</stp>
        <tr r="E34" s="2"/>
      </tp>
      <tp t="e">
        <v>#N/A</v>
        <stp/>
        <stp>BDH|13916846080446907797</stp>
        <tr r="P7" s="2"/>
      </tp>
      <tp t="e">
        <v>#N/A</v>
        <stp/>
        <stp>BDH|11993062779955282185</stp>
        <tr r="E59" s="2"/>
      </tp>
      <tp t="e">
        <v>#N/A</v>
        <stp/>
        <stp>BDH|11120065767416848345</stp>
        <tr r="O32" s="2"/>
      </tp>
      <tp t="e">
        <v>#N/A</v>
        <stp/>
        <stp>BDH|13989097158750566426</stp>
        <tr r="AF38" s="2"/>
        <tr r="AF26" s="2"/>
      </tp>
      <tp t="e">
        <v>#N/A</v>
        <stp/>
        <stp>BDH|14261902791333881543</stp>
        <tr r="AH47" s="2"/>
      </tp>
      <tp t="e">
        <v>#N/A</v>
        <stp/>
        <stp>BDH|13406322809434842680</stp>
        <tr r="D63" s="2"/>
      </tp>
      <tp t="e">
        <v>#N/A</v>
        <stp/>
        <stp>BDH|15148214246183136280</stp>
        <tr r="R41" s="2"/>
      </tp>
      <tp t="e">
        <v>#N/A</v>
        <stp/>
        <stp>BDH|16160483111248373947</stp>
        <tr r="G23" s="2"/>
      </tp>
      <tp t="e">
        <v>#N/A</v>
        <stp/>
        <stp>BDH|16057018048674171466</stp>
        <tr r="Z15" s="2"/>
      </tp>
      <tp t="e">
        <v>#N/A</v>
        <stp/>
        <stp>BDH|17388282466286477775</stp>
        <tr r="V59" s="2"/>
      </tp>
      <tp t="e">
        <v>#N/A</v>
        <stp/>
        <stp>BDH|11906047181238690344</stp>
        <tr r="P36" s="2"/>
      </tp>
      <tp t="e">
        <v>#N/A</v>
        <stp/>
        <stp>BDH|17315461551604296087</stp>
        <tr r="E60" s="2"/>
      </tp>
      <tp t="e">
        <v>#N/A</v>
        <stp/>
        <stp>BDH|14110628293891957874</stp>
        <tr r="AD33" s="2"/>
      </tp>
      <tp t="e">
        <v>#N/A</v>
        <stp/>
        <stp>BDH|14250118486719884632</stp>
        <tr r="AA37" s="2"/>
      </tp>
      <tp t="e">
        <v>#N/A</v>
        <stp/>
        <stp>BDH|14090175739014994091</stp>
        <tr r="AH42" s="2"/>
      </tp>
      <tp t="e">
        <v>#N/A</v>
        <stp/>
        <stp>BDH|13453548336396369043</stp>
        <tr r="AG24" s="2"/>
      </tp>
      <tp t="e">
        <v>#N/A</v>
        <stp/>
        <stp>BDH|15624080699186744919</stp>
        <tr r="N21" s="2"/>
      </tp>
      <tp t="e">
        <v>#N/A</v>
        <stp/>
        <stp>BDH|12243214341626704148</stp>
        <tr r="X37" s="2"/>
      </tp>
      <tp t="e">
        <v>#N/A</v>
        <stp/>
        <stp>BDH|15488634058696964371</stp>
        <tr r="F15" s="2"/>
      </tp>
      <tp t="e">
        <v>#N/A</v>
        <stp/>
        <stp>BDH|11926689932692760556</stp>
        <tr r="AD54" s="2"/>
      </tp>
      <tp t="e">
        <v>#N/A</v>
        <stp/>
        <stp>BDH|17510567335594537620</stp>
        <tr r="AI34" s="2"/>
      </tp>
      <tp t="e">
        <v>#N/A</v>
        <stp/>
        <stp>BDH|12260079332935441722</stp>
        <tr r="P59" s="2"/>
      </tp>
      <tp t="e">
        <v>#N/A</v>
        <stp/>
        <stp>BDH|17560725950401414722</stp>
        <tr r="AK52" s="2"/>
      </tp>
      <tp t="e">
        <v>#N/A</v>
        <stp/>
        <stp>BDH|13549034251921574424</stp>
        <tr r="AI23" s="2"/>
      </tp>
      <tp t="e">
        <v>#N/A</v>
        <stp/>
        <stp>BDH|15391676561542765423</stp>
        <tr r="U27" s="2"/>
      </tp>
      <tp t="e">
        <v>#N/A</v>
        <stp/>
        <stp>BDH|11003452062761792100</stp>
        <tr r="T38" s="2"/>
        <tr r="T26" s="2"/>
      </tp>
      <tp t="e">
        <v>#N/A</v>
        <stp/>
        <stp>BDH|18083205637278521215</stp>
        <tr r="AM42" s="2"/>
      </tp>
      <tp t="e">
        <v>#N/A</v>
        <stp/>
        <stp>BDH|18150500725035680912</stp>
        <tr r="O6" s="2"/>
      </tp>
      <tp t="e">
        <v>#N/A</v>
        <stp/>
        <stp>BDH|13909382738351997136</stp>
        <tr r="Z58" s="2"/>
      </tp>
      <tp t="e">
        <v>#N/A</v>
        <stp/>
        <stp>BDH|14970862015356009898</stp>
        <tr r="AD47" s="2"/>
      </tp>
      <tp t="e">
        <v>#N/A</v>
        <stp/>
        <stp>BDH|11442745501183352617</stp>
        <tr r="L32" s="2"/>
      </tp>
      <tp t="e">
        <v>#N/A</v>
        <stp/>
        <stp>BDH|17329248798947468882</stp>
        <tr r="J21" s="2"/>
      </tp>
      <tp t="e">
        <v>#N/A</v>
        <stp/>
        <stp>BDH|16147824699370025489</stp>
        <tr r="N34" s="2"/>
      </tp>
      <tp t="e">
        <v>#N/A</v>
        <stp/>
        <stp>BDH|10022367617536640756</stp>
        <tr r="G22" s="2"/>
      </tp>
      <tp t="e">
        <v>#N/A</v>
        <stp/>
        <stp>BDH|11961993922389840085</stp>
        <tr r="R42" s="2"/>
      </tp>
      <tp t="e">
        <v>#N/A</v>
        <stp/>
        <stp>BDH|15703662842767279349</stp>
        <tr r="N16" s="2"/>
      </tp>
      <tp t="e">
        <v>#N/A</v>
        <stp/>
        <stp>BDH|16525778856685472255</stp>
        <tr r="AH62" s="2"/>
      </tp>
      <tp t="e">
        <v>#N/A</v>
        <stp/>
        <stp>BDH|18390612667428431340</stp>
        <tr r="AM53" s="2"/>
      </tp>
      <tp t="e">
        <v>#N/A</v>
        <stp/>
        <stp>BDH|14505952097621023626</stp>
        <tr r="I38" s="2"/>
        <tr r="I26" s="2"/>
      </tp>
      <tp t="e">
        <v>#N/A</v>
        <stp/>
        <stp>BDH|12838759033250848524</stp>
        <tr r="AL52" s="2"/>
      </tp>
      <tp t="e">
        <v>#N/A</v>
        <stp/>
        <stp>BDH|16004037791879198579</stp>
        <tr r="K20" s="2"/>
      </tp>
      <tp t="e">
        <v>#N/A</v>
        <stp/>
        <stp>BDH|10740059648552700594</stp>
        <tr r="L53" s="2"/>
      </tp>
      <tp t="e">
        <v>#N/A</v>
        <stp/>
        <stp>BDH|16417190859056677764</stp>
        <tr r="V30" s="2"/>
      </tp>
      <tp t="e">
        <v>#N/A</v>
        <stp/>
        <stp>BDH|14215004507626725160</stp>
        <tr r="P18" s="2"/>
      </tp>
      <tp t="e">
        <v>#N/A</v>
        <stp/>
        <stp>BDH|13192718329232923740</stp>
        <tr r="V43" s="2"/>
      </tp>
      <tp t="e">
        <v>#N/A</v>
        <stp/>
        <stp>BDH|13234588464712255189</stp>
        <tr r="AB55" s="2"/>
      </tp>
      <tp t="e">
        <v>#N/A</v>
        <stp/>
        <stp>BDH|13468815582640297018</stp>
        <tr r="AN10" s="2"/>
      </tp>
      <tp t="e">
        <v>#N/A</v>
        <stp/>
        <stp>BDH|14958712117081950019</stp>
        <tr r="AM45" s="2"/>
      </tp>
      <tp t="e">
        <v>#N/A</v>
        <stp/>
        <stp>BDH|10373839447517451844</stp>
        <tr r="Z22" s="2"/>
      </tp>
      <tp t="e">
        <v>#N/A</v>
        <stp/>
        <stp>BDH|13411907941768780542</stp>
        <tr r="R17" s="2"/>
      </tp>
      <tp t="e">
        <v>#N/A</v>
        <stp/>
        <stp>BDH|11817187952961092744</stp>
        <tr r="K62" s="2"/>
      </tp>
      <tp t="e">
        <v>#N/A</v>
        <stp/>
        <stp>BDH|13515744826595760062</stp>
        <tr r="I47" s="2"/>
      </tp>
      <tp t="e">
        <v>#N/A</v>
        <stp/>
        <stp>BDH|11992521416034023241</stp>
        <tr r="D57" s="2"/>
      </tp>
      <tp t="e">
        <v>#N/A</v>
        <stp/>
        <stp>BDH|16136517026124708686</stp>
        <tr r="C17" s="2"/>
      </tp>
      <tp t="e">
        <v>#N/A</v>
        <stp/>
        <stp>BDH|12539308016432390197</stp>
        <tr r="AN45" s="2"/>
      </tp>
      <tp t="e">
        <v>#N/A</v>
        <stp/>
        <stp>BDH|15967712265443553413</stp>
        <tr r="H14" s="2"/>
      </tp>
      <tp t="e">
        <v>#N/A</v>
        <stp/>
        <stp>BDH|13663692135806489369</stp>
        <tr r="F45" s="2"/>
      </tp>
      <tp t="e">
        <v>#N/A</v>
        <stp/>
        <stp>BDH|10784988843438654623</stp>
        <tr r="Y46" s="2"/>
      </tp>
      <tp t="e">
        <v>#N/A</v>
        <stp/>
        <stp>BDH|13878839231293655873</stp>
        <tr r="AD52" s="2"/>
      </tp>
      <tp t="e">
        <v>#N/A</v>
        <stp/>
        <stp>BDH|17224407522730971229</stp>
        <tr r="AL23" s="2"/>
      </tp>
      <tp t="e">
        <v>#N/A</v>
        <stp/>
        <stp>BDH|17584305618362441431</stp>
        <tr r="W23" s="2"/>
      </tp>
      <tp t="e">
        <v>#N/A</v>
        <stp/>
        <stp>BDH|17910452177922016515</stp>
        <tr r="I52" s="2"/>
      </tp>
      <tp t="e">
        <v>#N/A</v>
        <stp/>
        <stp>BDH|13093018252672017797</stp>
        <tr r="AI56" s="2"/>
      </tp>
      <tp t="e">
        <v>#N/A</v>
        <stp/>
        <stp>BDH|17805320253367123521</stp>
        <tr r="F53" s="2"/>
      </tp>
      <tp t="e">
        <v>#N/A</v>
        <stp/>
        <stp>BDH|11745615761725983749</stp>
        <tr r="Z33" s="2"/>
      </tp>
      <tp t="e">
        <v>#N/A</v>
        <stp/>
        <stp>BDH|17720784081148673326</stp>
        <tr r="AE43" s="2"/>
      </tp>
      <tp t="e">
        <v>#N/A</v>
        <stp/>
        <stp>BDH|16793472777177859124</stp>
        <tr r="R37" s="2"/>
      </tp>
      <tp t="e">
        <v>#N/A</v>
        <stp/>
        <stp>BDH|15048884834069984484</stp>
        <tr r="AE41" s="2"/>
      </tp>
      <tp t="e">
        <v>#N/A</v>
        <stp/>
        <stp>BDH|16843409515899707976</stp>
        <tr r="K42" s="2"/>
      </tp>
      <tp t="e">
        <v>#N/A</v>
        <stp/>
        <stp>BDH|16045409496890209894</stp>
        <tr r="AD6" s="2"/>
      </tp>
      <tp t="e">
        <v>#N/A</v>
        <stp/>
        <stp>BDH|17610296437771202470</stp>
        <tr r="U48" s="2"/>
      </tp>
      <tp t="e">
        <v>#N/A</v>
        <stp/>
        <stp>BDH|15151654616878883965</stp>
        <tr r="S34" s="2"/>
      </tp>
      <tp t="e">
        <v>#N/A</v>
        <stp/>
        <stp>BDH|17712452322844666694</stp>
        <tr r="AL37" s="2"/>
      </tp>
      <tp t="e">
        <v>#N/A</v>
        <stp/>
        <stp>BDH|13367939096245007595</stp>
        <tr r="N8" s="2"/>
      </tp>
      <tp t="e">
        <v>#N/A</v>
        <stp/>
        <stp>BDH|15734278588455673917</stp>
        <tr r="Y25" s="2"/>
      </tp>
      <tp t="e">
        <v>#N/A</v>
        <stp/>
        <stp>BDH|15865605841572196678</stp>
        <tr r="AA19" s="2"/>
      </tp>
      <tp t="e">
        <v>#N/A</v>
        <stp/>
        <stp>BDH|11166438249476403413</stp>
        <tr r="P45" s="2"/>
      </tp>
      <tp t="e">
        <v>#N/A</v>
        <stp/>
        <stp>BDH|18295184313658110363</stp>
        <tr r="M9" s="2"/>
      </tp>
      <tp t="e">
        <v>#N/A</v>
        <stp/>
        <stp>BDH|13538764104051198682</stp>
        <tr r="AN15" s="2"/>
      </tp>
      <tp t="e">
        <v>#N/A</v>
        <stp/>
        <stp>BDH|12558125233317270481</stp>
        <tr r="Y37" s="2"/>
      </tp>
      <tp t="e">
        <v>#N/A</v>
        <stp/>
        <stp>BDH|14866809395767566299</stp>
        <tr r="AH17" s="2"/>
      </tp>
      <tp t="e">
        <v>#N/A</v>
        <stp/>
        <stp>BDH|13815463818267402127</stp>
        <tr r="O62" s="2"/>
      </tp>
      <tp t="e">
        <v>#N/A</v>
        <stp/>
        <stp>BDH|18107877352117685214</stp>
        <tr r="AJ36" s="2"/>
      </tp>
      <tp t="e">
        <v>#N/A</v>
        <stp/>
        <stp>BDH|16276184241372846100</stp>
        <tr r="AB23" s="2"/>
      </tp>
      <tp t="e">
        <v>#N/A</v>
        <stp/>
        <stp>BDH|17463210452626105649</stp>
        <tr r="AC61" s="2"/>
      </tp>
      <tp t="e">
        <v>#N/A</v>
        <stp/>
        <stp>BDH|18155678937368023533</stp>
        <tr r="AE15" s="2"/>
      </tp>
      <tp t="e">
        <v>#N/A</v>
        <stp/>
        <stp>BDH|14251347320420409507</stp>
        <tr r="L31" s="2"/>
      </tp>
      <tp t="e">
        <v>#N/A</v>
        <stp/>
        <stp>BDH|15214256036081472576</stp>
        <tr r="H56" s="2"/>
      </tp>
      <tp t="e">
        <v>#N/A</v>
        <stp/>
        <stp>BDH|14219728327825008457</stp>
        <tr r="AL28" s="2"/>
      </tp>
      <tp t="e">
        <v>#N/A</v>
        <stp/>
        <stp>BDH|11033403665210043373</stp>
        <tr r="X47" s="2"/>
      </tp>
      <tp t="e">
        <v>#N/A</v>
        <stp/>
        <stp>BDH|16065183561438325987</stp>
        <tr r="F13" s="2"/>
      </tp>
      <tp t="e">
        <v>#N/A</v>
        <stp/>
        <stp>BDH|13170752883689742558</stp>
        <tr r="AC32" s="2"/>
      </tp>
      <tp t="e">
        <v>#N/A</v>
        <stp/>
        <stp>BDH|15612172042755448522</stp>
        <tr r="W31" s="2"/>
      </tp>
      <tp t="e">
        <v>#N/A</v>
        <stp/>
        <stp>BDH|16839376458090186039</stp>
        <tr r="L8" s="2"/>
      </tp>
      <tp t="e">
        <v>#N/A</v>
        <stp/>
        <stp>BDH|17479621279661992720</stp>
        <tr r="AN59" s="2"/>
      </tp>
      <tp t="e">
        <v>#N/A</v>
        <stp/>
        <stp>BDH|16634672154846271337</stp>
        <tr r="G63" s="2"/>
      </tp>
      <tp t="e">
        <v>#N/A</v>
        <stp/>
        <stp>BDH|13084287808053387278</stp>
        <tr r="H32" s="2"/>
      </tp>
      <tp t="e">
        <v>#N/A</v>
        <stp/>
        <stp>BDH|15067438567784446341</stp>
        <tr r="M55" s="2"/>
      </tp>
      <tp t="e">
        <v>#N/A</v>
        <stp/>
        <stp>BDH|17297079050925212734</stp>
        <tr r="I15" s="2"/>
      </tp>
      <tp t="e">
        <v>#N/A</v>
        <stp/>
        <stp>BDH|12564677551704230556</stp>
        <tr r="U31" s="2"/>
      </tp>
      <tp t="e">
        <v>#N/A</v>
        <stp/>
        <stp>BDH|17697513664605783104</stp>
        <tr r="AL60" s="2"/>
      </tp>
      <tp t="e">
        <v>#N/A</v>
        <stp/>
        <stp>BDH|16730372216761702564</stp>
        <tr r="AE22" s="2"/>
      </tp>
      <tp t="e">
        <v>#N/A</v>
        <stp/>
        <stp>BDH|10261266952595938287</stp>
        <tr r="M59" s="2"/>
      </tp>
      <tp t="e">
        <v>#N/A</v>
        <stp/>
        <stp>BDH|15394246069686182787</stp>
        <tr r="U11" s="2"/>
      </tp>
      <tp t="e">
        <v>#N/A</v>
        <stp/>
        <stp>BDH|15429087625555955270</stp>
        <tr r="AD21" s="2"/>
      </tp>
      <tp t="e">
        <v>#N/A</v>
        <stp/>
        <stp>BDH|17847157000187977131</stp>
        <tr r="J14" s="2"/>
      </tp>
      <tp t="e">
        <v>#N/A</v>
        <stp/>
        <stp>BDH|15566507961957376115</stp>
        <tr r="W47" s="2"/>
      </tp>
      <tp t="e">
        <v>#N/A</v>
        <stp/>
        <stp>BDH|12833263120471897305</stp>
        <tr r="AC10" s="2"/>
      </tp>
      <tp t="e">
        <v>#N/A</v>
        <stp/>
        <stp>BDH|16710076230530745514</stp>
        <tr r="L57" s="2"/>
      </tp>
      <tp t="e">
        <v>#N/A</v>
        <stp/>
        <stp>BDH|16596307672754127609</stp>
        <tr r="X48" s="2"/>
      </tp>
      <tp t="e">
        <v>#N/A</v>
        <stp/>
        <stp>BDH|16325708878865468395</stp>
        <tr r="D11" s="2"/>
      </tp>
      <tp t="e">
        <v>#N/A</v>
        <stp/>
        <stp>BDH|17946151500906437014</stp>
        <tr r="C23" s="2"/>
      </tp>
      <tp t="e">
        <v>#N/A</v>
        <stp/>
        <stp>BDH|14310633535847509699</stp>
        <tr r="Y48" s="2"/>
      </tp>
      <tp t="e">
        <v>#N/A</v>
        <stp/>
        <stp>BDH|16229166159201373376</stp>
        <tr r="R15" s="2"/>
      </tp>
      <tp t="e">
        <v>#N/A</v>
        <stp/>
        <stp>BDH|12538628039217151069</stp>
        <tr r="AC48" s="2"/>
      </tp>
      <tp t="e">
        <v>#N/A</v>
        <stp/>
        <stp>BDH|17964984695240571782</stp>
        <tr r="X8" s="2"/>
      </tp>
      <tp t="e">
        <v>#N/A</v>
        <stp/>
        <stp>BDH|12758384161972648518</stp>
        <tr r="AJ30" s="2"/>
      </tp>
      <tp t="e">
        <v>#N/A</v>
        <stp/>
        <stp>BDH|16905620227291389377</stp>
        <tr r="C24" s="2"/>
      </tp>
      <tp t="e">
        <v>#N/A</v>
        <stp/>
        <stp>BDH|16988078554256668546</stp>
        <tr r="I60" s="2"/>
      </tp>
      <tp t="e">
        <v>#N/A</v>
        <stp/>
        <stp>BDH|12369173029542513300</stp>
        <tr r="AN40" s="2"/>
      </tp>
      <tp t="e">
        <v>#N/A</v>
        <stp/>
        <stp>BDH|14231746414592831023</stp>
        <tr r="AD28" s="2"/>
      </tp>
      <tp t="e">
        <v>#N/A</v>
        <stp/>
        <stp>BDH|10478977194292619294</stp>
        <tr r="AJ40" s="2"/>
      </tp>
      <tp t="e">
        <v>#N/A</v>
        <stp/>
        <stp>BDH|16710613243530573484</stp>
        <tr r="P22" s="2"/>
      </tp>
      <tp t="e">
        <v>#N/A</v>
        <stp/>
        <stp>BDH|14278381555080610228</stp>
        <tr r="Y56" s="2"/>
      </tp>
      <tp t="e">
        <v>#N/A</v>
        <stp/>
        <stp>BDH|12433407742152593080</stp>
        <tr r="AG63" s="2"/>
      </tp>
      <tp t="e">
        <v>#N/A</v>
        <stp/>
        <stp>BDH|17994748777827873092</stp>
        <tr r="H53" s="2"/>
      </tp>
      <tp t="e">
        <v>#N/A</v>
        <stp/>
        <stp>BDH|13266316149790244430</stp>
        <tr r="X60" s="2"/>
      </tp>
      <tp t="e">
        <v>#N/A</v>
        <stp/>
        <stp>BDH|13590327261323442580</stp>
        <tr r="R12" s="2"/>
      </tp>
      <tp t="e">
        <v>#N/A</v>
        <stp/>
        <stp>BDH|16865057425124383018</stp>
        <tr r="AL40" s="2"/>
      </tp>
      <tp t="e">
        <v>#N/A</v>
        <stp/>
        <stp>BDH|17175540584913468987</stp>
        <tr r="H24" s="2"/>
      </tp>
      <tp t="e">
        <v>#N/A</v>
        <stp/>
        <stp>BDH|14749386553722861094</stp>
        <tr r="T22" s="2"/>
      </tp>
      <tp t="e">
        <v>#N/A</v>
        <stp/>
        <stp>BDH|17469035437695579187</stp>
        <tr r="AB11" s="2"/>
      </tp>
      <tp t="e">
        <v>#N/A</v>
        <stp/>
        <stp>BDH|11033431778220133277</stp>
        <tr r="T21" s="2"/>
      </tp>
      <tp t="e">
        <v>#N/A</v>
        <stp/>
        <stp>BDH|13064617909227688220</stp>
        <tr r="AB54" s="2"/>
      </tp>
      <tp t="e">
        <v>#N/A</v>
        <stp/>
        <stp>BDH|15946240840532967189</stp>
        <tr r="G25" s="2"/>
      </tp>
      <tp t="e">
        <v>#N/A</v>
        <stp/>
        <stp>BDH|10148762319405243307</stp>
        <tr r="AA60" s="2"/>
      </tp>
      <tp t="e">
        <v>#N/A</v>
        <stp/>
        <stp>BDH|12555326696710741899</stp>
        <tr r="W27" s="2"/>
      </tp>
      <tp t="e">
        <v>#N/A</v>
        <stp/>
        <stp>BDH|16024884836049169402</stp>
        <tr r="W22" s="2"/>
      </tp>
      <tp t="e">
        <v>#N/A</v>
        <stp/>
        <stp>BDH|12363304348807730239</stp>
        <tr r="P23" s="2"/>
      </tp>
      <tp t="e">
        <v>#N/A</v>
        <stp/>
        <stp>BDH|11485077208885611420</stp>
        <tr r="AM21" s="2"/>
      </tp>
      <tp t="e">
        <v>#N/A</v>
        <stp/>
        <stp>BDH|14051713626330128193</stp>
        <tr r="AF28" s="2"/>
      </tp>
      <tp t="e">
        <v>#N/A</v>
        <stp/>
        <stp>BDH|11885618924071518475</stp>
        <tr r="AK42" s="2"/>
      </tp>
      <tp t="e">
        <v>#N/A</v>
        <stp/>
        <stp>BDH|14573292154476173578</stp>
        <tr r="X34" s="2"/>
      </tp>
      <tp t="e">
        <v>#N/A</v>
        <stp/>
        <stp>BDH|12261648124322526499</stp>
        <tr r="X9" s="2"/>
      </tp>
      <tp t="e">
        <v>#N/A</v>
        <stp/>
        <stp>BDH|15411862371099503278</stp>
        <tr r="P20" s="2"/>
      </tp>
      <tp t="e">
        <v>#N/A</v>
        <stp/>
        <stp>BDH|15582763916473084148</stp>
        <tr r="V21" s="2"/>
      </tp>
      <tp t="e">
        <v>#N/A</v>
        <stp/>
        <stp>BDH|17494381508775325062</stp>
        <tr r="I7" s="2"/>
      </tp>
      <tp t="e">
        <v>#N/A</v>
        <stp/>
        <stp>BDH|16442381438727110040</stp>
        <tr r="T58" s="2"/>
      </tp>
      <tp t="e">
        <v>#N/A</v>
        <stp/>
        <stp>BDH|14568059814180000447</stp>
        <tr r="Z6" s="2"/>
      </tp>
      <tp t="e">
        <v>#N/A</v>
        <stp/>
        <stp>BDH|12414649013861741549</stp>
        <tr r="AA52" s="2"/>
      </tp>
      <tp t="e">
        <v>#N/A</v>
        <stp/>
        <stp>BDH|17056208615257589207</stp>
        <tr r="AI28" s="2"/>
      </tp>
      <tp t="e">
        <v>#N/A</v>
        <stp/>
        <stp>BDH|10214261803741138261</stp>
        <tr r="AI31" s="2"/>
      </tp>
      <tp t="e">
        <v>#N/A</v>
        <stp/>
        <stp>BDH|12306145269405944171</stp>
        <tr r="Z32" s="2"/>
      </tp>
      <tp t="e">
        <v>#N/A</v>
        <stp/>
        <stp>BDH|15350609600344669661</stp>
        <tr r="U17" s="2"/>
      </tp>
      <tp t="e">
        <v>#N/A</v>
        <stp/>
        <stp>BDH|14237521657450649520</stp>
        <tr r="AB27" s="2"/>
      </tp>
      <tp t="e">
        <v>#N/A</v>
        <stp/>
        <stp>BDH|13755459043081382316</stp>
        <tr r="N43" s="2"/>
      </tp>
      <tp t="e">
        <v>#N/A</v>
        <stp/>
        <stp>BDH|17970062818142777533</stp>
        <tr r="N24" s="2"/>
      </tp>
      <tp t="e">
        <v>#N/A</v>
        <stp/>
        <stp>BDH|13627960161258530574</stp>
        <tr r="K46" s="2"/>
      </tp>
      <tp t="e">
        <v>#N/A</v>
        <stp/>
        <stp>BDH|15719126815451309506</stp>
        <tr r="S63" s="2"/>
      </tp>
      <tp t="e">
        <v>#N/A</v>
        <stp/>
        <stp>BDH|15764431864285363306</stp>
        <tr r="R59" s="2"/>
      </tp>
      <tp t="e">
        <v>#N/A</v>
        <stp/>
        <stp>BDH|14305618366682004766</stp>
        <tr r="O24" s="2"/>
      </tp>
      <tp t="e">
        <v>#N/A</v>
        <stp/>
        <stp>BDH|13766468487178447605</stp>
        <tr r="N60" s="2"/>
      </tp>
      <tp t="e">
        <v>#N/A</v>
        <stp/>
        <stp>BDH|11797187816897299798</stp>
        <tr r="K61" s="2"/>
      </tp>
      <tp t="e">
        <v>#N/A</v>
        <stp/>
        <stp>BDH|15108145234104010232</stp>
        <tr r="W7" s="2"/>
      </tp>
      <tp t="e">
        <v>#N/A</v>
        <stp/>
        <stp>BDH|12532228915001248128</stp>
        <tr r="P40" s="2"/>
      </tp>
      <tp t="e">
        <v>#N/A</v>
        <stp/>
        <stp>BDH|10732761673719842887</stp>
        <tr r="U63" s="2"/>
      </tp>
      <tp t="e">
        <v>#N/A</v>
        <stp/>
        <stp>BDH|16671126103130766654</stp>
        <tr r="F9" s="2"/>
      </tp>
      <tp t="e">
        <v>#N/A</v>
        <stp/>
        <stp>BDH|11642471480365677925</stp>
        <tr r="AE8" s="2"/>
      </tp>
      <tp t="e">
        <v>#N/A</v>
        <stp/>
        <stp>BDH|11297726126391000422</stp>
        <tr r="J7" s="2"/>
      </tp>
      <tp t="e">
        <v>#N/A</v>
        <stp/>
        <stp>BDH|10368178550513077602</stp>
        <tr r="AM6" s="2"/>
      </tp>
      <tp t="e">
        <v>#N/A</v>
        <stp/>
        <stp>BDH|10564108255784714134</stp>
        <tr r="AG37" s="2"/>
      </tp>
      <tp t="e">
        <v>#N/A</v>
        <stp/>
        <stp>BDH|12895299771993229567</stp>
        <tr r="AI36" s="2"/>
      </tp>
      <tp t="e">
        <v>#N/A</v>
        <stp/>
        <stp>BDH|11284703523856315366</stp>
        <tr r="AD12" s="2"/>
      </tp>
      <tp t="e">
        <v>#N/A</v>
        <stp/>
        <stp>BDH|14152318887779248725</stp>
        <tr r="W17" s="2"/>
      </tp>
      <tp t="e">
        <v>#N/A</v>
        <stp/>
        <stp>BDH|12182036103117242442</stp>
        <tr r="AG36" s="2"/>
      </tp>
      <tp t="e">
        <v>#N/A</v>
        <stp/>
        <stp>BDH|13920093871314225143</stp>
        <tr r="N23" s="2"/>
      </tp>
      <tp t="e">
        <v>#N/A</v>
        <stp/>
        <stp>BDH|18174692051602604881</stp>
        <tr r="AD17" s="2"/>
      </tp>
      <tp t="e">
        <v>#N/A</v>
        <stp/>
        <stp>BDH|12543604076290535214</stp>
        <tr r="AE45" s="2"/>
      </tp>
      <tp t="e">
        <v>#N/A</v>
        <stp/>
        <stp>BDH|13345386121841444287</stp>
        <tr r="AC20" s="2"/>
      </tp>
      <tp t="e">
        <v>#N/A</v>
        <stp/>
        <stp>BDH|17238436244070045639</stp>
        <tr r="D58" s="2"/>
      </tp>
      <tp t="e">
        <v>#N/A</v>
        <stp/>
        <stp>BDH|16096947922389129510</stp>
        <tr r="R40" s="2"/>
      </tp>
      <tp t="e">
        <v>#N/A</v>
        <stp/>
        <stp>BDH|11202476375791380256</stp>
        <tr r="X30" s="2"/>
      </tp>
      <tp t="e">
        <v>#N/A</v>
        <stp/>
        <stp>BDH|16296936692433665431</stp>
        <tr r="M15" s="2"/>
      </tp>
      <tp t="e">
        <v>#N/A</v>
        <stp/>
        <stp>BDH|14248766816687017441</stp>
        <tr r="C37" s="2"/>
      </tp>
      <tp t="e">
        <v>#N/A</v>
        <stp/>
        <stp>BDH|14235632528822629362</stp>
        <tr r="AG52" s="2"/>
      </tp>
      <tp t="e">
        <v>#N/A</v>
        <stp/>
        <stp>BDH|11142783237273724703</stp>
        <tr r="D52" s="2"/>
      </tp>
      <tp t="e">
        <v>#N/A</v>
        <stp/>
        <stp>BDH|11572593536213421556</stp>
        <tr r="L46" s="2"/>
      </tp>
      <tp t="e">
        <v>#N/A</v>
        <stp/>
        <stp>BDH|16198118160849321991</stp>
        <tr r="AL38" s="2"/>
        <tr r="AL26" s="2"/>
      </tp>
      <tp t="e">
        <v>#N/A</v>
        <stp/>
        <stp>BDH|15353165958001566129</stp>
        <tr r="Z40" s="2"/>
      </tp>
      <tp t="e">
        <v>#N/A</v>
        <stp/>
        <stp>BDH|11950138240294078106</stp>
        <tr r="M60" s="2"/>
      </tp>
      <tp t="e">
        <v>#N/A</v>
        <stp/>
        <stp>BDH|11099256954723358481</stp>
        <tr r="N30" s="2"/>
      </tp>
      <tp t="e">
        <v>#N/A</v>
        <stp/>
        <stp>BDH|15548778828435981493</stp>
        <tr r="Y60" s="2"/>
      </tp>
      <tp t="e">
        <v>#N/A</v>
        <stp/>
        <stp>BDH|14660294857522679045</stp>
        <tr r="P31" s="2"/>
      </tp>
      <tp t="e">
        <v>#N/A</v>
        <stp/>
        <stp>BDH|18435633170541396990</stp>
        <tr r="I20" s="2"/>
      </tp>
      <tp t="e">
        <v>#N/A</v>
        <stp/>
        <stp>BDH|15619736428528750976</stp>
        <tr r="AJ63" s="2"/>
      </tp>
      <tp t="e">
        <v>#N/A</v>
        <stp/>
        <stp>BDH|12453917992493855025</stp>
        <tr r="T52" s="2"/>
      </tp>
      <tp t="e">
        <v>#N/A</v>
        <stp/>
        <stp>BDH|14188569653697926201</stp>
        <tr r="AI25" s="2"/>
      </tp>
      <tp t="e">
        <v>#N/A</v>
        <stp/>
        <stp>BDH|15650784804193210048</stp>
        <tr r="AN17" s="2"/>
      </tp>
      <tp t="e">
        <v>#N/A</v>
        <stp/>
        <stp>BDH|18324884638644868677</stp>
        <tr r="S21" s="2"/>
      </tp>
      <tp t="e">
        <v>#N/A</v>
        <stp/>
        <stp>BDH|13161996926780640970</stp>
        <tr r="H48" s="2"/>
      </tp>
      <tp t="e">
        <v>#N/A</v>
        <stp/>
        <stp>BDH|11176887194610721149</stp>
        <tr r="J6" s="2"/>
      </tp>
      <tp t="e">
        <v>#N/A</v>
        <stp/>
        <stp>BDH|15248322114032528304</stp>
        <tr r="AM46" s="2"/>
      </tp>
      <tp t="e">
        <v>#N/A</v>
        <stp/>
        <stp>BDH|12726200847482925083</stp>
        <tr r="AB19" s="2"/>
      </tp>
      <tp t="e">
        <v>#N/A</v>
        <stp/>
        <stp>BDH|14265031941891282722</stp>
        <tr r="AI38" s="2"/>
        <tr r="AI26" s="2"/>
      </tp>
      <tp t="e">
        <v>#N/A</v>
        <stp/>
        <stp>BDH|17675773203874200234</stp>
        <tr r="C25" s="2"/>
      </tp>
      <tp t="e">
        <v>#N/A</v>
        <stp/>
        <stp>BDH|12429594482518959159</stp>
        <tr r="AF47" s="2"/>
      </tp>
      <tp t="e">
        <v>#N/A</v>
        <stp/>
        <stp>BDH|11525892280302642592</stp>
        <tr r="W54" s="2"/>
      </tp>
      <tp t="e">
        <v>#N/A</v>
        <stp/>
        <stp>BDH|12472679800064233634</stp>
        <tr r="H37" s="2"/>
      </tp>
      <tp t="e">
        <v>#N/A</v>
        <stp/>
        <stp>BDH|15230438043921441248</stp>
        <tr r="H17" s="2"/>
      </tp>
      <tp t="e">
        <v>#N/A</v>
        <stp/>
        <stp>BDH|12223530613939019906</stp>
        <tr r="G46" s="2"/>
      </tp>
      <tp t="e">
        <v>#N/A</v>
        <stp/>
        <stp>BDH|14198440463095284562</stp>
        <tr r="AD25" s="2"/>
      </tp>
      <tp t="e">
        <v>#N/A</v>
        <stp/>
        <stp>BDH|14933286060905367375</stp>
        <tr r="J57" s="2"/>
      </tp>
      <tp t="e">
        <v>#N/A</v>
        <stp/>
        <stp>BDH|14255699769354144668</stp>
        <tr r="E28" s="2"/>
      </tp>
      <tp t="e">
        <v>#N/A</v>
        <stp/>
        <stp>BDH|14631865696350068332</stp>
        <tr r="AN19" s="2"/>
      </tp>
      <tp t="e">
        <v>#N/A</v>
        <stp/>
        <stp>BDH|11305464525032644337</stp>
        <tr r="AN21" s="2"/>
      </tp>
      <tp t="e">
        <v>#N/A</v>
        <stp/>
        <stp>BDH|17775339033528076936</stp>
        <tr r="Z24" s="2"/>
      </tp>
      <tp t="e">
        <v>#N/A</v>
        <stp/>
        <stp>BDH|15626690845202964376</stp>
        <tr r="L21" s="2"/>
      </tp>
      <tp t="e">
        <v>#N/A</v>
        <stp/>
        <stp>BDH|15661439433291923595</stp>
        <tr r="AF63" s="2"/>
      </tp>
      <tp t="e">
        <v>#N/A</v>
        <stp/>
        <stp>BDH|10611015064331481111</stp>
        <tr r="I14" s="2"/>
      </tp>
      <tp t="e">
        <v>#N/A</v>
        <stp/>
        <stp>BDH|16885868093344282595</stp>
        <tr r="N15" s="2"/>
      </tp>
      <tp t="e">
        <v>#N/A</v>
        <stp/>
        <stp>BDH|16818729959160437218</stp>
        <tr r="AE32" s="2"/>
      </tp>
      <tp t="e">
        <v>#N/A</v>
        <stp/>
        <stp>BDH|14795083413375246688</stp>
        <tr r="AM8" s="2"/>
      </tp>
      <tp t="e">
        <v>#N/A</v>
        <stp/>
        <stp>BDH|14625587315897505189</stp>
        <tr r="W34" s="2"/>
      </tp>
      <tp t="e">
        <v>#N/A</v>
        <stp/>
        <stp>BDH|16807422252001875061</stp>
        <tr r="X16" s="2"/>
      </tp>
      <tp t="e">
        <v>#N/A</v>
        <stp/>
        <stp>BDH|14317462968695080547</stp>
        <tr r="N53" s="2"/>
      </tp>
      <tp t="e">
        <v>#N/A</v>
        <stp/>
        <stp>BDH|16042313034760951055</stp>
        <tr r="AG22" s="2"/>
      </tp>
      <tp t="e">
        <v>#N/A</v>
        <stp/>
        <stp>BDH|17441351828285522555</stp>
        <tr r="H12" s="2"/>
      </tp>
      <tp t="e">
        <v>#N/A</v>
        <stp/>
        <stp>BDH|15599184929793889354</stp>
        <tr r="H43" s="2"/>
      </tp>
      <tp t="e">
        <v>#N/A</v>
        <stp/>
        <stp>BDH|15089029449085757251</stp>
        <tr r="C16" s="2"/>
      </tp>
      <tp t="e">
        <v>#N/A</v>
        <stp/>
        <stp>BDH|10104752492290934874</stp>
        <tr r="Z63" s="2"/>
      </tp>
      <tp t="e">
        <v>#N/A</v>
        <stp/>
        <stp>BDH|17269989229762867802</stp>
        <tr r="AE55" s="2"/>
      </tp>
      <tp t="e">
        <v>#N/A</v>
        <stp/>
        <stp>BDH|16274688377389529838</stp>
        <tr r="X52" s="2"/>
      </tp>
      <tp t="e">
        <v>#N/A</v>
        <stp/>
        <stp>BDH|11561695271607427130</stp>
        <tr r="AE34" s="2"/>
      </tp>
      <tp t="e">
        <v>#N/A</v>
        <stp/>
        <stp>BDH|11226253811954452088</stp>
        <tr r="E43" s="2"/>
      </tp>
      <tp t="e">
        <v>#N/A</v>
        <stp/>
        <stp>BDH|11095748661052005489</stp>
        <tr r="U43" s="2"/>
      </tp>
      <tp t="e">
        <v>#N/A</v>
        <stp/>
        <stp>BDH|11626691273530979686</stp>
        <tr r="L60" s="2"/>
      </tp>
      <tp t="e">
        <v>#N/A</v>
        <stp/>
        <stp>BDH|15518343559123246668</stp>
        <tr r="M34" s="2"/>
      </tp>
      <tp t="e">
        <v>#N/A</v>
        <stp/>
        <stp>BDH|15969011445892990585</stp>
        <tr r="E29" s="2"/>
      </tp>
      <tp t="e">
        <v>#N/A</v>
        <stp/>
        <stp>BDH|13512183367043350150</stp>
        <tr r="O22" s="2"/>
      </tp>
      <tp t="e">
        <v>#N/A</v>
        <stp/>
        <stp>BDH|16086353929359843889</stp>
        <tr r="AI62" s="2"/>
      </tp>
      <tp t="e">
        <v>#N/A</v>
        <stp/>
        <stp>BDH|17235399593608689316</stp>
        <tr r="X20" s="2"/>
      </tp>
      <tp t="e">
        <v>#N/A</v>
        <stp/>
        <stp>BDH|16930633502481508725</stp>
        <tr r="AM63" s="2"/>
      </tp>
      <tp t="e">
        <v>#N/A</v>
        <stp/>
        <stp>BDH|11570030026767886263</stp>
        <tr r="U23" s="2"/>
      </tp>
      <tp t="e">
        <v>#N/A</v>
        <stp/>
        <stp>BDH|17233633609162180573</stp>
        <tr r="L28" s="2"/>
      </tp>
      <tp t="e">
        <v>#N/A</v>
        <stp/>
        <stp>BDH|11477758768392217455</stp>
        <tr r="AM7" s="2"/>
      </tp>
      <tp t="e">
        <v>#N/A</v>
        <stp/>
        <stp>BDH|12050440703081039196</stp>
        <tr r="R48" s="2"/>
      </tp>
      <tp t="e">
        <v>#N/A</v>
        <stp/>
        <stp>BDH|11788558515292907107</stp>
        <tr r="M12" s="2"/>
      </tp>
      <tp t="e">
        <v>#N/A</v>
        <stp/>
        <stp>BDH|14991469047512991104</stp>
        <tr r="U9" s="2"/>
      </tp>
      <tp t="e">
        <v>#N/A</v>
        <stp/>
        <stp>BDH|12068944081762065646</stp>
        <tr r="S25" s="2"/>
      </tp>
      <tp t="e">
        <v>#N/A</v>
        <stp/>
        <stp>BDH|14430037779704722084</stp>
        <tr r="E52" s="2"/>
      </tp>
      <tp t="e">
        <v>#N/A</v>
        <stp/>
        <stp>BDH|11773671027295770717</stp>
        <tr r="AC38" s="2"/>
        <tr r="AC26" s="2"/>
      </tp>
      <tp t="e">
        <v>#N/A</v>
        <stp/>
        <stp>BDH|15391068161130585413</stp>
        <tr r="W8" s="2"/>
      </tp>
      <tp t="e">
        <v>#N/A</v>
        <stp/>
        <stp>BDH|15649567037962092679</stp>
        <tr r="G40" s="2"/>
      </tp>
      <tp t="e">
        <v>#N/A</v>
        <stp/>
        <stp>BDH|15581038704320512271</stp>
        <tr r="AD29" s="2"/>
      </tp>
      <tp t="e">
        <v>#N/A</v>
        <stp/>
        <stp>BDH|15543317690778640027</stp>
        <tr r="N54" s="2"/>
      </tp>
      <tp t="e">
        <v>#N/A</v>
        <stp/>
        <stp>BDH|15362443165147499769</stp>
        <tr r="G15" s="2"/>
      </tp>
      <tp t="e">
        <v>#N/A</v>
        <stp/>
        <stp>BDH|14931743640627757798</stp>
        <tr r="E55" s="2"/>
      </tp>
      <tp t="e">
        <v>#N/A</v>
        <stp/>
        <stp>BDH|15173355725684389714</stp>
        <tr r="AF27" s="2"/>
      </tp>
      <tp t="e">
        <v>#N/A</v>
        <stp/>
        <stp>BDH|13875042456843167288</stp>
        <tr r="F32" s="2"/>
      </tp>
      <tp t="e">
        <v>#N/A</v>
        <stp/>
        <stp>BDH|16992680252694097601</stp>
        <tr r="N48" s="2"/>
      </tp>
      <tp t="e">
        <v>#N/A</v>
        <stp/>
        <stp>BDH|10722202507205696040</stp>
        <tr r="AI17" s="2"/>
      </tp>
      <tp t="e">
        <v>#N/A</v>
        <stp/>
        <stp>BDH|10982049079996150677</stp>
        <tr r="AG55" s="2"/>
      </tp>
      <tp t="e">
        <v>#N/A</v>
        <stp/>
        <stp>BDH|16414968361938359629</stp>
        <tr r="AA61" s="2"/>
      </tp>
      <tp t="e">
        <v>#N/A</v>
        <stp/>
        <stp>BDH|17579977762357509873</stp>
        <tr r="F28" s="2"/>
      </tp>
      <tp t="e">
        <v>#N/A</v>
        <stp/>
        <stp>BDH|11115517913106720460</stp>
        <tr r="AI45" s="2"/>
      </tp>
      <tp t="e">
        <v>#N/A</v>
        <stp/>
        <stp>BDH|15662020934527310669</stp>
        <tr r="T17" s="2"/>
      </tp>
      <tp t="e">
        <v>#N/A</v>
        <stp/>
        <stp>BDH|11437615906956601605</stp>
        <tr r="G14" s="2"/>
      </tp>
      <tp t="e">
        <v>#N/A</v>
        <stp/>
        <stp>BDH|10734583866414453089</stp>
        <tr r="Q58" s="2"/>
      </tp>
      <tp t="e">
        <v>#N/A</v>
        <stp/>
        <stp>BDH|14352450546962105154</stp>
        <tr r="P58" s="2"/>
      </tp>
      <tp t="e">
        <v>#N/A</v>
        <stp/>
        <stp>BDH|14658978962949364579</stp>
        <tr r="C41" s="2"/>
      </tp>
      <tp t="e">
        <v>#N/A</v>
        <stp/>
        <stp>BDH|15264690899804415916</stp>
        <tr r="U20" s="2"/>
      </tp>
      <tp t="e">
        <v>#N/A</v>
        <stp/>
        <stp>BDH|11598037037757643202</stp>
        <tr r="AF21" s="2"/>
      </tp>
      <tp t="e">
        <v>#N/A</v>
        <stp/>
        <stp>BDH|10145805592457431107</stp>
        <tr r="AB14" s="2"/>
      </tp>
      <tp t="e">
        <v>#N/A</v>
        <stp/>
        <stp>BDH|17367000608095490588</stp>
        <tr r="AJ8" s="2"/>
      </tp>
      <tp t="e">
        <v>#N/A</v>
        <stp/>
        <stp>BDH|16530451425023517475</stp>
        <tr r="R60" s="2"/>
      </tp>
      <tp t="e">
        <v>#N/A</v>
        <stp/>
        <stp>BDH|12213637376346856286</stp>
        <tr r="Q55" s="2"/>
      </tp>
      <tp t="e">
        <v>#N/A</v>
        <stp/>
        <stp>BDH|17327906750564639839</stp>
        <tr r="AE61" s="2"/>
      </tp>
      <tp t="e">
        <v>#N/A</v>
        <stp/>
        <stp>BDH|11608011011347888081</stp>
        <tr r="AG53" s="2"/>
      </tp>
      <tp t="e">
        <v>#N/A</v>
        <stp/>
        <stp>BDH|16713359651001350664</stp>
        <tr r="J48" s="2"/>
      </tp>
      <tp t="e">
        <v>#N/A</v>
        <stp/>
        <stp>BDH|14521828962128648551</stp>
        <tr r="AN22" s="2"/>
      </tp>
      <tp t="e">
        <v>#N/A</v>
        <stp/>
        <stp>BDH|14405050012344328662</stp>
        <tr r="O52" s="2"/>
      </tp>
      <tp t="e">
        <v>#N/A</v>
        <stp/>
        <stp>BDH|13926067015120525595</stp>
        <tr r="K28" s="2"/>
      </tp>
      <tp t="e">
        <v>#N/A</v>
        <stp/>
        <stp>BDH|11821719419988229840</stp>
        <tr r="Y23" s="2"/>
      </tp>
      <tp t="e">
        <v>#N/A</v>
        <stp/>
        <stp>BDH|11244526473412622634</stp>
        <tr r="X53" s="2"/>
      </tp>
      <tp t="e">
        <v>#N/A</v>
        <stp/>
        <stp>BDH|11159387698659770505</stp>
        <tr r="Q32" s="2"/>
      </tp>
      <tp t="e">
        <v>#N/A</v>
        <stp/>
        <stp>BDH|16004143153894248139</stp>
        <tr r="M53" s="2"/>
      </tp>
      <tp t="e">
        <v>#N/A</v>
        <stp/>
        <stp>BDH|12846738943953214538</stp>
        <tr r="AD62" s="2"/>
      </tp>
      <tp t="e">
        <v>#N/A</v>
        <stp/>
        <stp>BDH|11780408150091940671</stp>
        <tr r="I32" s="2"/>
      </tp>
      <tp t="e">
        <v>#N/A</v>
        <stp/>
        <stp>BDH|14494723601212739682</stp>
        <tr r="Q10" s="2"/>
      </tp>
      <tp t="e">
        <v>#N/A</v>
        <stp/>
        <stp>BDH|11844067720236094260</stp>
        <tr r="F47" s="2"/>
      </tp>
      <tp t="e">
        <v>#N/A</v>
        <stp/>
        <stp>BDH|15702253531847208496</stp>
        <tr r="G18" s="2"/>
      </tp>
      <tp t="e">
        <v>#N/A</v>
        <stp/>
        <stp>BDH|10653576989219761377</stp>
        <tr r="AL19" s="2"/>
      </tp>
      <tp t="e">
        <v>#N/A</v>
        <stp/>
        <stp>BDH|17459250946293580594</stp>
        <tr r="Z55" s="2"/>
      </tp>
      <tp t="e">
        <v>#N/A</v>
        <stp/>
        <stp>BDH|16280784978643888219</stp>
        <tr r="AA43" s="2"/>
      </tp>
      <tp t="e">
        <v>#N/A</v>
        <stp/>
        <stp>BDH|14912000426664083541</stp>
        <tr r="C58" s="2"/>
      </tp>
      <tp t="e">
        <v>#N/A</v>
        <stp/>
        <stp>BDH|12979446976095067304</stp>
        <tr r="O42" s="2"/>
      </tp>
      <tp t="e">
        <v>#N/A</v>
        <stp/>
        <stp>BDH|17772587040469341863</stp>
        <tr r="M41" s="2"/>
      </tp>
      <tp t="e">
        <v>#N/A</v>
        <stp/>
        <stp>BDH|17948139749620788593</stp>
        <tr r="G37" s="2"/>
      </tp>
      <tp t="e">
        <v>#N/A</v>
        <stp/>
        <stp>BDH|17202501248358528931</stp>
        <tr r="N41" s="2"/>
      </tp>
      <tp t="e">
        <v>#N/A</v>
        <stp/>
        <stp>BDH|12711776047483265592</stp>
        <tr r="Q15" s="2"/>
      </tp>
      <tp t="e">
        <v>#N/A</v>
        <stp/>
        <stp>BDH|11930163861429473864</stp>
        <tr r="AJ57" s="2"/>
      </tp>
      <tp t="e">
        <v>#N/A</v>
        <stp/>
        <stp>BDH|15435476919447449023</stp>
        <tr r="H61" s="2"/>
      </tp>
      <tp t="e">
        <v>#N/A</v>
        <stp/>
        <stp>BDH|12928361828861277599</stp>
        <tr r="V58" s="2"/>
      </tp>
      <tp t="e">
        <v>#N/A</v>
        <stp/>
        <stp>BDH|14926359651236036324</stp>
        <tr r="AJ23" s="2"/>
      </tp>
      <tp t="e">
        <v>#N/A</v>
        <stp/>
        <stp>BDH|11679877890184859366</stp>
        <tr r="AL14" s="2"/>
      </tp>
      <tp t="e">
        <v>#N/A</v>
        <stp/>
        <stp>BDH|15307519589426644929</stp>
        <tr r="O46" s="2"/>
      </tp>
      <tp t="e">
        <v>#N/A</v>
        <stp/>
        <stp>BDH|10472942011126970973</stp>
        <tr r="AI14" s="2"/>
      </tp>
      <tp t="e">
        <v>#N/A</v>
        <stp/>
        <stp>BDH|10390648534101470380</stp>
        <tr r="L30" s="2"/>
      </tp>
      <tp t="e">
        <v>#N/A</v>
        <stp/>
        <stp>BDH|13293142011386943202</stp>
        <tr r="AJ25" s="2"/>
      </tp>
      <tp t="e">
        <v>#N/A</v>
        <stp/>
        <stp>BDH|12052912705324801823</stp>
        <tr r="AF57" s="2"/>
      </tp>
      <tp t="e">
        <v>#N/A</v>
        <stp/>
        <stp>BDH|12299665917218515974</stp>
        <tr r="R53" s="2"/>
      </tp>
      <tp t="e">
        <v>#N/A</v>
        <stp/>
        <stp>BDH|14004125508865958427</stp>
        <tr r="AB10" s="2"/>
      </tp>
      <tp t="e">
        <v>#N/A</v>
        <stp/>
        <stp>BDH|11297995272662024987</stp>
        <tr r="AA8" s="2"/>
      </tp>
      <tp t="e">
        <v>#N/A</v>
        <stp/>
        <stp>BDH|17744733638696479198</stp>
        <tr r="K34" s="2"/>
      </tp>
      <tp t="e">
        <v>#N/A</v>
        <stp/>
        <stp>BDH|11341965078359477287</stp>
        <tr r="E17" s="2"/>
      </tp>
      <tp t="e">
        <v>#N/A</v>
        <stp/>
        <stp>BDH|14354739172104138428</stp>
        <tr r="K31" s="2"/>
      </tp>
      <tp t="e">
        <v>#N/A</v>
        <stp/>
        <stp>BDH|11640874914799375575</stp>
        <tr r="X28" s="2"/>
      </tp>
      <tp t="e">
        <v>#N/A</v>
        <stp/>
        <stp>BDH|12300271813652018762</stp>
        <tr r="Q41" s="2"/>
      </tp>
      <tp t="e">
        <v>#N/A</v>
        <stp/>
        <stp>BDH|14808471034291831624</stp>
        <tr r="S43" s="2"/>
      </tp>
      <tp t="e">
        <v>#N/A</v>
        <stp/>
        <stp>BDH|14863978390642703280</stp>
        <tr r="AC57" s="2"/>
      </tp>
      <tp t="e">
        <v>#N/A</v>
        <stp/>
        <stp>BDH|13130790017426998753</stp>
        <tr r="Y17" s="2"/>
      </tp>
      <tp t="e">
        <v>#N/A</v>
        <stp/>
        <stp>BDH|18395227852849142210</stp>
        <tr r="D46" s="2"/>
      </tp>
      <tp t="e">
        <v>#N/A</v>
        <stp/>
        <stp>BDH|10782623956410297721</stp>
        <tr r="AL30" s="2"/>
      </tp>
      <tp t="e">
        <v>#N/A</v>
        <stp/>
        <stp>BDH|17574527802144375249</stp>
        <tr r="K13" s="2"/>
      </tp>
      <tp t="e">
        <v>#N/A</v>
        <stp/>
        <stp>BDH|16119305080820724940</stp>
        <tr r="V37" s="2"/>
      </tp>
      <tp t="e">
        <v>#N/A</v>
        <stp/>
        <stp>BDH|17269077355456257007</stp>
        <tr r="M16" s="2"/>
      </tp>
      <tp t="e">
        <v>#N/A</v>
        <stp/>
        <stp>BDH|10857090463486404445</stp>
        <tr r="AI16" s="2"/>
      </tp>
      <tp t="e">
        <v>#N/A</v>
        <stp/>
        <stp>BDH|18265245296681536601</stp>
        <tr r="AA62" s="2"/>
      </tp>
      <tp t="e">
        <v>#N/A</v>
        <stp/>
        <stp>BDH|14740475017947080225</stp>
        <tr r="AF24" s="2"/>
      </tp>
      <tp t="e">
        <v>#N/A</v>
        <stp/>
        <stp>BDH|16834536819900408622</stp>
        <tr r="N6" s="2"/>
      </tp>
      <tp t="e">
        <v>#N/A</v>
        <stp/>
        <stp>BDH|16015446044972188057</stp>
        <tr r="AE12" s="2"/>
      </tp>
      <tp t="e">
        <v>#N/A</v>
        <stp/>
        <stp>BDH|10915483595930753979</stp>
        <tr r="N32" s="2"/>
      </tp>
      <tp t="e">
        <v>#N/A</v>
        <stp/>
        <stp>BDH|17209245409619911819</stp>
        <tr r="J47" s="2"/>
      </tp>
      <tp t="e">
        <v>#N/A</v>
        <stp/>
        <stp>BDH|13377558282532342806</stp>
        <tr r="Z36" s="2"/>
      </tp>
      <tp t="e">
        <v>#N/A</v>
        <stp/>
        <stp>BDH|10244580407804284589</stp>
        <tr r="C43" s="2"/>
      </tp>
      <tp t="e">
        <v>#N/A</v>
        <stp/>
        <stp>BDH|10551142374936374415</stp>
        <tr r="P8" s="2"/>
      </tp>
      <tp t="e">
        <v>#N/A</v>
        <stp/>
        <stp>BDH|13706327673441600270</stp>
        <tr r="C45" s="2"/>
      </tp>
      <tp t="e">
        <v>#N/A</v>
        <stp/>
        <stp>BDH|17947007388412115974</stp>
        <tr r="AE42" s="2"/>
      </tp>
      <tp t="e">
        <v>#N/A</v>
        <stp/>
        <stp>BDH|15658205654642037454</stp>
        <tr r="AA6" s="2"/>
      </tp>
      <tp t="e">
        <v>#N/A</v>
        <stp/>
        <stp>BDH|10210807281071500511</stp>
        <tr r="AC28" s="2"/>
      </tp>
      <tp t="e">
        <v>#N/A</v>
        <stp/>
        <stp>BDH|16319138348245769288</stp>
        <tr r="AA48" s="2"/>
      </tp>
      <tp t="e">
        <v>#N/A</v>
        <stp/>
        <stp>BDH|11222019352258136866</stp>
        <tr r="H6" s="2"/>
      </tp>
      <tp t="e">
        <v>#N/A</v>
        <stp/>
        <stp>BDH|16343281710917597684</stp>
        <tr r="AM62" s="2"/>
      </tp>
      <tp t="e">
        <v>#N/A</v>
        <stp/>
        <stp>BDH|12140408036585989486</stp>
        <tr r="N14" s="2"/>
      </tp>
      <tp t="e">
        <v>#N/A</v>
        <stp/>
        <stp>BDH|11572154341527264755</stp>
        <tr r="P38" s="2"/>
        <tr r="P26" s="2"/>
      </tp>
      <tp t="e">
        <v>#N/A</v>
        <stp/>
        <stp>BDH|10332636190629320254</stp>
        <tr r="T32" s="2"/>
      </tp>
      <tp t="e">
        <v>#N/A</v>
        <stp/>
        <stp>BDH|16242388062181678674</stp>
        <tr r="AA21" s="2"/>
      </tp>
      <tp t="e">
        <v>#N/A</v>
        <stp/>
        <stp>BDH|17804435373802593249</stp>
        <tr r="AH30" s="2"/>
      </tp>
      <tp t="e">
        <v>#N/A</v>
        <stp/>
        <stp>BDH|10854156644410312135</stp>
        <tr r="I30" s="2"/>
      </tp>
      <tp t="e">
        <v>#N/A</v>
        <stp/>
        <stp>BDH|15316637259254737675</stp>
        <tr r="AH38" s="2"/>
        <tr r="AH26" s="2"/>
      </tp>
      <tp t="e">
        <v>#N/A</v>
        <stp/>
        <stp>BDH|16171020347436830050</stp>
        <tr r="AM18" s="2"/>
      </tp>
      <tp t="e">
        <v>#N/A</v>
        <stp/>
        <stp>BDH|11445861186853425698</stp>
        <tr r="AA55" s="2"/>
      </tp>
      <tp t="e">
        <v>#N/A</v>
        <stp/>
        <stp>BDH|10572491423121149376</stp>
        <tr r="K40" s="2"/>
      </tp>
      <tp t="e">
        <v>#N/A</v>
        <stp/>
        <stp>BDH|12221607759692332715</stp>
        <tr r="V14" s="2"/>
      </tp>
      <tp t="e">
        <v>#N/A</v>
        <stp/>
        <stp>BDH|14502598730591314776</stp>
        <tr r="AK12" s="2"/>
      </tp>
      <tp t="e">
        <v>#N/A</v>
        <stp/>
        <stp>BDH|11419433221000644386</stp>
        <tr r="L6" s="2"/>
      </tp>
      <tp t="e">
        <v>#N/A</v>
        <stp/>
        <stp>BDH|15151699836140050451</stp>
        <tr r="Y10" s="2"/>
      </tp>
      <tp t="e">
        <v>#N/A</v>
        <stp/>
        <stp>BDH|13834614472970478646</stp>
        <tr r="Z62" s="2"/>
      </tp>
      <tp t="e">
        <v>#N/A</v>
        <stp/>
        <stp>BDH|13423214449744522520</stp>
        <tr r="AN11" s="2"/>
      </tp>
      <tp t="e">
        <v>#N/A</v>
        <stp/>
        <stp>BDH|17003422368880504151</stp>
        <tr r="E10" s="2"/>
      </tp>
      <tp t="e">
        <v>#N/A</v>
        <stp/>
        <stp>BDH|10480260185287516983</stp>
        <tr r="AL58" s="2"/>
      </tp>
      <tp t="e">
        <v>#N/A</v>
        <stp/>
        <stp>BDH|12603180907737246012</stp>
        <tr r="D20" s="2"/>
      </tp>
      <tp t="e">
        <v>#N/A</v>
        <stp/>
        <stp>BDH|14866247100735450724</stp>
        <tr r="Q20" s="2"/>
      </tp>
      <tp t="e">
        <v>#N/A</v>
        <stp/>
        <stp>BDH|18227001483707583395</stp>
        <tr r="AG19" s="2"/>
      </tp>
      <tp t="e">
        <v>#N/A</v>
        <stp/>
        <stp>BDH|12293687380439563123</stp>
        <tr r="AG43" s="2"/>
      </tp>
      <tp t="e">
        <v>#N/A</v>
        <stp/>
        <stp>BDH|10079742710926145493</stp>
        <tr r="AC62" s="2"/>
      </tp>
      <tp t="e">
        <v>#N/A</v>
        <stp/>
        <stp>BDH|17564673153159498996</stp>
        <tr r="Z9" s="2"/>
      </tp>
      <tp t="e">
        <v>#N/A</v>
        <stp/>
        <stp>BDH|11092273571235804522</stp>
        <tr r="AM41" s="2"/>
      </tp>
      <tp t="e">
        <v>#N/A</v>
        <stp/>
        <stp>BDH|11584571713087879656</stp>
        <tr r="R21" s="2"/>
      </tp>
      <tp t="e">
        <v>#N/A</v>
        <stp/>
        <stp>BDH|14460645470214583595</stp>
        <tr r="Z12" s="2"/>
      </tp>
      <tp t="e">
        <v>#N/A</v>
        <stp/>
        <stp>BDH|16928013038304531591</stp>
        <tr r="K59" s="2"/>
      </tp>
      <tp t="e">
        <v>#N/A</v>
        <stp/>
        <stp>BDH|18242918610413855747</stp>
        <tr r="Q27" s="2"/>
      </tp>
      <tp t="e">
        <v>#N/A</v>
        <stp/>
        <stp>BDH|16143744901990311581</stp>
        <tr r="AD58" s="2"/>
      </tp>
      <tp t="e">
        <v>#N/A</v>
        <stp/>
        <stp>BDH|13513779919411306071</stp>
        <tr r="O10" s="2"/>
      </tp>
      <tp t="e">
        <v>#N/A</v>
        <stp/>
        <stp>BDH|17388259549177978290</stp>
        <tr r="AN34" s="2"/>
      </tp>
      <tp t="e">
        <v>#N/A</v>
        <stp/>
        <stp>BDH|12214252666487879566</stp>
        <tr r="AC7" s="2"/>
      </tp>
      <tp t="e">
        <v>#N/A</v>
        <stp/>
        <stp>BDH|13943272629603098490</stp>
        <tr r="Q43" s="2"/>
      </tp>
      <tp t="e">
        <v>#N/A</v>
        <stp/>
        <stp>BDH|16062589203181063651</stp>
        <tr r="R32" s="2"/>
      </tp>
      <tp t="e">
        <v>#N/A</v>
        <stp/>
        <stp>BDH|10873354449357983430</stp>
        <tr r="AA11" s="2"/>
      </tp>
      <tp t="e">
        <v>#N/A</v>
        <stp/>
        <stp>BDH|15493529455224825558</stp>
        <tr r="C20" s="2"/>
      </tp>
      <tp t="e">
        <v>#N/A</v>
        <stp/>
        <stp>BDH|15369230169454343144</stp>
        <tr r="AJ61" s="2"/>
      </tp>
      <tp t="e">
        <v>#N/A</v>
        <stp/>
        <stp>BDH|16007001396098054386</stp>
        <tr r="AC24" s="2"/>
      </tp>
      <tp t="e">
        <v>#N/A</v>
        <stp/>
        <stp>BDH|11892348909983882537</stp>
        <tr r="Y24" s="2"/>
      </tp>
      <tp t="e">
        <v>#N/A</v>
        <stp/>
        <stp>BDH|10901661830407391628</stp>
        <tr r="AJ20" s="2"/>
      </tp>
      <tp t="e">
        <v>#N/A</v>
        <stp/>
        <stp>BDH|10496577806320739036</stp>
        <tr r="H27" s="2"/>
      </tp>
      <tp t="e">
        <v>#N/A</v>
        <stp/>
        <stp>BDH|15677718604706155133</stp>
        <tr r="AJ16" s="2"/>
      </tp>
      <tp t="e">
        <v>#N/A</v>
        <stp/>
        <stp>BDH|17673875785397259576</stp>
        <tr r="S18" s="2"/>
      </tp>
      <tp t="e">
        <v>#N/A</v>
        <stp/>
        <stp>BDH|10736797727706911615</stp>
        <tr r="Y30" s="2"/>
      </tp>
      <tp t="e">
        <v>#N/A</v>
        <stp/>
        <stp>BDH|16137402827055760001</stp>
        <tr r="L25" s="2"/>
      </tp>
      <tp t="e">
        <v>#N/A</v>
        <stp/>
        <stp>BDH|13124985829625231823</stp>
        <tr r="I55" s="2"/>
      </tp>
      <tp t="e">
        <v>#N/A</v>
        <stp/>
        <stp>BDH|14072482037142949467</stp>
        <tr r="AC37" s="2"/>
      </tp>
      <tp t="e">
        <v>#N/A</v>
        <stp/>
        <stp>BDH|18229871328983950474</stp>
        <tr r="AB28" s="2"/>
      </tp>
      <tp t="e">
        <v>#N/A</v>
        <stp/>
        <stp>BDH|10253906658059835013</stp>
        <tr r="AH41" s="2"/>
      </tp>
      <tp t="e">
        <v>#N/A</v>
        <stp/>
        <stp>BDH|11544222673200423135</stp>
        <tr r="J17" s="2"/>
      </tp>
      <tp t="e">
        <v>#N/A</v>
        <stp/>
        <stp>BDH|10155005244412066379</stp>
        <tr r="E40" s="2"/>
      </tp>
      <tp t="e">
        <v>#N/A</v>
        <stp/>
        <stp>BDH|13327487648076994081</stp>
        <tr r="AK9" s="2"/>
      </tp>
      <tp t="e">
        <v>#N/A</v>
        <stp/>
        <stp>BDH|14351642935721431540</stp>
        <tr r="AD22" s="2"/>
      </tp>
      <tp t="e">
        <v>#N/A</v>
        <stp/>
        <stp>BDH|16439175973302630745</stp>
        <tr r="I18" s="2"/>
      </tp>
      <tp t="e">
        <v>#N/A</v>
        <stp/>
        <stp>BDH|18235425380649471866</stp>
        <tr r="R13" s="2"/>
      </tp>
      <tp t="e">
        <v>#N/A</v>
        <stp/>
        <stp>BDH|17957165921362526391</stp>
        <tr r="Q63" s="2"/>
      </tp>
      <tp t="e">
        <v>#N/A</v>
        <stp/>
        <stp>BDH|11272953092357218352</stp>
        <tr r="T7" s="2"/>
      </tp>
      <tp t="e">
        <v>#N/A</v>
        <stp/>
        <stp>BDH|17245663525895103357</stp>
        <tr r="Q8" s="2"/>
      </tp>
      <tp t="e">
        <v>#N/A</v>
        <stp/>
        <stp>BDH|15381494809070283449</stp>
        <tr r="V36" s="2"/>
      </tp>
      <tp t="e">
        <v>#N/A</v>
        <stp/>
        <stp>BDH|13938017643624651684</stp>
        <tr r="D60" s="2"/>
      </tp>
      <tp t="e">
        <v>#N/A</v>
        <stp/>
        <stp>BDH|15531098665405463389</stp>
        <tr r="H34" s="2"/>
      </tp>
      <tp t="e">
        <v>#N/A</v>
        <stp/>
        <stp>BDH|14436601070007837791</stp>
        <tr r="AI15" s="2"/>
      </tp>
      <tp t="e">
        <v>#N/A</v>
        <stp/>
        <stp>BDH|15408844590505236469</stp>
        <tr r="AC31" s="2"/>
      </tp>
      <tp t="e">
        <v>#N/A</v>
        <stp/>
        <stp>BDH|16313259605549451832</stp>
        <tr r="AM47" s="2"/>
      </tp>
      <tp t="e">
        <v>#N/A</v>
        <stp/>
        <stp>BDH|11803480305040454053</stp>
        <tr r="I9" s="2"/>
      </tp>
      <tp t="e">
        <v>#N/A</v>
        <stp/>
        <stp>BDH|11628425302302002220</stp>
        <tr r="AH40" s="2"/>
      </tp>
      <tp t="e">
        <v>#N/A</v>
        <stp/>
        <stp>BDH|16397153144933604507</stp>
        <tr r="AK63" s="2"/>
      </tp>
      <tp t="e">
        <v>#N/A</v>
        <stp/>
        <stp>BDH|16341713432921656616</stp>
        <tr r="AJ53" s="2"/>
      </tp>
      <tp t="e">
        <v>#N/A</v>
        <stp/>
        <stp>BDH|17135655901052556671</stp>
        <tr r="W32" s="2"/>
      </tp>
      <tp t="e">
        <v>#N/A</v>
        <stp/>
        <stp>BDH|11133442145006110267</stp>
        <tr r="AI43" s="2"/>
      </tp>
      <tp t="e">
        <v>#N/A</v>
        <stp/>
        <stp>BDH|10351161741579509967</stp>
        <tr r="AD9" s="2"/>
      </tp>
      <tp t="e">
        <v>#N/A</v>
        <stp/>
        <stp>BDH|15855865607129966171</stp>
        <tr r="G13" s="2"/>
      </tp>
      <tp t="e">
        <v>#N/A</v>
        <stp/>
        <stp>BDH|16315350910567140605</stp>
        <tr r="AL18" s="2"/>
      </tp>
      <tp t="e">
        <v>#N/A</v>
        <stp/>
        <stp>BDH|11950257879592217303</stp>
        <tr r="T63" s="2"/>
      </tp>
      <tp t="e">
        <v>#N/A</v>
        <stp/>
        <stp>BDH|16070356963144390230</stp>
        <tr r="AD34" s="2"/>
      </tp>
      <tp t="e">
        <v>#N/A</v>
        <stp/>
        <stp>BDH|13629958082711507624</stp>
        <tr r="D59" s="2"/>
      </tp>
      <tp t="e">
        <v>#N/A</v>
        <stp/>
        <stp>BDH|12743870955378715245</stp>
        <tr r="Q48" s="2"/>
      </tp>
      <tp t="e">
        <v>#N/A</v>
        <stp/>
        <stp>BDH|18003407177168600674</stp>
        <tr r="Z47" s="2"/>
      </tp>
      <tp t="e">
        <v>#N/A</v>
        <stp/>
        <stp>BDH|10474104664036260440</stp>
        <tr r="H52" s="2"/>
      </tp>
      <tp t="e">
        <v>#N/A</v>
        <stp/>
        <stp>BDH|16358579661458297815</stp>
        <tr r="L55" s="2"/>
      </tp>
      <tp t="e">
        <v>#N/A</v>
        <stp/>
        <stp>BDH|11781530079560373672</stp>
        <tr r="AN57" s="2"/>
      </tp>
      <tp t="e">
        <v>#N/A</v>
        <stp/>
        <stp>BDH|11374953244911940824</stp>
        <tr r="H54" s="2"/>
      </tp>
      <tp t="e">
        <v>#N/A</v>
        <stp/>
        <stp>BDH|12421699291900178849</stp>
        <tr r="X21" s="2"/>
      </tp>
      <tp t="e">
        <v>#N/A</v>
        <stp/>
        <stp>BDH|17098638448406262619</stp>
        <tr r="AI60" s="2"/>
      </tp>
      <tp t="e">
        <v>#N/A</v>
        <stp/>
        <stp>BDH|12399530558004201327</stp>
        <tr r="AD38" s="2"/>
        <tr r="AD26" s="2"/>
      </tp>
      <tp t="e">
        <v>#N/A</v>
        <stp/>
        <stp>BDH|15554892397221459076</stp>
        <tr r="R61" s="2"/>
      </tp>
      <tp t="e">
        <v>#N/A</v>
        <stp/>
        <stp>BDH|10660739029673218357</stp>
        <tr r="AM14" s="2"/>
      </tp>
      <tp t="e">
        <v>#N/A</v>
        <stp/>
        <stp>BDH|10243692430600768071</stp>
        <tr r="C31" s="2"/>
      </tp>
      <tp t="e">
        <v>#N/A</v>
        <stp/>
        <stp>BDH|16988291449003565661</stp>
        <tr r="L38" s="2"/>
        <tr r="L26" s="2"/>
      </tp>
      <tp t="e">
        <v>#N/A</v>
        <stp/>
        <stp>BDH|12192892783370805799</stp>
        <tr r="N27" s="2"/>
      </tp>
      <tp t="e">
        <v>#N/A</v>
        <stp/>
        <stp>BDH|16116243725254484799</stp>
        <tr r="Q13" s="2"/>
      </tp>
      <tp t="e">
        <v>#N/A</v>
        <stp/>
        <stp>BDH|16048369602535166594</stp>
        <tr r="AB42" s="2"/>
      </tp>
      <tp t="e">
        <v>#N/A</v>
        <stp/>
        <stp>BDH|11189110160671951253</stp>
        <tr r="E23" s="2"/>
      </tp>
      <tp t="e">
        <v>#N/A</v>
        <stp/>
        <stp>BDH|15536345409411339272</stp>
        <tr r="L36" s="2"/>
      </tp>
      <tp t="e">
        <v>#N/A</v>
        <stp/>
        <stp>BDH|12490404933085805538</stp>
        <tr r="AB9" s="2"/>
      </tp>
      <tp t="e">
        <v>#N/A</v>
        <stp/>
        <stp>BDH|14578089606490777125</stp>
        <tr r="E33" s="2"/>
      </tp>
      <tp t="e">
        <v>#N/A</v>
        <stp/>
        <stp>BDH|14177336429111166148</stp>
        <tr r="AL54" s="2"/>
      </tp>
      <tp t="e">
        <v>#N/A</v>
        <stp/>
        <stp>BDH|18000669699615968785</stp>
        <tr r="W52" s="2"/>
      </tp>
      <tp t="e">
        <v>#N/A</v>
        <stp/>
        <stp>BDH|14602685771704448457</stp>
        <tr r="AI10" s="2"/>
      </tp>
      <tp t="e">
        <v>#N/A</v>
        <stp/>
        <stp>BDH|12266182849531963341</stp>
        <tr r="J36" s="2"/>
      </tp>
      <tp t="e">
        <v>#N/A</v>
        <stp/>
        <stp>BDH|13763624843331110594</stp>
        <tr r="AK59" s="2"/>
      </tp>
    </main>
    <main first="bofaddin.rtdserver">
      <tp t="e">
        <v>#N/A</v>
        <stp/>
        <stp>BDH|7514940988734449</stp>
        <tr r="AL47" s="2"/>
      </tp>
      <tp t="e">
        <v>#N/A</v>
        <stp/>
        <stp>BDH|5106890916082087248</stp>
        <tr r="AD41" s="2"/>
      </tp>
      <tp t="e">
        <v>#N/A</v>
        <stp/>
        <stp>BDH|3810971177741640041</stp>
        <tr r="U42" s="2"/>
      </tp>
      <tp t="e">
        <v>#N/A</v>
        <stp/>
        <stp>BDH|3429142088761601745</stp>
        <tr r="AM40" s="2"/>
      </tp>
      <tp t="e">
        <v>#N/A</v>
        <stp/>
        <stp>BDH|7481849359514735243</stp>
        <tr r="AI33" s="2"/>
      </tp>
      <tp t="e">
        <v>#N/A</v>
        <stp/>
        <stp>BDH|2318409162974976822</stp>
        <tr r="AJ29" s="2"/>
      </tp>
      <tp t="e">
        <v>#N/A</v>
        <stp/>
        <stp>BDH|9648014031617987158</stp>
        <tr r="X33" s="2"/>
      </tp>
      <tp t="e">
        <v>#N/A</v>
        <stp/>
        <stp>BDH|8884612270501537467</stp>
        <tr r="AL9" s="2"/>
      </tp>
      <tp t="e">
        <v>#N/A</v>
        <stp/>
        <stp>BDH|3379668808308304143</stp>
        <tr r="S32" s="2"/>
      </tp>
      <tp t="e">
        <v>#N/A</v>
        <stp/>
        <stp>BDH|5159294782180532342</stp>
        <tr r="X18" s="2"/>
      </tp>
      <tp t="e">
        <v>#N/A</v>
        <stp/>
        <stp>BDH|8280399512324206202</stp>
        <tr r="Y34" s="2"/>
      </tp>
      <tp t="e">
        <v>#N/A</v>
        <stp/>
        <stp>BDH|4169081252138557554</stp>
        <tr r="Y21" s="2"/>
      </tp>
      <tp t="e">
        <v>#N/A</v>
        <stp/>
        <stp>BDH|6243381527309250277</stp>
        <tr r="K21" s="2"/>
      </tp>
      <tp t="e">
        <v>#N/A</v>
        <stp/>
        <stp>BDH|7566594755893911882</stp>
        <tr r="V38" s="2"/>
        <tr r="V26" s="2"/>
      </tp>
      <tp t="e">
        <v>#N/A</v>
        <stp/>
        <stp>BDH|6977132388256891525</stp>
        <tr r="AF52" s="2"/>
      </tp>
      <tp t="e">
        <v>#N/A</v>
        <stp/>
        <stp>BDH|2263085978990344993</stp>
        <tr r="K15" s="2"/>
      </tp>
      <tp t="e">
        <v>#N/A</v>
        <stp/>
        <stp>BDH|3728205704739271486</stp>
        <tr r="AJ43" s="2"/>
      </tp>
      <tp t="e">
        <v>#N/A</v>
        <stp/>
        <stp>BDH|2795329001044849950</stp>
        <tr r="C57" s="2"/>
      </tp>
      <tp t="e">
        <v>#N/A</v>
        <stp/>
        <stp>BDH|8978052451002213363</stp>
        <tr r="AJ60" s="2"/>
      </tp>
      <tp t="e">
        <v>#N/A</v>
        <stp/>
        <stp>BDH|1347848271886899471</stp>
        <tr r="I17" s="2"/>
      </tp>
      <tp t="e">
        <v>#N/A</v>
        <stp/>
        <stp>BDH|2695099560498538038</stp>
        <tr r="K58" s="2"/>
      </tp>
      <tp t="e">
        <v>#N/A</v>
        <stp/>
        <stp>BDH|1825292017557903915</stp>
        <tr r="AK60" s="2"/>
      </tp>
      <tp t="e">
        <v>#N/A</v>
        <stp/>
        <stp>BDH|6197387263386264960</stp>
        <tr r="J45" s="2"/>
      </tp>
      <tp t="e">
        <v>#N/A</v>
        <stp/>
        <stp>BDH|7532826479973444745</stp>
        <tr r="Z61" s="2"/>
      </tp>
      <tp t="e">
        <v>#N/A</v>
        <stp/>
        <stp>BDH|8621791135185446509</stp>
        <tr r="T23" s="2"/>
      </tp>
      <tp t="e">
        <v>#N/A</v>
        <stp/>
        <stp>BDH|8735992941961718879</stp>
        <tr r="P9" s="2"/>
      </tp>
      <tp t="e">
        <v>#N/A</v>
        <stp/>
        <stp>BDH|5147894021010515333</stp>
        <tr r="X22" s="2"/>
      </tp>
      <tp t="e">
        <v>#N/A</v>
        <stp/>
        <stp>BDH|9780294471326728675</stp>
        <tr r="Q14" s="2"/>
      </tp>
      <tp t="e">
        <v>#N/A</v>
        <stp/>
        <stp>BDH|2243215419439083456</stp>
        <tr r="AN23" s="2"/>
      </tp>
      <tp t="e">
        <v>#N/A</v>
        <stp/>
        <stp>BDH|7556804758322042428</stp>
        <tr r="P6" s="2"/>
      </tp>
      <tp t="e">
        <v>#N/A</v>
        <stp/>
        <stp>BDH|7780281527939207265</stp>
        <tr r="AL32" s="2"/>
      </tp>
      <tp t="e">
        <v>#N/A</v>
        <stp/>
        <stp>BDH|1149058583405962028</stp>
        <tr r="Q22" s="2"/>
      </tp>
      <tp t="e">
        <v>#N/A</v>
        <stp/>
        <stp>BDH|4340012279936073970</stp>
        <tr r="J52" s="2"/>
      </tp>
      <tp t="e">
        <v>#N/A</v>
        <stp/>
        <stp>BDH|5491770582617556184</stp>
        <tr r="AI32" s="2"/>
      </tp>
      <tp t="e">
        <v>#N/A</v>
        <stp/>
        <stp>BDH|6745706259541377905</stp>
        <tr r="E6" s="2"/>
      </tp>
      <tp t="e">
        <v>#N/A</v>
        <stp/>
        <stp>BDH|1475978958132045361</stp>
        <tr r="AE9" s="2"/>
      </tp>
      <tp t="e">
        <v>#N/A</v>
        <stp/>
        <stp>BDH|3738862908142151558</stp>
        <tr r="AE23" s="2"/>
      </tp>
      <tp t="e">
        <v>#N/A</v>
        <stp/>
        <stp>BDH|7878897016624248671</stp>
        <tr r="AF11" s="2"/>
      </tp>
      <tp t="e">
        <v>#N/A</v>
        <stp/>
        <stp>BDH|2160444487355315732</stp>
        <tr r="AF15" s="2"/>
      </tp>
      <tp t="e">
        <v>#N/A</v>
        <stp/>
        <stp>BDH|9607714887353332916</stp>
        <tr r="AM60" s="2"/>
      </tp>
      <tp t="e">
        <v>#N/A</v>
        <stp/>
        <stp>BDH|9725754340734191210</stp>
        <tr r="T33" s="2"/>
      </tp>
      <tp t="e">
        <v>#N/A</v>
        <stp/>
        <stp>BDH|8838295873008540959</stp>
        <tr r="AM30" s="2"/>
      </tp>
      <tp t="e">
        <v>#N/A</v>
        <stp/>
        <stp>BDH|2085222789156052291</stp>
        <tr r="AD40" s="2"/>
      </tp>
      <tp t="e">
        <v>#N/A</v>
        <stp/>
        <stp>BDH|8677279251662509177</stp>
        <tr r="J62" s="2"/>
      </tp>
      <tp t="e">
        <v>#N/A</v>
        <stp/>
        <stp>BDH|2743930707506986198</stp>
        <tr r="M14" s="2"/>
      </tp>
      <tp t="e">
        <v>#N/A</v>
        <stp/>
        <stp>BDH|4770401466222004821</stp>
        <tr r="M45" s="2"/>
      </tp>
      <tp t="e">
        <v>#N/A</v>
        <stp/>
        <stp>BDH|8458570086108211141</stp>
        <tr r="AJ28" s="2"/>
      </tp>
      <tp t="e">
        <v>#N/A</v>
        <stp/>
        <stp>BDH|2532139386931937691</stp>
        <tr r="AL55" s="2"/>
      </tp>
      <tp t="e">
        <v>#N/A</v>
        <stp/>
        <stp>BDH|9402456356324349040</stp>
        <tr r="AF48" s="2"/>
      </tp>
      <tp t="e">
        <v>#N/A</v>
        <stp/>
        <stp>BDH|8727616711532069177</stp>
        <tr r="AB53" s="2"/>
      </tp>
      <tp t="e">
        <v>#N/A</v>
        <stp/>
        <stp>BDH|2711204417129689474</stp>
        <tr r="AK40" s="2"/>
      </tp>
      <tp t="e">
        <v>#N/A</v>
        <stp/>
        <stp>BDH|6956912871627655395</stp>
        <tr r="AM58" s="2"/>
      </tp>
      <tp t="e">
        <v>#N/A</v>
        <stp/>
        <stp>BDH|3625576196163464057</stp>
        <tr r="J25" s="2"/>
      </tp>
      <tp t="e">
        <v>#N/A</v>
        <stp/>
        <stp>BDH|7403251791148418827</stp>
        <tr r="P16" s="2"/>
      </tp>
      <tp t="e">
        <v>#N/A</v>
        <stp/>
        <stp>BDH|8720582396148884070</stp>
        <tr r="F25" s="2"/>
      </tp>
      <tp t="e">
        <v>#N/A</v>
        <stp/>
        <stp>BDH|7098045289604312782</stp>
        <tr r="H59" s="2"/>
      </tp>
      <tp t="e">
        <v>#N/A</v>
        <stp/>
        <stp>BDH|1081501511360774900</stp>
        <tr r="AH32" s="2"/>
      </tp>
      <tp t="e">
        <v>#N/A</v>
        <stp/>
        <stp>BDH|8034837334396909988</stp>
        <tr r="K11" s="2"/>
      </tp>
      <tp t="e">
        <v>#N/A</v>
        <stp/>
        <stp>BDH|2004560463508172532</stp>
        <tr r="AC23" s="2"/>
      </tp>
      <tp t="e">
        <v>#N/A</v>
        <stp/>
        <stp>BDH|7540962713381709200</stp>
        <tr r="AM48" s="2"/>
      </tp>
      <tp t="e">
        <v>#N/A</v>
        <stp/>
        <stp>BDH|4010009737188626362</stp>
        <tr r="AM20" s="2"/>
      </tp>
      <tp t="e">
        <v>#N/A</v>
        <stp/>
        <stp>BDH|8341168925531273654</stp>
        <tr r="M27" s="2"/>
      </tp>
      <tp t="e">
        <v>#N/A</v>
        <stp/>
        <stp>BDH|3630672720872315968</stp>
        <tr r="U21" s="2"/>
      </tp>
      <tp t="e">
        <v>#N/A</v>
        <stp/>
        <stp>BDH|5773384523720874800</stp>
        <tr r="U45" s="2"/>
      </tp>
      <tp t="e">
        <v>#N/A</v>
        <stp/>
        <stp>BDH|1443066921706735904</stp>
        <tr r="H18" s="2"/>
      </tp>
      <tp t="e">
        <v>#N/A</v>
        <stp/>
        <stp>BDH|3412365826256910886</stp>
        <tr r="I22" s="2"/>
      </tp>
      <tp t="e">
        <v>#N/A</v>
        <stp/>
        <stp>BDH|3020420689620983378</stp>
        <tr r="AE10" s="2"/>
      </tp>
      <tp t="e">
        <v>#N/A</v>
        <stp/>
        <stp>BDH|7619843346407357024</stp>
        <tr r="L24" s="2"/>
      </tp>
      <tp t="e">
        <v>#N/A</v>
        <stp/>
        <stp>BDH|6278534555848082219</stp>
        <tr r="D18" s="2"/>
      </tp>
      <tp t="e">
        <v>#N/A</v>
        <stp/>
        <stp>BDH|1508718909243001984</stp>
        <tr r="W53" s="2"/>
      </tp>
      <tp t="e">
        <v>#N/A</v>
        <stp/>
        <stp>BDH|1128818888745385915</stp>
        <tr r="H33" s="2"/>
      </tp>
      <tp t="e">
        <v>#N/A</v>
        <stp/>
        <stp>BDH|1839980738970689646</stp>
        <tr r="AD32" s="2"/>
      </tp>
      <tp t="e">
        <v>#N/A</v>
        <stp/>
        <stp>BDH|3127719293604889411</stp>
        <tr r="AI29" s="2"/>
      </tp>
      <tp t="e">
        <v>#N/A</v>
        <stp/>
        <stp>BDH|4725281293021687318</stp>
        <tr r="AD37" s="2"/>
      </tp>
      <tp t="e">
        <v>#N/A</v>
        <stp/>
        <stp>BDH|9827525652906046235</stp>
        <tr r="AK24" s="2"/>
      </tp>
      <tp t="e">
        <v>#N/A</v>
        <stp/>
        <stp>BDH|7631974172143804737</stp>
        <tr r="AJ15" s="2"/>
      </tp>
      <tp t="e">
        <v>#N/A</v>
        <stp/>
        <stp>BDH|8904824455670136874</stp>
        <tr r="P46" s="2"/>
      </tp>
      <tp t="e">
        <v>#N/A</v>
        <stp/>
        <stp>BDH|6602105123641841950</stp>
        <tr r="C21" s="2"/>
      </tp>
      <tp t="e">
        <v>#N/A</v>
        <stp/>
        <stp>BDH|7448147078948293425</stp>
        <tr r="N17" s="2"/>
      </tp>
      <tp t="e">
        <v>#N/A</v>
        <stp/>
        <stp>BDH|3888927176557515712</stp>
        <tr r="C59" s="2"/>
      </tp>
      <tp t="e">
        <v>#N/A</v>
        <stp/>
        <stp>BDH|3029336683723183695</stp>
        <tr r="AC18" s="2"/>
      </tp>
      <tp t="e">
        <v>#N/A</v>
        <stp/>
        <stp>BDH|1737787101749137263</stp>
        <tr r="D37" s="2"/>
      </tp>
      <tp t="e">
        <v>#N/A</v>
        <stp/>
        <stp>BDH|2228109296066955147</stp>
        <tr r="U57" s="2"/>
      </tp>
      <tp t="e">
        <v>#N/A</v>
        <stp/>
        <stp>BDH|9205175248836250712</stp>
        <tr r="W6" s="2"/>
      </tp>
      <tp t="e">
        <v>#N/A</v>
        <stp/>
        <stp>BDH|7132781750511409939</stp>
        <tr r="AF33" s="2"/>
      </tp>
      <tp t="e">
        <v>#N/A</v>
        <stp/>
        <stp>BDH|6329056654567572988</stp>
        <tr r="AE7" s="2"/>
      </tp>
      <tp t="e">
        <v>#N/A</v>
        <stp/>
        <stp>BDH|4414705781023169583</stp>
        <tr r="AK11" s="2"/>
      </tp>
      <tp t="e">
        <v>#N/A</v>
        <stp/>
        <stp>BDH|5288348589857790442</stp>
        <tr r="T31" s="2"/>
      </tp>
      <tp t="e">
        <v>#N/A</v>
        <stp/>
        <stp>BDH|9803911910779114541</stp>
        <tr r="C48" s="2"/>
      </tp>
      <tp t="e">
        <v>#N/A</v>
        <stp/>
        <stp>BDH|1598466329619511335</stp>
        <tr r="E37" s="2"/>
      </tp>
      <tp t="e">
        <v>#N/A</v>
        <stp/>
        <stp>BDH|2898048932159363505</stp>
        <tr r="O25" s="2"/>
      </tp>
      <tp t="e">
        <v>#N/A</v>
        <stp/>
        <stp>BDH|4919582812684770999</stp>
        <tr r="D62" s="2"/>
      </tp>
      <tp t="e">
        <v>#N/A</v>
        <stp/>
        <stp>BDH|2070830379866938618</stp>
        <tr r="C29" s="2"/>
      </tp>
      <tp t="e">
        <v>#N/A</v>
        <stp/>
        <stp>BDH|4443899680701996872</stp>
        <tr r="K7" s="2"/>
      </tp>
      <tp t="e">
        <v>#N/A</v>
        <stp/>
        <stp>BDH|8493629922378394948</stp>
        <tr r="T27" s="2"/>
      </tp>
      <tp t="e">
        <v>#N/A</v>
        <stp/>
        <stp>BDH|7747414142339015374</stp>
        <tr r="P41" s="2"/>
      </tp>
      <tp t="e">
        <v>#N/A</v>
        <stp/>
        <stp>BDH|9372553569112478584</stp>
        <tr r="E45" s="2"/>
      </tp>
      <tp t="e">
        <v>#N/A</v>
        <stp/>
        <stp>BDH|1309306535545632905</stp>
        <tr r="AA40" s="2"/>
      </tp>
      <tp t="e">
        <v>#N/A</v>
        <stp/>
        <stp>BDH|6234574598913522484</stp>
        <tr r="G21" s="2"/>
      </tp>
      <tp t="e">
        <v>#N/A</v>
        <stp/>
        <stp>BDH|5717839126192068023</stp>
        <tr r="H46" s="2"/>
      </tp>
      <tp t="e">
        <v>#N/A</v>
        <stp/>
        <stp>BDH|2725844341384744741</stp>
        <tr r="AL33" s="2"/>
      </tp>
      <tp t="e">
        <v>#N/A</v>
        <stp/>
        <stp>BDH|8292707028555223593</stp>
        <tr r="AN7" s="2"/>
      </tp>
      <tp t="e">
        <v>#N/A</v>
        <stp/>
        <stp>BDH|7304718025818953786</stp>
        <tr r="AF30" s="2"/>
      </tp>
      <tp t="e">
        <v>#N/A</v>
        <stp/>
        <stp>BDH|4143602931258147475</stp>
        <tr r="AL45" s="2"/>
      </tp>
      <tp t="e">
        <v>#N/A</v>
        <stp/>
        <stp>BDH|7702544375699390136</stp>
        <tr r="T28" s="2"/>
      </tp>
      <tp t="e">
        <v>#N/A</v>
        <stp/>
        <stp>BDH|3354197367878899120</stp>
        <tr r="AG23" s="2"/>
      </tp>
      <tp t="e">
        <v>#N/A</v>
        <stp/>
        <stp>BDH|7223448875710486936</stp>
        <tr r="J19" s="2"/>
      </tp>
      <tp t="e">
        <v>#N/A</v>
        <stp/>
        <stp>BDH|6846281957625456975</stp>
        <tr r="V55" s="2"/>
      </tp>
      <tp t="e">
        <v>#N/A</v>
        <stp/>
        <stp>BDH|9156946411325207922</stp>
        <tr r="AD27" s="2"/>
      </tp>
      <tp t="e">
        <v>#N/A</v>
        <stp/>
        <stp>BDH|4478287197382645090</stp>
        <tr r="W58" s="2"/>
      </tp>
      <tp t="e">
        <v>#N/A</v>
        <stp/>
        <stp>BDH|8223837721918360773</stp>
        <tr r="X31" s="2"/>
      </tp>
      <tp t="e">
        <v>#N/A</v>
        <stp/>
        <stp>BDH|1411913571947105513</stp>
        <tr r="P24" s="2"/>
      </tp>
      <tp t="e">
        <v>#N/A</v>
        <stp/>
        <stp>BDH|9595457153895530028</stp>
        <tr r="J53" s="2"/>
      </tp>
      <tp t="e">
        <v>#N/A</v>
        <stp/>
        <stp>BDH|9917097576947757448</stp>
        <tr r="Q36" s="2"/>
      </tp>
      <tp t="e">
        <v>#N/A</v>
        <stp/>
        <stp>BDH|8276226275920724076</stp>
        <tr r="T29" s="2"/>
      </tp>
      <tp t="e">
        <v>#N/A</v>
        <stp/>
        <stp>BDH|1939147002419273488</stp>
        <tr r="Q31" s="2"/>
      </tp>
      <tp t="e">
        <v>#N/A</v>
        <stp/>
        <stp>BDH|1758725261724705969</stp>
        <tr r="V48" s="2"/>
      </tp>
      <tp t="e">
        <v>#N/A</v>
        <stp/>
        <stp>BDH|8939534257357467136</stp>
        <tr r="X46" s="2"/>
      </tp>
      <tp t="e">
        <v>#N/A</v>
        <stp/>
        <stp>BDH|5643055799123815187</stp>
        <tr r="AE46" s="2"/>
      </tp>
      <tp t="e">
        <v>#N/A</v>
        <stp/>
        <stp>BDH|2628367148419336214</stp>
        <tr r="Y7" s="2"/>
      </tp>
      <tp t="e">
        <v>#N/A</v>
        <stp/>
        <stp>BDH|6340812179565491253</stp>
        <tr r="I57" s="2"/>
      </tp>
      <tp t="e">
        <v>#N/A</v>
        <stp/>
        <stp>BDH|3127393647019290372</stp>
        <tr r="AF7" s="2"/>
      </tp>
      <tp t="e">
        <v>#N/A</v>
        <stp/>
        <stp>BDH|4602092086695544778</stp>
        <tr r="W30" s="2"/>
      </tp>
      <tp t="e">
        <v>#N/A</v>
        <stp/>
        <stp>BDH|8917284566822562097</stp>
        <tr r="AA47" s="2"/>
      </tp>
      <tp t="e">
        <v>#N/A</v>
        <stp/>
        <stp>BDH|5381602276313664980</stp>
        <tr r="AG33" s="2"/>
      </tp>
      <tp t="e">
        <v>#N/A</v>
        <stp/>
        <stp>BDH|6647648892411214696</stp>
        <tr r="P57" s="2"/>
      </tp>
      <tp t="e">
        <v>#N/A</v>
        <stp/>
        <stp>BDH|6826524798616896228</stp>
        <tr r="K55" s="2"/>
      </tp>
      <tp t="e">
        <v>#N/A</v>
        <stp/>
        <stp>BDH|3393843169923720010</stp>
        <tr r="AK47" s="2"/>
      </tp>
      <tp t="e">
        <v>#N/A</v>
        <stp/>
        <stp>BDH|4877514456713409935</stp>
        <tr r="H9" s="2"/>
      </tp>
      <tp t="e">
        <v>#N/A</v>
        <stp/>
        <stp>BDH|3566140879573298822</stp>
        <tr r="AH58" s="2"/>
      </tp>
      <tp t="e">
        <v>#N/A</v>
        <stp/>
        <stp>BDH|1213425115842462891</stp>
        <tr r="J13" s="2"/>
      </tp>
      <tp t="e">
        <v>#N/A</v>
        <stp/>
        <stp>BDH|5830787865403921949</stp>
        <tr r="I27" s="2"/>
      </tp>
      <tp t="e">
        <v>#N/A</v>
        <stp/>
        <stp>BDH|6208193934002341850</stp>
        <tr r="AD13" s="2"/>
      </tp>
      <tp t="e">
        <v>#N/A</v>
        <stp/>
        <stp>BDH|4652286583551098149</stp>
        <tr r="V63" s="2"/>
      </tp>
      <tp t="e">
        <v>#N/A</v>
        <stp/>
        <stp>BDH|9669030668649757844</stp>
        <tr r="O63" s="2"/>
      </tp>
      <tp t="e">
        <v>#N/A</v>
        <stp/>
        <stp>BDH|9458517905727725597</stp>
        <tr r="AF42" s="2"/>
      </tp>
      <tp t="e">
        <v>#N/A</v>
        <stp/>
        <stp>BDH|8164020767236962637</stp>
        <tr r="D25" s="2"/>
      </tp>
      <tp t="e">
        <v>#N/A</v>
        <stp/>
        <stp>BDH|7140134869918629636</stp>
        <tr r="D17" s="2"/>
      </tp>
      <tp t="e">
        <v>#N/A</v>
        <stp/>
        <stp>BDH|9699262458222331249</stp>
        <tr r="U36" s="2"/>
      </tp>
      <tp t="e">
        <v>#N/A</v>
        <stp/>
        <stp>BDH|4057606569589314360</stp>
        <tr r="H41" s="2"/>
      </tp>
      <tp t="e">
        <v>#N/A</v>
        <stp/>
        <stp>BDH|6551752385145950205</stp>
        <tr r="L27" s="2"/>
      </tp>
      <tp t="e">
        <v>#N/A</v>
        <stp/>
        <stp>BDH|9525490319932983009</stp>
        <tr r="Z54" s="2"/>
      </tp>
      <tp t="e">
        <v>#N/A</v>
        <stp/>
        <stp>BDH|8071122509893767401</stp>
        <tr r="AE29" s="2"/>
      </tp>
      <tp t="e">
        <v>#N/A</v>
        <stp/>
        <stp>BDH|5491606249708022116</stp>
        <tr r="E19" s="2"/>
      </tp>
      <tp t="e">
        <v>#N/A</v>
        <stp/>
        <stp>BDH|7669699097345143356</stp>
        <tr r="AB58" s="2"/>
      </tp>
      <tp t="e">
        <v>#N/A</v>
        <stp/>
        <stp>BDH|4928590934568150483</stp>
        <tr r="S56" s="2"/>
      </tp>
      <tp t="e">
        <v>#N/A</v>
        <stp/>
        <stp>BDH|1470398407274494834</stp>
        <tr r="AE17" s="2"/>
      </tp>
      <tp t="e">
        <v>#N/A</v>
        <stp/>
        <stp>BDH|6565521735278806671</stp>
        <tr r="D8" s="2"/>
      </tp>
      <tp t="e">
        <v>#N/A</v>
        <stp/>
        <stp>BDH|9555709366583419558</stp>
        <tr r="AN30" s="2"/>
      </tp>
      <tp t="e">
        <v>#N/A</v>
        <stp/>
        <stp>BDH|8460818392705203279</stp>
        <tr r="O48" s="2"/>
      </tp>
      <tp t="e">
        <v>#N/A</v>
        <stp/>
        <stp>BDH|4057927457091212756</stp>
        <tr r="AE52" s="2"/>
      </tp>
      <tp t="e">
        <v>#N/A</v>
        <stp/>
        <stp>BDH|5718930267015681172</stp>
        <tr r="O20" s="2"/>
      </tp>
      <tp t="e">
        <v>#N/A</v>
        <stp/>
        <stp>BDH|7502165818551965814</stp>
        <tr r="AL48" s="2"/>
      </tp>
      <tp t="e">
        <v>#N/A</v>
        <stp/>
        <stp>BDH|4600107033070604802</stp>
        <tr r="N63" s="2"/>
      </tp>
      <tp t="e">
        <v>#N/A</v>
        <stp/>
        <stp>BDH|6167142886158434943</stp>
        <tr r="AG10" s="2"/>
      </tp>
      <tp t="e">
        <v>#N/A</v>
        <stp/>
        <stp>BDH|2329017700719347522</stp>
        <tr r="T18" s="2"/>
      </tp>
      <tp t="e">
        <v>#N/A</v>
        <stp/>
        <stp>BDH|1080081282391159687</stp>
        <tr r="AE14" s="2"/>
      </tp>
      <tp t="e">
        <v>#N/A</v>
        <stp/>
        <stp>BDH|2836985927686527119</stp>
        <tr r="AK15" s="2"/>
      </tp>
      <tp t="e">
        <v>#N/A</v>
        <stp/>
        <stp>BDH|3631353927855014977</stp>
        <tr r="AC36" s="2"/>
      </tp>
      <tp t="e">
        <v>#N/A</v>
        <stp/>
        <stp>BDH|1192660981423620218</stp>
        <tr r="AH24" s="2"/>
      </tp>
      <tp t="e">
        <v>#N/A</v>
        <stp/>
        <stp>BDH|2152334617047594916</stp>
        <tr r="AK33" s="2"/>
      </tp>
      <tp t="e">
        <v>#N/A</v>
        <stp/>
        <stp>BDH|7282924970894154371</stp>
        <tr r="T55" s="2"/>
      </tp>
      <tp t="e">
        <v>#N/A</v>
        <stp/>
        <stp>BDH|7978695292682626423</stp>
        <tr r="AN58" s="2"/>
      </tp>
      <tp t="e">
        <v>#N/A</v>
        <stp/>
        <stp>BDH|2948980835165546360</stp>
        <tr r="C27" s="2"/>
      </tp>
      <tp t="e">
        <v>#N/A</v>
        <stp/>
        <stp>BDH|1300047432605364910</stp>
        <tr r="AB25" s="2"/>
      </tp>
      <tp t="e">
        <v>#N/A</v>
        <stp/>
        <stp>BDH|1515470192210480233</stp>
        <tr r="Z56" s="2"/>
      </tp>
      <tp t="e">
        <v>#N/A</v>
        <stp/>
        <stp>BDH|1073361954298167173</stp>
        <tr r="AI6" s="2"/>
      </tp>
      <tp t="e">
        <v>#N/A</v>
        <stp/>
        <stp>BDH|7627148275558546760</stp>
        <tr r="AC12" s="2"/>
      </tp>
      <tp t="e">
        <v>#N/A</v>
        <stp/>
        <stp>BDH|6280913704276561765</stp>
        <tr r="S59" s="2"/>
      </tp>
      <tp t="e">
        <v>#N/A</v>
        <stp/>
        <stp>BDH|6994781249149902248</stp>
        <tr r="AL22" s="2"/>
      </tp>
      <tp t="e">
        <v>#N/A</v>
        <stp/>
        <stp>BDH|8737671436523096034</stp>
        <tr r="F6" s="2"/>
      </tp>
      <tp t="e">
        <v>#N/A</v>
        <stp/>
        <stp>BDH|2056014922017058969</stp>
        <tr r="Z25" s="2"/>
      </tp>
      <tp t="e">
        <v>#N/A</v>
        <stp/>
        <stp>BDH|91070883939251279</stp>
        <tr r="P55" s="2"/>
      </tp>
      <tp t="e">
        <v>#N/A</v>
        <stp/>
        <stp>BDH|4626884643125405236</stp>
        <tr r="F61" s="2"/>
      </tp>
      <tp t="e">
        <v>#N/A</v>
        <stp/>
        <stp>BDH|2526074999234454054</stp>
        <tr r="Y11" s="2"/>
      </tp>
      <tp t="e">
        <v>#N/A</v>
        <stp/>
        <stp>BDH|8818949256453837888</stp>
        <tr r="K53" s="2"/>
      </tp>
      <tp t="e">
        <v>#N/A</v>
        <stp/>
        <stp>BDH|5996658483920138446</stp>
        <tr r="Z53" s="2"/>
      </tp>
      <tp t="e">
        <v>#N/A</v>
        <stp/>
        <stp>BDH|7432860362307871138</stp>
        <tr r="L12" s="2"/>
      </tp>
      <tp t="e">
        <v>#N/A</v>
        <stp/>
        <stp>BDH|8105475272056906252</stp>
        <tr r="AF29" s="2"/>
      </tp>
      <tp t="e">
        <v>#N/A</v>
        <stp/>
        <stp>BDH|9081610350370871515</stp>
        <tr r="K36" s="2"/>
      </tp>
      <tp t="e">
        <v>#N/A</v>
        <stp/>
        <stp>BDH|2577565791800942135</stp>
        <tr r="AE36" s="2"/>
      </tp>
      <tp t="e">
        <v>#N/A</v>
        <stp/>
        <stp>BDH|4033961411565680692</stp>
        <tr r="D38" s="2"/>
        <tr r="D26" s="2"/>
      </tp>
      <tp t="e">
        <v>#N/A</v>
        <stp/>
        <stp>BDH|1095852453543693090</stp>
        <tr r="AN27" s="2"/>
      </tp>
      <tp t="e">
        <v>#N/A</v>
        <stp/>
        <stp>BDH|7201981668025533290</stp>
        <tr r="W9" s="2"/>
      </tp>
      <tp t="e">
        <v>#N/A</v>
        <stp/>
        <stp>BDH|4910915361632022676</stp>
        <tr r="AH53" s="2"/>
      </tp>
      <tp t="e">
        <v>#N/A</v>
        <stp/>
        <stp>BDH|6307373978115520879</stp>
        <tr r="AN18" s="2"/>
      </tp>
      <tp t="e">
        <v>#N/A</v>
        <stp/>
        <stp>BDH|4971696683803456697</stp>
        <tr r="AM37" s="2"/>
      </tp>
      <tp t="e">
        <v>#N/A</v>
        <stp/>
        <stp>BDH|9170593359331601786</stp>
        <tr r="N9" s="2"/>
      </tp>
      <tp t="e">
        <v>#N/A</v>
        <stp/>
        <stp>BDH|3236196009845647890</stp>
        <tr r="AK32" s="2"/>
      </tp>
      <tp t="e">
        <v>#N/A</v>
        <stp/>
        <stp>BDH|5294384066777321824</stp>
        <tr r="AD15" s="2"/>
      </tp>
      <tp t="e">
        <v>#N/A</v>
        <stp/>
        <stp>BDH|2934006349190586971</stp>
        <tr r="P47" s="2"/>
      </tp>
      <tp t="e">
        <v>#N/A</v>
        <stp/>
        <stp>BDH|9104059206842501440</stp>
        <tr r="G41" s="2"/>
      </tp>
      <tp t="e">
        <v>#N/A</v>
        <stp/>
        <stp>BDH|9688320942680093156</stp>
        <tr r="C36" s="2"/>
      </tp>
      <tp t="e">
        <v>#N/A</v>
        <stp/>
        <stp>BDH|7764347485336052557</stp>
        <tr r="S62" s="2"/>
      </tp>
      <tp t="e">
        <v>#N/A</v>
        <stp/>
        <stp>BDH|9164778573711548735</stp>
        <tr r="AE6" s="2"/>
      </tp>
      <tp t="e">
        <v>#N/A</v>
        <stp/>
        <stp>BDH|9530167046086450515</stp>
        <tr r="N61" s="2"/>
      </tp>
      <tp t="e">
        <v>#N/A</v>
        <stp/>
        <stp>BDH|3360095379222269907</stp>
        <tr r="K10" s="2"/>
      </tp>
      <tp t="e">
        <v>#N/A</v>
        <stp/>
        <stp>BDH|5311985009010351305</stp>
        <tr r="AL42" s="2"/>
      </tp>
      <tp t="e">
        <v>#N/A</v>
        <stp/>
        <stp>BDH|7575951932165166750</stp>
        <tr r="AJ52" s="2"/>
      </tp>
      <tp t="e">
        <v>#N/A</v>
        <stp/>
        <stp>BDH|8710351104793333731</stp>
        <tr r="Z29" s="2"/>
      </tp>
      <tp t="e">
        <v>#N/A</v>
        <stp/>
        <stp>BDH|1413946600584248341</stp>
        <tr r="R14" s="2"/>
      </tp>
      <tp t="e">
        <v>#N/A</v>
        <stp/>
        <stp>BDH|9951855999016062131</stp>
        <tr r="O58" s="2"/>
      </tp>
      <tp t="e">
        <v>#N/A</v>
        <stp/>
        <stp>BDH|1452973772871231149</stp>
        <tr r="U22" s="2"/>
      </tp>
      <tp t="e">
        <v>#N/A</v>
        <stp/>
        <stp>BDH|6615560837308186713</stp>
        <tr r="E58" s="2"/>
      </tp>
      <tp t="e">
        <v>#N/A</v>
        <stp/>
        <stp>BDH|3720345740079206252</stp>
        <tr r="AF37" s="2"/>
      </tp>
      <tp t="e">
        <v>#N/A</v>
        <stp/>
        <stp>BDH|2104873841662413373</stp>
        <tr r="F23" s="2"/>
      </tp>
      <tp t="e">
        <v>#N/A</v>
        <stp/>
        <stp>BDH|8969245533186999036</stp>
        <tr r="V32" s="2"/>
      </tp>
      <tp t="e">
        <v>#N/A</v>
        <stp/>
        <stp>BDH|8478290073373829135</stp>
        <tr r="AH33" s="2"/>
      </tp>
      <tp t="e">
        <v>#N/A</v>
        <stp/>
        <stp>BDH|8592168462644469403</stp>
        <tr r="U40" s="2"/>
      </tp>
      <tp t="e">
        <v>#N/A</v>
        <stp/>
        <stp>BDH|1940025157579895218</stp>
        <tr r="AA41" s="2"/>
      </tp>
      <tp t="e">
        <v>#N/A</v>
        <stp/>
        <stp>BDH|5607153511703481938</stp>
        <tr r="J33" s="2"/>
      </tp>
      <tp t="e">
        <v>#N/A</v>
        <stp/>
        <stp>BDH|7012793622749710492</stp>
        <tr r="J12" s="2"/>
      </tp>
      <tp t="e">
        <v>#N/A</v>
        <stp/>
        <stp>BDH|4931924929669111968</stp>
        <tr r="D12" s="2"/>
      </tp>
      <tp t="e">
        <v>#N/A</v>
        <stp/>
        <stp>BDH|2638295768868721157</stp>
        <tr r="AF19" s="2"/>
      </tp>
      <tp t="e">
        <v>#N/A</v>
        <stp/>
        <stp>BDH|8226420535932903296</stp>
        <tr r="P54" s="2"/>
      </tp>
      <tp t="e">
        <v>#N/A</v>
        <stp/>
        <stp>BDH|59765995698068491</stp>
        <tr r="AA28" s="2"/>
      </tp>
      <tp t="e">
        <v>#N/A</v>
        <stp/>
        <stp>BDH|9019794475409704810</stp>
        <tr r="P27" s="2"/>
      </tp>
      <tp t="e">
        <v>#N/A</v>
        <stp/>
        <stp>BDH|9708933837558166380</stp>
        <tr r="AK45" s="2"/>
      </tp>
      <tp t="e">
        <v>#N/A</v>
        <stp/>
        <stp>BDH|9047500236216940155</stp>
        <tr r="N58" s="2"/>
      </tp>
      <tp t="e">
        <v>#N/A</v>
        <stp/>
        <stp>BDH|9465974691243833205</stp>
        <tr r="AF16" s="2"/>
      </tp>
      <tp t="e">
        <v>#N/A</v>
        <stp/>
        <stp>BDH|1915025371167440956</stp>
        <tr r="Z17" s="2"/>
      </tp>
      <tp t="e">
        <v>#N/A</v>
        <stp/>
        <stp>BDH|3032485194504438237</stp>
        <tr r="U52" s="2"/>
      </tp>
      <tp t="e">
        <v>#N/A</v>
        <stp/>
        <stp>BDH|4899597135569867377</stp>
        <tr r="Q40" s="2"/>
      </tp>
      <tp t="e">
        <v>#N/A</v>
        <stp/>
        <stp>BDH|5077829730821327797</stp>
        <tr r="I11" s="2"/>
      </tp>
      <tp t="e">
        <v>#N/A</v>
        <stp/>
        <stp>BDH|9875574508233795782</stp>
        <tr r="N7" s="2"/>
      </tp>
      <tp t="e">
        <v>#N/A</v>
        <stp/>
        <stp>BDH|4876823135271319658</stp>
        <tr r="AB31" s="2"/>
      </tp>
      <tp t="e">
        <v>#N/A</v>
        <stp/>
        <stp>BDH|6624729764257987873</stp>
        <tr r="Z43" s="2"/>
      </tp>
      <tp t="e">
        <v>#N/A</v>
        <stp/>
        <stp>BDH|6292907568221637027</stp>
        <tr r="F56" s="2"/>
      </tp>
      <tp t="e">
        <v>#N/A</v>
        <stp/>
        <stp>BDH|9035375335917970652</stp>
        <tr r="R30" s="2"/>
      </tp>
      <tp t="e">
        <v>#N/A</v>
        <stp/>
        <stp>BDH|2906087258328382743</stp>
        <tr r="F20" s="2"/>
      </tp>
      <tp t="e">
        <v>#N/A</v>
        <stp/>
        <stp>BDH|7118357259080067920</stp>
        <tr r="AH20" s="2"/>
      </tp>
      <tp t="e">
        <v>#N/A</v>
        <stp/>
        <stp>BDH|4439160992311957565</stp>
        <tr r="AL46" s="2"/>
      </tp>
      <tp t="e">
        <v>#N/A</v>
        <stp/>
        <stp>BDH|9631183013476289708</stp>
        <tr r="T10" s="2"/>
      </tp>
      <tp t="e">
        <v>#N/A</v>
        <stp/>
        <stp>BDH|8711851267898949630</stp>
        <tr r="K52" s="2"/>
      </tp>
      <tp t="e">
        <v>#N/A</v>
        <stp/>
        <stp>BDH|7484091056549663324</stp>
        <tr r="AH60" s="2"/>
      </tp>
      <tp t="e">
        <v>#N/A</v>
        <stp/>
        <stp>BDH|8136169632412164089</stp>
        <tr r="AH11" s="2"/>
      </tp>
      <tp t="e">
        <v>#N/A</v>
        <stp/>
        <stp>BDH|4030687692176330557</stp>
        <tr r="AH34" s="2"/>
      </tp>
      <tp t="e">
        <v>#N/A</v>
        <stp/>
        <stp>BDH|8566058158217547218</stp>
        <tr r="I10" s="2"/>
      </tp>
      <tp t="e">
        <v>#N/A</v>
        <stp/>
        <stp>BDH|3519581413217170833</stp>
        <tr r="T25" s="2"/>
      </tp>
      <tp t="e">
        <v>#N/A</v>
        <stp/>
        <stp>BDH|7743541414663967830</stp>
        <tr r="G19" s="2"/>
      </tp>
      <tp t="e">
        <v>#N/A</v>
        <stp/>
        <stp>BDH|3781877718332367064</stp>
        <tr r="T45" s="2"/>
      </tp>
      <tp t="e">
        <v>#N/A</v>
        <stp/>
        <stp>BDH|4211330860421673853</stp>
        <tr r="V54" s="2"/>
      </tp>
      <tp t="e">
        <v>#N/A</v>
        <stp/>
        <stp>BDH|1082666137418030436</stp>
        <tr r="E8" s="2"/>
      </tp>
      <tp t="e">
        <v>#N/A</v>
        <stp/>
        <stp>BDH|6028413292466569552</stp>
        <tr r="AG61" s="2"/>
      </tp>
      <tp t="e">
        <v>#N/A</v>
        <stp/>
        <stp>BDH|8636936281055070471</stp>
        <tr r="C62" s="2"/>
      </tp>
      <tp t="e">
        <v>#N/A</v>
        <stp/>
        <stp>BDH|3726413184375652273</stp>
        <tr r="N19" s="2"/>
      </tp>
      <tp t="e">
        <v>#N/A</v>
        <stp/>
        <stp>BDH|2560895205626945436</stp>
        <tr r="R22" s="2"/>
      </tp>
      <tp t="e">
        <v>#N/A</v>
        <stp/>
        <stp>BDH|9527403005502643758</stp>
        <tr r="J30" s="2"/>
      </tp>
      <tp t="e">
        <v>#N/A</v>
        <stp/>
        <stp>BDH|7040713372107199815</stp>
        <tr r="N56" s="2"/>
      </tp>
      <tp t="e">
        <v>#N/A</v>
        <stp/>
        <stp>BDH|9887817987841736094</stp>
        <tr r="C6" s="2"/>
      </tp>
      <tp t="e">
        <v>#N/A</v>
        <stp/>
        <stp>BDH|3376261404601821894</stp>
        <tr r="O14" s="2"/>
      </tp>
      <tp t="e">
        <v>#N/A</v>
        <stp/>
        <stp>BDH|4428948971411901381</stp>
        <tr r="G20" s="2"/>
      </tp>
      <tp t="e">
        <v>#N/A</v>
        <stp/>
        <stp>BDH|1088263686310389325</stp>
        <tr r="S15" s="2"/>
      </tp>
      <tp t="e">
        <v>#N/A</v>
        <stp/>
        <stp>BDH|7340426191746303454</stp>
        <tr r="AN25" s="2"/>
      </tp>
      <tp t="e">
        <v>#N/A</v>
        <stp/>
        <stp>BDH|1342045034258305268</stp>
        <tr r="E14" s="2"/>
      </tp>
      <tp t="e">
        <v>#N/A</v>
        <stp/>
        <stp>BDH|5623380385394463286</stp>
        <tr r="S19" s="2"/>
      </tp>
      <tp t="e">
        <v>#N/A</v>
        <stp/>
        <stp>BDH|3576674606589276417</stp>
        <tr r="O43" s="2"/>
      </tp>
      <tp t="e">
        <v>#N/A</v>
        <stp/>
        <stp>BDH|2289422051709247244</stp>
        <tr r="T13" s="2"/>
      </tp>
      <tp t="e">
        <v>#N/A</v>
        <stp/>
        <stp>BDH|2643049141649760733</stp>
        <tr r="AE11" s="2"/>
      </tp>
      <tp t="e">
        <v>#N/A</v>
        <stp/>
        <stp>BDH|8023795269770777109</stp>
        <tr r="I34" s="2"/>
      </tp>
      <tp t="e">
        <v>#N/A</v>
        <stp/>
        <stp>BDH|1057560249070903824</stp>
        <tr r="Q11" s="2"/>
      </tp>
      <tp t="e">
        <v>#N/A</v>
        <stp/>
        <stp>BDH|9607789184508770699</stp>
        <tr r="E13" s="2"/>
      </tp>
      <tp t="e">
        <v>#N/A</v>
        <stp/>
        <stp>BDH|8284083620023761199</stp>
        <tr r="V6" s="2"/>
      </tp>
      <tp t="e">
        <v>#N/A</v>
        <stp/>
        <stp>BDH|6659478791913064046</stp>
        <tr r="V56" s="2"/>
      </tp>
      <tp t="e">
        <v>#N/A</v>
        <stp/>
        <stp>BDH|1558966041236548232</stp>
        <tr r="J15" s="2"/>
      </tp>
      <tp t="e">
        <v>#N/A</v>
        <stp/>
        <stp>BDH|6575263989483738794</stp>
        <tr r="F46" s="2"/>
      </tp>
      <tp t="e">
        <v>#N/A</v>
        <stp/>
        <stp>BDH|8197560774667019577</stp>
        <tr r="AK38" s="2"/>
        <tr r="AK26" s="2"/>
      </tp>
      <tp t="e">
        <v>#N/A</v>
        <stp/>
        <stp>BDH|2691426364998083046</stp>
        <tr r="AB21" s="2"/>
      </tp>
      <tp t="e">
        <v>#N/A</v>
        <stp/>
        <stp>BDH|5133352648222917818</stp>
        <tr r="AA56" s="2"/>
      </tp>
      <tp t="e">
        <v>#N/A</v>
        <stp/>
        <stp>BDH|8299602407414807291</stp>
        <tr r="AK46" s="2"/>
      </tp>
      <tp t="e">
        <v>#N/A</v>
        <stp/>
        <stp>BDH|2306649992166266329</stp>
        <tr r="AI42" s="2"/>
      </tp>
      <tp t="e">
        <v>#N/A</v>
        <stp/>
        <stp>BDH|1028003469688553799</stp>
        <tr r="AL41" s="2"/>
      </tp>
      <tp t="e">
        <v>#N/A</v>
        <stp/>
        <stp>BDH|7630114363279995183</stp>
        <tr r="R57" s="2"/>
      </tp>
      <tp t="e">
        <v>#N/A</v>
        <stp/>
        <stp>BDH|22878291347389352</stp>
        <tr r="W46" s="2"/>
      </tp>
      <tp t="e">
        <v>#N/A</v>
        <stp/>
        <stp>BDH|5526652926980564882</stp>
        <tr r="V42" s="2"/>
      </tp>
      <tp t="e">
        <v>#N/A</v>
        <stp/>
        <stp>BDH|8982820720719194219</stp>
        <tr r="AA14" s="2"/>
      </tp>
      <tp t="e">
        <v>#N/A</v>
        <stp/>
        <stp>BDH|2417981303350596229</stp>
        <tr r="M21" s="2"/>
      </tp>
      <tp t="e">
        <v>#N/A</v>
        <stp/>
        <stp>BDH|3934844557743681444</stp>
        <tr r="AJ12" s="2"/>
      </tp>
      <tp t="e">
        <v>#N/A</v>
        <stp/>
        <stp>BDH|3867986957562926474</stp>
        <tr r="AG25" s="2"/>
      </tp>
      <tp t="e">
        <v>#N/A</v>
        <stp/>
        <stp>BDH|2016051058679347777</stp>
        <tr r="G10" s="2"/>
      </tp>
      <tp t="e">
        <v>#N/A</v>
        <stp/>
        <stp>BDH|6303330781074844000</stp>
        <tr r="AG54" s="2"/>
      </tp>
      <tp t="e">
        <v>#N/A</v>
        <stp/>
        <stp>BDH|2764094356416129800</stp>
        <tr r="P61" s="2"/>
      </tp>
      <tp t="e">
        <v>#N/A</v>
        <stp/>
        <stp>BDH|3427316759404392860</stp>
        <tr r="F62" s="2"/>
      </tp>
      <tp t="e">
        <v>#N/A</v>
        <stp/>
        <stp>BDH|5615223489085657354</stp>
        <tr r="AE24" s="2"/>
      </tp>
      <tp t="e">
        <v>#N/A</v>
        <stp/>
        <stp>BDH|7089377629086979996</stp>
        <tr r="V31" s="2"/>
      </tp>
      <tp t="e">
        <v>#N/A</v>
        <stp/>
        <stp>BDH|8626189338453858017</stp>
        <tr r="E54" s="2"/>
      </tp>
      <tp t="e">
        <v>#N/A</v>
        <stp/>
        <stp>BDH|3905328883221032076</stp>
        <tr r="AL27" s="2"/>
      </tp>
      <tp t="e">
        <v>#N/A</v>
        <stp/>
        <stp>BDH|5302826351821604090</stp>
        <tr r="AB34" s="2"/>
      </tp>
      <tp t="e">
        <v>#N/A</v>
        <stp/>
        <stp>BDH|4782032377623618999</stp>
        <tr r="AN63" s="2"/>
      </tp>
      <tp t="e">
        <v>#N/A</v>
        <stp/>
        <stp>BDH|2384507585117210184</stp>
        <tr r="AD19" s="2"/>
      </tp>
      <tp t="e">
        <v>#N/A</v>
        <stp/>
        <stp>BDH|2031797500929430506</stp>
        <tr r="AN6" s="2"/>
      </tp>
      <tp t="e">
        <v>#N/A</v>
        <stp/>
        <stp>BDH|9475162269290415729</stp>
        <tr r="AA23" s="2"/>
      </tp>
      <tp t="e">
        <v>#N/A</v>
        <stp/>
        <stp>BDH|2757452920169528456</stp>
        <tr r="AM57" s="2"/>
      </tp>
      <tp t="e">
        <v>#N/A</v>
        <stp/>
        <stp>BDH|2465378915019039041</stp>
        <tr r="AA33" s="2"/>
      </tp>
      <tp t="e">
        <v>#N/A</v>
        <stp/>
        <stp>BDH|4966901817772974740</stp>
        <tr r="AN62" s="2"/>
      </tp>
      <tp t="e">
        <v>#N/A</v>
        <stp/>
        <stp>BDH|7198860764576399638</stp>
        <tr r="T42" s="2"/>
      </tp>
      <tp t="e">
        <v>#N/A</v>
        <stp/>
        <stp>BDH|1156213576249791421</stp>
        <tr r="AB13" s="2"/>
      </tp>
      <tp t="e">
        <v>#N/A</v>
        <stp/>
        <stp>BDH|1638398854928321680</stp>
        <tr r="C9" s="2"/>
      </tp>
      <tp t="e">
        <v>#N/A</v>
        <stp/>
        <stp>BDH|6295287219908505465</stp>
        <tr r="AJ32" s="2"/>
      </tp>
      <tp t="e">
        <v>#N/A</v>
        <stp/>
        <stp>BDH|5025516683108293906</stp>
        <tr r="AL16" s="2"/>
      </tp>
      <tp t="e">
        <v>#N/A</v>
        <stp/>
        <stp>BDH|6755831034132990690</stp>
        <tr r="AF61" s="2"/>
      </tp>
      <tp t="e">
        <v>#N/A</v>
        <stp/>
        <stp>BDH|7402359251709383120</stp>
        <tr r="D56" s="2"/>
      </tp>
      <tp t="e">
        <v>#N/A</v>
        <stp/>
        <stp>BDH|3304729441408003115</stp>
        <tr r="K27" s="2"/>
      </tp>
      <tp t="e">
        <v>#N/A</v>
        <stp/>
        <stp>BDH|1031357016742170841</stp>
        <tr r="J24" s="2"/>
      </tp>
      <tp t="e">
        <v>#N/A</v>
        <stp/>
        <stp>BDH|7028212437327141810</stp>
        <tr r="AK18" s="2"/>
      </tp>
      <tp t="e">
        <v>#N/A</v>
        <stp/>
        <stp>BDH|2039949172292257723</stp>
        <tr r="AJ42" s="2"/>
      </tp>
      <tp t="e">
        <v>#N/A</v>
        <stp/>
        <stp>BDH|8648880496978982865</stp>
        <tr r="Y58" s="2"/>
      </tp>
      <tp t="e">
        <v>#N/A</v>
        <stp/>
        <stp>BDH|4740005376772723811</stp>
        <tr r="J23" s="2"/>
      </tp>
      <tp t="e">
        <v>#N/A</v>
        <stp/>
        <stp>BDH|1748130595043458324</stp>
        <tr r="K37" s="2"/>
      </tp>
      <tp t="e">
        <v>#N/A</v>
        <stp/>
        <stp>BDH|6788831378791230190</stp>
        <tr r="AM19" s="2"/>
      </tp>
      <tp t="e">
        <v>#N/A</v>
        <stp/>
        <stp>BDH|4212507672947128861</stp>
        <tr r="M62" s="2"/>
      </tp>
      <tp t="e">
        <v>#N/A</v>
        <stp/>
        <stp>BDH|4881495402800133964</stp>
        <tr r="AE28" s="2"/>
      </tp>
      <tp t="e">
        <v>#N/A</v>
        <stp/>
        <stp>BDH|3203314490284170467</stp>
        <tr r="AI9" s="2"/>
      </tp>
      <tp t="e">
        <v>#N/A</v>
        <stp/>
        <stp>BDH|5837533899312496227</stp>
        <tr r="Q38" s="2"/>
        <tr r="Q26" s="2"/>
      </tp>
      <tp t="e">
        <v>#N/A</v>
        <stp/>
        <stp>BDH|7971745909548663174</stp>
        <tr r="N31" s="2"/>
      </tp>
      <tp t="e">
        <v>#N/A</v>
        <stp/>
        <stp>BDH|4062307476521796845</stp>
        <tr r="AK17" s="2"/>
      </tp>
      <tp t="e">
        <v>#N/A</v>
        <stp/>
        <stp>BDH|1348311307878413346</stp>
        <tr r="W10" s="2"/>
      </tp>
      <tp t="e">
        <v>#N/A</v>
        <stp/>
        <stp>BDH|5281894136580177460</stp>
        <tr r="M7" s="2"/>
      </tp>
      <tp t="e">
        <v>#N/A</v>
        <stp/>
        <stp>BDH|1324164132151425880</stp>
        <tr r="O7" s="2"/>
      </tp>
      <tp t="e">
        <v>#N/A</v>
        <stp/>
        <stp>BDH|9582780016535616068</stp>
        <tr r="AL15" s="2"/>
      </tp>
      <tp t="e">
        <v>#N/A</v>
        <stp/>
        <stp>BDH|1009938426157943772</stp>
        <tr r="AC41" s="2"/>
      </tp>
      <tp t="e">
        <v>#N/A</v>
        <stp/>
        <stp>BDH|4054597674888365465</stp>
        <tr r="L23" s="2"/>
      </tp>
      <tp t="e">
        <v>#N/A</v>
        <stp/>
        <stp>BDH|7006989003251523563</stp>
        <tr r="E7" s="2"/>
      </tp>
      <tp t="e">
        <v>#N/A</v>
        <stp/>
        <stp>BDH|1155950714665887605</stp>
        <tr r="AH45" s="2"/>
      </tp>
      <tp t="e">
        <v>#N/A</v>
        <stp/>
        <stp>BDH|8870240721305735734</stp>
        <tr r="N55" s="2"/>
      </tp>
      <tp t="e">
        <v>#N/A</v>
        <stp/>
        <stp>BDH|9281069870433851755</stp>
        <tr r="S60" s="2"/>
      </tp>
      <tp t="e">
        <v>#N/A</v>
        <stp/>
        <stp>BDH|2052952700581932023</stp>
        <tr r="C18" s="2"/>
      </tp>
      <tp t="e">
        <v>#N/A</v>
        <stp/>
        <stp>BDH|4959621197359384819</stp>
        <tr r="AD16" s="2"/>
      </tp>
      <tp t="e">
        <v>#N/A</v>
        <stp/>
        <stp>BDH|8247643179805350623</stp>
        <tr r="P19" s="2"/>
      </tp>
      <tp t="e">
        <v>#N/A</v>
        <stp/>
        <stp>BDH|8027056729771533178</stp>
        <tr r="AK16" s="2"/>
      </tp>
      <tp t="e">
        <v>#N/A</v>
        <stp/>
        <stp>BDH|1787028622508038198</stp>
        <tr r="F34" s="2"/>
      </tp>
      <tp t="e">
        <v>#N/A</v>
        <stp/>
        <stp>BDH|4843053996671060646</stp>
        <tr r="C12" s="2"/>
      </tp>
      <tp t="e">
        <v>#N/A</v>
        <stp/>
        <stp>BDH|1142892094513560961</stp>
        <tr r="AA63" s="2"/>
      </tp>
      <tp t="e">
        <v>#N/A</v>
        <stp/>
        <stp>BDH|8529564276796909638</stp>
        <tr r="AK48" s="2"/>
      </tp>
      <tp t="e">
        <v>#N/A</v>
        <stp/>
        <stp>BDH|2244616860580960859</stp>
        <tr r="AG8" s="2"/>
      </tp>
      <tp t="e">
        <v>#N/A</v>
        <stp/>
        <stp>BDH|9278322263692665491</stp>
        <tr r="R11" s="2"/>
      </tp>
      <tp t="e">
        <v>#N/A</v>
        <stp/>
        <stp>BDH|3259316879044019965</stp>
        <tr r="T16" s="2"/>
      </tp>
      <tp t="e">
        <v>#N/A</v>
        <stp/>
        <stp>BDH|1282339957778322592</stp>
        <tr r="D53" s="2"/>
      </tp>
      <tp t="e">
        <v>#N/A</v>
        <stp/>
        <stp>BDH|6851776043807028806</stp>
        <tr r="V33" s="2"/>
      </tp>
      <tp t="e">
        <v>#N/A</v>
        <stp/>
        <stp>BDH|1172023195085928720</stp>
        <tr r="AE16" s="2"/>
      </tp>
      <tp t="e">
        <v>#N/A</v>
        <stp/>
        <stp>BDH|5167744088934528453</stp>
        <tr r="Y32" s="2"/>
      </tp>
      <tp t="e">
        <v>#N/A</v>
        <stp/>
        <stp>BDH|2567345863854910965</stp>
        <tr r="AA59" s="2"/>
      </tp>
      <tp t="e">
        <v>#N/A</v>
        <stp/>
        <stp>BDH|7890596400510475883</stp>
        <tr r="R36" s="2"/>
      </tp>
      <tp t="e">
        <v>#N/A</v>
        <stp/>
        <stp>BDH|5769056991620623675</stp>
        <tr r="C42" s="2"/>
      </tp>
      <tp t="e">
        <v>#N/A</v>
        <stp/>
        <stp>BDH|8572369103208355919</stp>
        <tr r="AF25" s="2"/>
      </tp>
      <tp t="e">
        <v>#N/A</v>
        <stp/>
        <stp>BDH|4873055041529822365</stp>
        <tr r="N59" s="2"/>
      </tp>
      <tp t="e">
        <v>#N/A</v>
        <stp/>
        <stp>BDH|8800478509950022646</stp>
        <tr r="R16" s="2"/>
      </tp>
      <tp t="e">
        <v>#N/A</v>
        <stp/>
        <stp>BDH|9743676296929595516</stp>
        <tr r="Z45" s="2"/>
      </tp>
      <tp t="e">
        <v>#N/A</v>
        <stp/>
        <stp>BDH|5175952472957733638</stp>
        <tr r="M17" s="2"/>
      </tp>
      <tp t="e">
        <v>#N/A</v>
        <stp/>
        <stp>BDH|7622093759689338172</stp>
        <tr r="E9" s="2"/>
      </tp>
      <tp t="e">
        <v>#N/A</v>
        <stp/>
        <stp>BDH|4157485968164317809</stp>
        <tr r="Y54" s="2"/>
      </tp>
      <tp t="e">
        <v>#N/A</v>
        <stp/>
        <stp>BDH|1333138335158432131</stp>
        <tr r="U47" s="2"/>
      </tp>
      <tp t="e">
        <v>#N/A</v>
        <stp/>
        <stp>BDH|5982274612765800963</stp>
        <tr r="W38" s="2"/>
        <tr r="W26" s="2"/>
      </tp>
      <tp t="e">
        <v>#N/A</v>
        <stp/>
        <stp>BDH|3092770389082432482</stp>
        <tr r="Z42" s="2"/>
      </tp>
      <tp t="e">
        <v>#N/A</v>
        <stp/>
        <stp>BDH|2854470022999948765</stp>
        <tr r="L63" s="2"/>
      </tp>
      <tp t="e">
        <v>#N/A</v>
        <stp/>
        <stp>BDH|1409766506045348943</stp>
        <tr r="C32" s="2"/>
      </tp>
      <tp t="e">
        <v>#N/A</v>
        <stp/>
        <stp>BDH|9952445128457157271</stp>
        <tr r="D43" s="2"/>
      </tp>
      <tp t="e">
        <v>#N/A</v>
        <stp/>
        <stp>BDH|9382692313267333399</stp>
        <tr r="T59" s="2"/>
      </tp>
      <tp t="e">
        <v>#N/A</v>
        <stp/>
        <stp>BDH|2505337564585377823</stp>
        <tr r="Y45" s="2"/>
      </tp>
      <tp t="e">
        <v>#N/A</v>
        <stp/>
        <stp>BDH|9098342791538632105</stp>
        <tr r="AJ27" s="2"/>
      </tp>
      <tp t="e">
        <v>#N/A</v>
        <stp/>
        <stp>BDH|4397272066552939883</stp>
        <tr r="AK37" s="2"/>
      </tp>
      <tp t="e">
        <v>#N/A</v>
        <stp/>
        <stp>BDH|9134517769757033791</stp>
        <tr r="H10" s="2"/>
      </tp>
      <tp t="e">
        <v>#N/A</v>
        <stp/>
        <stp>BDH|1466615305199144414</stp>
        <tr r="S8" s="2"/>
      </tp>
      <tp t="e">
        <v>#N/A</v>
        <stp/>
        <stp>BDH|2171803111103673266</stp>
        <tr r="AN37" s="2"/>
      </tp>
      <tp t="e">
        <v>#N/A</v>
        <stp/>
        <stp>BDH|7048327799876881135</stp>
        <tr r="AE54" s="2"/>
      </tp>
      <tp t="e">
        <v>#N/A</v>
        <stp/>
        <stp>BDH|3580077852259235527</stp>
        <tr r="AM43" s="2"/>
      </tp>
      <tp t="e">
        <v>#N/A</v>
        <stp/>
        <stp>BDH|5012997409282191416</stp>
        <tr r="I13" s="2"/>
      </tp>
      <tp t="e">
        <v>#N/A</v>
        <stp/>
        <stp>BDH|9818168503170596291</stp>
        <tr r="K17" s="2"/>
      </tp>
      <tp t="e">
        <v>#N/A</v>
        <stp/>
        <stp>BDH|8734316221857344452</stp>
        <tr r="O16" s="2"/>
      </tp>
      <tp t="e">
        <v>#N/A</v>
        <stp/>
        <stp>BDH|1265313495592851388</stp>
        <tr r="AK28" s="2"/>
      </tp>
      <tp t="e">
        <v>#N/A</v>
        <stp/>
        <stp>BDH|7716875110504279049</stp>
        <tr r="O47" s="2"/>
      </tp>
      <tp t="e">
        <v>#N/A</v>
        <stp/>
        <stp>BDH|7702800430716528054</stp>
        <tr r="P14" s="2"/>
      </tp>
      <tp t="e">
        <v>#N/A</v>
        <stp/>
        <stp>BDH|8838079372100984532</stp>
        <tr r="AC13" s="2"/>
      </tp>
      <tp t="e">
        <v>#N/A</v>
        <stp/>
        <stp>BDH|8393328566633419443</stp>
        <tr r="AF12" s="2"/>
      </tp>
      <tp t="e">
        <v>#N/A</v>
        <stp/>
        <stp>BDH|6095511564249541679</stp>
        <tr r="F22" s="2"/>
      </tp>
      <tp t="e">
        <v>#N/A</v>
        <stp/>
        <stp>BDH|3957526545741012998</stp>
        <tr r="K43" s="2"/>
      </tp>
      <tp t="e">
        <v>#N/A</v>
        <stp/>
        <stp>BDH|1253312750458240556</stp>
        <tr r="L37" s="2"/>
      </tp>
      <tp t="e">
        <v>#N/A</v>
        <stp/>
        <stp>BDH|6938731289297501423</stp>
        <tr r="J37" s="2"/>
      </tp>
      <tp t="e">
        <v>#N/A</v>
        <stp/>
        <stp>BDH|6727962400456389369</stp>
        <tr r="R52" s="2"/>
      </tp>
      <tp t="e">
        <v>#N/A</v>
        <stp/>
        <stp>BDH|7340566443588032422</stp>
        <tr r="F36" s="2"/>
      </tp>
      <tp t="e">
        <v>#N/A</v>
        <stp/>
        <stp>BDH|7113975541564457479</stp>
        <tr r="D29" s="2"/>
      </tp>
      <tp t="e">
        <v>#N/A</v>
        <stp/>
        <stp>BDH|4907447954499843658</stp>
        <tr r="X59" s="2"/>
      </tp>
      <tp t="e">
        <v>#N/A</v>
        <stp/>
        <stp>BDH|5831002962461777887</stp>
        <tr r="AM38" s="2"/>
        <tr r="AM26" s="2"/>
      </tp>
      <tp t="e">
        <v>#N/A</v>
        <stp/>
        <stp>BDH|2464450445091627885</stp>
        <tr r="AG14" s="2"/>
      </tp>
      <tp t="e">
        <v>#N/A</v>
        <stp/>
        <stp>BDH|6408852314404810074</stp>
        <tr r="AA57" s="2"/>
      </tp>
      <tp t="e">
        <v>#N/A</v>
        <stp/>
        <stp>BDH|2675720688580674607</stp>
        <tr r="F58" s="2"/>
      </tp>
      <tp t="e">
        <v>#N/A</v>
        <stp/>
        <stp>BDH|8726768520642875436</stp>
        <tr r="Y52" s="2"/>
      </tp>
      <tp t="e">
        <v>#N/A</v>
        <stp/>
        <stp>BDH|3540581779172849873</stp>
        <tr r="H30" s="2"/>
      </tp>
      <tp t="e">
        <v>#N/A</v>
        <stp/>
        <stp>BDH|9504034502980891245</stp>
        <tr r="T41" s="2"/>
      </tp>
      <tp t="e">
        <v>#N/A</v>
        <stp/>
        <stp>BDH|9218555447190935315</stp>
        <tr r="M61" s="2"/>
      </tp>
      <tp t="e">
        <v>#N/A</v>
        <stp/>
        <stp>BDH|5776646194278866972</stp>
        <tr r="AM15" s="2"/>
      </tp>
      <tp t="e">
        <v>#N/A</v>
        <stp/>
        <stp>BDH|3703631082895692394</stp>
        <tr r="C56" s="2"/>
      </tp>
      <tp t="e">
        <v>#N/A</v>
        <stp/>
        <stp>BDH|5981007727539896584</stp>
        <tr r="E57" s="2"/>
      </tp>
      <tp t="e">
        <v>#N/A</v>
        <stp/>
        <stp>BDH|5123631828729589312</stp>
        <tr r="R58" s="2"/>
      </tp>
      <tp t="e">
        <v>#N/A</v>
        <stp/>
        <stp>BDH|9571315458580422477</stp>
        <tr r="AM10" s="2"/>
      </tp>
      <tp t="e">
        <v>#N/A</v>
        <stp/>
        <stp>BDH|9886275012661096024</stp>
        <tr r="AM61" s="2"/>
      </tp>
      <tp t="e">
        <v>#N/A</v>
        <stp/>
        <stp>BDH|8172443750864143688</stp>
        <tr r="Q34" s="2"/>
      </tp>
      <tp t="e">
        <v>#N/A</v>
        <stp/>
        <stp>BDH|4841132797693245422</stp>
        <tr r="V61" s="2"/>
      </tp>
      <tp t="e">
        <v>#N/A</v>
        <stp/>
        <stp>BDH|5976659026642644804</stp>
        <tr r="AI40" s="2"/>
      </tp>
      <tp t="e">
        <v>#N/A</v>
        <stp/>
        <stp>BDH|9568149042324603392</stp>
        <tr r="AI48" s="2"/>
      </tp>
      <tp t="e">
        <v>#N/A</v>
        <stp/>
        <stp>BDH|5738327901959052494</stp>
        <tr r="F43" s="2"/>
      </tp>
      <tp t="e">
        <v>#N/A</v>
        <stp/>
        <stp>BDH|9372835146109629721</stp>
        <tr r="W59" s="2"/>
      </tp>
      <tp t="e">
        <v>#N/A</v>
        <stp/>
        <stp>BDH|5205994670534963404</stp>
        <tr r="AE60" s="2"/>
      </tp>
      <tp t="e">
        <v>#N/A</v>
        <stp/>
        <stp>BDH|1773902717092478067</stp>
        <tr r="AC14" s="2"/>
      </tp>
      <tp t="e">
        <v>#N/A</v>
        <stp/>
        <stp>BDH|9225363666427967096</stp>
        <tr r="R8" s="2"/>
      </tp>
      <tp t="e">
        <v>#N/A</v>
        <stp/>
        <stp>BDH|5756155071910212831</stp>
        <tr r="K33" s="2"/>
      </tp>
      <tp t="e">
        <v>#N/A</v>
        <stp/>
        <stp>BDH|3446850841925403165</stp>
        <tr r="F21" s="2"/>
      </tp>
      <tp t="e">
        <v>#N/A</v>
        <stp/>
        <stp>BDH|6594166573479555273</stp>
        <tr r="AN47" s="2"/>
      </tp>
      <tp t="e">
        <v>#N/A</v>
        <stp/>
        <stp>BDH|8701528227526911293</stp>
        <tr r="C38" s="2"/>
        <tr r="C26" s="2"/>
      </tp>
      <tp t="e">
        <v>#N/A</v>
        <stp/>
        <stp>BDH|4659239512529611529</stp>
        <tr r="AJ24" s="2"/>
      </tp>
      <tp t="e">
        <v>#N/A</v>
        <stp/>
        <stp>BDH|3678226581026420420</stp>
        <tr r="M46" s="2"/>
      </tp>
      <tp t="e">
        <v>#N/A</v>
        <stp/>
        <stp>BDH|8203033435199067976</stp>
        <tr r="AC8" s="2"/>
      </tp>
      <tp t="e">
        <v>#N/A</v>
        <stp/>
        <stp>BDH|7652814647898340809</stp>
        <tr r="Q28" s="2"/>
      </tp>
      <tp t="e">
        <v>#N/A</v>
        <stp/>
        <stp>BDH|9577578427980367557</stp>
        <tr r="Q59" s="2"/>
      </tp>
      <tp t="e">
        <v>#N/A</v>
        <stp/>
        <stp>BDH|8113672001080076543</stp>
        <tr r="G53" s="2"/>
      </tp>
      <tp t="e">
        <v>#N/A</v>
        <stp/>
        <stp>BDH|7692728999221835369</stp>
        <tr r="D47" s="2"/>
      </tp>
      <tp t="e">
        <v>#N/A</v>
        <stp/>
        <stp>BDH|7424585367947031882</stp>
        <tr r="K22" s="2"/>
      </tp>
      <tp t="e">
        <v>#N/A</v>
        <stp/>
        <stp>BDH|5748927276862774249</stp>
        <tr r="L58" s="2"/>
      </tp>
      <tp t="e">
        <v>#N/A</v>
        <stp/>
        <stp>BDH|3193873526661219324</stp>
        <tr r="G54" s="2"/>
      </tp>
      <tp t="e">
        <v>#N/A</v>
        <stp/>
        <stp>BDH|4183515506279478321</stp>
        <tr r="W42" s="2"/>
      </tp>
      <tp t="e">
        <v>#N/A</v>
        <stp/>
        <stp>BDH|1253810237726705738</stp>
        <tr r="L14" s="2"/>
      </tp>
      <tp t="e">
        <v>#N/A</v>
        <stp/>
        <stp>BDH|5728609718750663990</stp>
        <tr r="AI55" s="2"/>
      </tp>
      <tp t="e">
        <v>#N/A</v>
        <stp/>
        <stp>BDH|8346021053512619451</stp>
        <tr r="Z59" s="2"/>
      </tp>
      <tp t="e">
        <v>#N/A</v>
        <stp/>
        <stp>BDH|9355880610603963830</stp>
        <tr r="X17" s="2"/>
      </tp>
      <tp t="e">
        <v>#N/A</v>
        <stp/>
        <stp>BDH|2745566476428729313</stp>
        <tr r="U55" s="2"/>
      </tp>
      <tp t="e">
        <v>#N/A</v>
        <stp/>
        <stp>BDH|6219932774431323273</stp>
        <tr r="L43" s="2"/>
      </tp>
      <tp t="e">
        <v>#N/A</v>
        <stp/>
        <stp>BDH|9768676874101452264</stp>
        <tr r="Q61" s="2"/>
      </tp>
      <tp t="e">
        <v>#N/A</v>
        <stp/>
        <stp>BDH|5252232855298561174</stp>
        <tr r="AB63" s="2"/>
      </tp>
      <tp t="e">
        <v>#N/A</v>
        <stp/>
        <stp>BDH|3767160276176995883</stp>
        <tr r="V20" s="2"/>
      </tp>
      <tp t="e">
        <v>#N/A</v>
        <stp/>
        <stp>BDH|7381873851287034635</stp>
        <tr r="AE62" s="2"/>
      </tp>
      <tp t="e">
        <v>#N/A</v>
        <stp/>
        <stp>BDH|3249326883224240765</stp>
        <tr r="AM55" s="2"/>
      </tp>
      <tp t="e">
        <v>#N/A</v>
        <stp/>
        <stp>BDH|8449016064294325157</stp>
        <tr r="J56" s="2"/>
      </tp>
      <tp t="e">
        <v>#N/A</v>
        <stp/>
        <stp>BDH|5869291881017148364</stp>
        <tr r="V12" s="2"/>
      </tp>
      <tp t="e">
        <v>#N/A</v>
        <stp/>
        <stp>BDH|9188176417337652504</stp>
        <tr r="AI52" s="2"/>
      </tp>
      <tp t="e">
        <v>#N/A</v>
        <stp/>
        <stp>BDH|4018714965868799676</stp>
        <tr r="AF62" s="2"/>
      </tp>
      <tp t="e">
        <v>#N/A</v>
        <stp/>
        <stp>BDH|6836817362142749188</stp>
        <tr r="M33" s="2"/>
      </tp>
      <tp t="e">
        <v>#N/A</v>
        <stp/>
        <stp>BDH|6907973160353385194</stp>
        <tr r="AJ33" s="2"/>
      </tp>
      <tp t="e">
        <v>#N/A</v>
        <stp/>
        <stp>BDH|2343258564768729509</stp>
        <tr r="D31" s="2"/>
      </tp>
      <tp t="e">
        <v>#N/A</v>
        <stp/>
        <stp>BDH|7524608262584195836</stp>
        <tr r="D19" s="2"/>
      </tp>
      <tp t="e">
        <v>#N/A</v>
        <stp/>
        <stp>BDH|9126106716000401262</stp>
        <tr r="AM9" s="2"/>
      </tp>
      <tp t="e">
        <v>#N/A</v>
        <stp/>
        <stp>BDH|6279961423344058228</stp>
        <tr r="G11" s="2"/>
      </tp>
      <tp t="e">
        <v>#N/A</v>
        <stp/>
        <stp>BDH|88495823760102058</stp>
        <tr r="AG18" s="2"/>
      </tp>
      <tp t="e">
        <v>#N/A</v>
        <stp/>
        <stp>BDH|72442132730662193</stp>
        <tr r="I53" s="2"/>
      </tp>
      <tp t="e">
        <v>#N/A</v>
        <stp/>
        <stp>BDH|3005572803161709394</stp>
        <tr r="AG58" s="2"/>
      </tp>
      <tp t="e">
        <v>#N/A</v>
        <stp/>
        <stp>BDH|5484539557381894023</stp>
        <tr r="AC21" s="2"/>
      </tp>
      <tp t="e">
        <v>#N/A</v>
        <stp/>
        <stp>BDH|5095961510410896954</stp>
        <tr r="S38" s="2"/>
        <tr r="S26" s="2"/>
      </tp>
      <tp t="e">
        <v>#N/A</v>
        <stp/>
        <stp>BDH|2628806498416213170</stp>
        <tr r="K16" s="2"/>
      </tp>
      <tp t="e">
        <v>#N/A</v>
        <stp/>
        <stp>BDH|3266131928511678540</stp>
        <tr r="K32" s="2"/>
      </tp>
      <tp t="e">
        <v>#N/A</v>
        <stp/>
        <stp>BDH|4240057756626244387</stp>
        <tr r="F59" s="2"/>
      </tp>
      <tp t="e">
        <v>#N/A</v>
        <stp/>
        <stp>BDH|5450393505957714542</stp>
        <tr r="AG57" s="2"/>
      </tp>
      <tp t="e">
        <v>#N/A</v>
        <stp/>
        <stp>BDH|8468348589344021316</stp>
        <tr r="O37" s="2"/>
      </tp>
      <tp t="e">
        <v>#N/A</v>
        <stp/>
        <stp>BDH|9013223370989877120</stp>
        <tr r="AA53" s="2"/>
      </tp>
      <tp t="e">
        <v>#N/A</v>
        <stp/>
        <stp>BDH|8905287432928202590</stp>
        <tr r="H28" s="2"/>
      </tp>
      <tp t="e">
        <v>#N/A</v>
        <stp/>
        <stp>BDH|1343596446805287177</stp>
        <tr r="E18" s="2"/>
      </tp>
      <tp t="e">
        <v>#N/A</v>
        <stp/>
        <stp>BDH|1236849585107965237</stp>
        <tr r="AJ13" s="2"/>
      </tp>
      <tp t="e">
        <v>#N/A</v>
        <stp/>
        <stp>BDH|4423518159245173536</stp>
        <tr r="AH23" s="2"/>
      </tp>
      <tp t="e">
        <v>#N/A</v>
        <stp/>
        <stp>BDH|7942217910896777612</stp>
        <tr r="R62" s="2"/>
      </tp>
      <tp t="e">
        <v>#N/A</v>
        <stp/>
        <stp>BDH|1270116794665071881</stp>
        <tr r="AA7" s="2"/>
      </tp>
      <tp t="e">
        <v>#N/A</v>
        <stp/>
        <stp>BDH|6044380901756406724</stp>
        <tr r="AB18" s="2"/>
      </tp>
      <tp t="e">
        <v>#N/A</v>
        <stp/>
        <stp>BDH|9735438850174834833</stp>
        <tr r="S9" s="2"/>
      </tp>
      <tp t="e">
        <v>#N/A</v>
        <stp/>
        <stp>BDH|5188287403120545304</stp>
        <tr r="AF13" s="2"/>
      </tp>
      <tp t="e">
        <v>#N/A</v>
        <stp/>
        <stp>BDH|1658387530173349614</stp>
        <tr r="M29" s="2"/>
      </tp>
      <tp t="e">
        <v>#N/A</v>
        <stp/>
        <stp>BDH|6623800392742808101</stp>
        <tr r="Q6" s="2"/>
      </tp>
      <tp t="e">
        <v>#N/A</v>
        <stp/>
        <stp>BDH|8407939843709978811</stp>
        <tr r="AD60" s="2"/>
      </tp>
      <tp t="e">
        <v>#N/A</v>
        <stp/>
        <stp>BDH|1546890915444337872</stp>
        <tr r="O53" s="2"/>
      </tp>
      <tp t="e">
        <v>#N/A</v>
        <stp/>
        <stp>BDH|4375620963873696390</stp>
        <tr r="M10" s="2"/>
      </tp>
      <tp t="e">
        <v>#N/A</v>
        <stp/>
        <stp>BDH|8824718540599751636</stp>
        <tr r="AF40" s="2"/>
      </tp>
      <tp t="e">
        <v>#N/A</v>
        <stp/>
        <stp>BDH|5748127963732707435</stp>
        <tr r="AG32" s="2"/>
      </tp>
      <tp t="e">
        <v>#N/A</v>
        <stp/>
        <stp>BDH|1161414463147739061</stp>
        <tr r="S24" s="2"/>
      </tp>
      <tp t="e">
        <v>#N/A</v>
        <stp/>
        <stp>BDH|3381570722890247066</stp>
        <tr r="M52" s="2"/>
      </tp>
      <tp t="e">
        <v>#N/A</v>
        <stp/>
        <stp>BDH|8261955274445060716</stp>
        <tr r="AF17" s="2"/>
      </tp>
      <tp t="e">
        <v>#N/A</v>
        <stp/>
        <stp>BDH|7329728616654632138</stp>
        <tr r="D30" s="2"/>
      </tp>
      <tp t="e">
        <v>#N/A</v>
        <stp/>
        <stp>BDH|2311895559769620278</stp>
        <tr r="Z28" s="2"/>
      </tp>
      <tp t="e">
        <v>#N/A</v>
        <stp/>
        <stp>BDH|5798367752056202131</stp>
        <tr r="X54" s="2"/>
      </tp>
      <tp t="e">
        <v>#N/A</v>
        <stp/>
        <stp>BDH|6662914367964410964</stp>
        <tr r="L18" s="2"/>
      </tp>
      <tp t="e">
        <v>#N/A</v>
        <stp/>
        <stp>BDH|4548332725967384635</stp>
        <tr r="R27" s="2"/>
      </tp>
      <tp t="e">
        <v>#N/A</v>
        <stp/>
        <stp>BDH|7131611555710320050</stp>
        <tr r="H57" s="2"/>
      </tp>
      <tp t="e">
        <v>#N/A</v>
        <stp/>
        <stp>BDH|4607128237430668262</stp>
        <tr r="M31" s="2"/>
      </tp>
      <tp t="e">
        <v>#N/A</v>
        <stp/>
        <stp>BDH|3817403112262937009</stp>
        <tr r="F30" s="2"/>
      </tp>
      <tp t="e">
        <v>#N/A</v>
        <stp/>
        <stp>BDH|9008841520633030444</stp>
        <tr r="AC47" s="2"/>
      </tp>
      <tp t="e">
        <v>#N/A</v>
        <stp/>
        <stp>BDH|4473644397479039676</stp>
        <tr r="F14" s="2"/>
      </tp>
      <tp t="e">
        <v>#N/A</v>
        <stp/>
        <stp>BDH|4608492118517392247</stp>
        <tr r="AG20" s="2"/>
      </tp>
      <tp t="e">
        <v>#N/A</v>
        <stp/>
        <stp>BDH|3574590171822575787</stp>
        <tr r="X63" s="2"/>
      </tp>
      <tp t="e">
        <v>#N/A</v>
        <stp/>
        <stp>BDH|5317287846581416683</stp>
        <tr r="AC63" s="2"/>
      </tp>
      <tp t="e">
        <v>#N/A</v>
        <stp/>
        <stp>BDH|2595237815190768559</stp>
        <tr r="T15" s="2"/>
      </tp>
      <tp t="e">
        <v>#N/A</v>
        <stp/>
        <stp>BDH|7197163238291869065</stp>
        <tr r="AJ41" s="2"/>
      </tp>
      <tp t="e">
        <v>#N/A</v>
        <stp/>
        <stp>BDH|6289162230109684939</stp>
        <tr r="AE47" s="2"/>
      </tp>
      <tp t="e">
        <v>#N/A</v>
        <stp/>
        <stp>BDH|7003158073244121119</stp>
        <tr r="Z19" s="2"/>
      </tp>
      <tp t="e">
        <v>#N/A</v>
        <stp/>
        <stp>BDH|4224587909067354265</stp>
        <tr r="U32" s="2"/>
      </tp>
      <tp t="e">
        <v>#N/A</v>
        <stp/>
        <stp>BDH|6210778911911746550</stp>
        <tr r="M13" s="2"/>
      </tp>
      <tp t="e">
        <v>#N/A</v>
        <stp/>
        <stp>BDH|6414217242036092215</stp>
        <tr r="AD24" s="2"/>
      </tp>
      <tp t="e">
        <v>#N/A</v>
        <stp/>
        <stp>BDH|5262166328641835328</stp>
        <tr r="S61" s="2"/>
      </tp>
      <tp t="e">
        <v>#N/A</v>
        <stp/>
        <stp>BDH|4578542150443399359</stp>
        <tr r="AA22" s="2"/>
      </tp>
      <tp t="e">
        <v>#N/A</v>
        <stp/>
        <stp>BDH|2807349419866023222</stp>
        <tr r="AE33" s="2"/>
      </tp>
      <tp t="e">
        <v>#N/A</v>
        <stp/>
        <stp>BDH|8784945272245269748</stp>
        <tr r="R46" s="2"/>
      </tp>
      <tp t="e">
        <v>#N/A</v>
        <stp/>
        <stp>BDH|2257354657172724200</stp>
        <tr r="AB62" s="2"/>
      </tp>
      <tp t="e">
        <v>#N/A</v>
        <stp/>
        <stp>BDH|3891038177559991929</stp>
        <tr r="W11" s="2"/>
      </tp>
      <tp t="e">
        <v>#N/A</v>
        <stp/>
        <stp>BDH|2007291901550952466</stp>
        <tr r="L9" s="2"/>
      </tp>
      <tp t="e">
        <v>#N/A</v>
        <stp/>
        <stp>BDH|3449621685609125057</stp>
        <tr r="H40" s="2"/>
      </tp>
      <tp t="e">
        <v>#N/A</v>
        <stp/>
        <stp>BDH|5739924009110988827</stp>
        <tr r="AC11" s="2"/>
      </tp>
      <tp t="e">
        <v>#N/A</v>
        <stp/>
        <stp>BDH|4391484222451832764</stp>
        <tr r="X14" s="2"/>
      </tp>
      <tp t="e">
        <v>#N/A</v>
        <stp/>
        <stp>BDH|5753565840613419315</stp>
        <tr r="W63" s="2"/>
      </tp>
      <tp t="e">
        <v>#N/A</v>
        <stp/>
        <stp>BDH|2854881315106175907</stp>
        <tr r="AC59" s="2"/>
      </tp>
      <tp t="e">
        <v>#N/A</v>
        <stp/>
        <stp>BDH|1627845110239508532</stp>
        <tr r="AC55" s="2"/>
      </tp>
      <tp t="e">
        <v>#N/A</v>
        <stp/>
        <stp>BDH|1973343535336880349</stp>
        <tr r="J60" s="2"/>
      </tp>
      <tp t="e">
        <v>#N/A</v>
        <stp/>
        <stp>BDH|1508825953838755072</stp>
        <tr r="P53" s="2"/>
      </tp>
      <tp t="e">
        <v>#N/A</v>
        <stp/>
        <stp>BDH|5387944019051221884</stp>
        <tr r="Y42" s="2"/>
      </tp>
      <tp t="e">
        <v>#N/A</v>
        <stp/>
        <stp>BDH|3735327976022394142</stp>
        <tr r="AG6" s="2"/>
      </tp>
      <tp t="e">
        <v>#N/A</v>
        <stp/>
        <stp>BDH|1578764763235217170</stp>
        <tr r="K8" s="2"/>
      </tp>
      <tp t="e">
        <v>#N/A</v>
        <stp/>
        <stp>BDH|7360795630490900762</stp>
        <tr r="I25" s="2"/>
      </tp>
      <tp t="e">
        <v>#N/A</v>
        <stp/>
        <stp>BDH|2481339877995509701</stp>
        <tr r="D34" s="2"/>
      </tp>
      <tp t="e">
        <v>#N/A</v>
        <stp/>
        <stp>BDH|6441287626620058303</stp>
        <tr r="AN16" s="2"/>
      </tp>
      <tp t="e">
        <v>#N/A</v>
        <stp/>
        <stp>BDH|9310868577357071486</stp>
        <tr r="M54" s="2"/>
      </tp>
      <tp t="e">
        <v>#N/A</v>
        <stp/>
        <stp>BDH|2463048448883746040</stp>
        <tr r="L15" s="2"/>
      </tp>
      <tp t="e">
        <v>#N/A</v>
        <stp/>
        <stp>BDH|3177536727911490099</stp>
        <tr r="AI13" s="2"/>
      </tp>
      <tp t="e">
        <v>#N/A</v>
        <stp/>
        <stp>BDH|2160977990814829378</stp>
        <tr r="K56" s="2"/>
      </tp>
      <tp t="e">
        <v>#N/A</v>
        <stp/>
        <stp>BDH|2771784413200571101</stp>
        <tr r="M37" s="2"/>
      </tp>
      <tp t="e">
        <v>#N/A</v>
        <stp/>
        <stp>BDH|4935243266316248300</stp>
        <tr r="R56" s="2"/>
      </tp>
      <tp t="e">
        <v>#N/A</v>
        <stp/>
        <stp>BDH|8758749247639404795</stp>
        <tr r="X27" s="2"/>
      </tp>
      <tp t="e">
        <v>#N/A</v>
        <stp/>
        <stp>BDH|2878547532058738970</stp>
        <tr r="U16" s="2"/>
      </tp>
      <tp t="e">
        <v>#N/A</v>
        <stp/>
        <stp>BDH|6932765341708170803</stp>
        <tr r="U19" s="2"/>
      </tp>
      <tp t="e">
        <v>#N/A</v>
        <stp/>
        <stp>BDH|9890354227935338863</stp>
        <tr r="F42" s="2"/>
      </tp>
      <tp t="e">
        <v>#N/A</v>
        <stp/>
        <stp>BDH|6489266754496943208</stp>
        <tr r="J11" s="2"/>
      </tp>
      <tp t="e">
        <v>#N/A</v>
        <stp/>
        <stp>BDH|5097727089867660826</stp>
        <tr r="AC40" s="2"/>
      </tp>
      <tp t="e">
        <v>#N/A</v>
        <stp/>
        <stp>BDH|9217795190351058349</stp>
        <tr r="G29" s="2"/>
      </tp>
      <tp t="e">
        <v>#N/A</v>
        <stp/>
        <stp>BDH|5852225134778538970</stp>
        <tr r="AA38" s="2"/>
        <tr r="AA26" s="2"/>
      </tp>
      <tp t="e">
        <v>#N/A</v>
        <stp/>
        <stp>BDH|3226410069146009269</stp>
        <tr r="AI63" s="2"/>
      </tp>
      <tp t="e">
        <v>#N/A</v>
        <stp/>
        <stp>BDH|3323425808416753435</stp>
        <tr r="AM28" s="2"/>
      </tp>
      <tp t="e">
        <v>#N/A</v>
        <stp/>
        <stp>BDH|6004711126501889722</stp>
        <tr r="Q7" s="2"/>
      </tp>
      <tp t="e">
        <v>#N/A</v>
        <stp/>
        <stp>BDH|2641566421639173920</stp>
        <tr r="AH52" s="2"/>
      </tp>
      <tp t="e">
        <v>#N/A</v>
        <stp/>
        <stp>BDH|5175337319380938205</stp>
        <tr r="E30" s="2"/>
      </tp>
      <tp t="e">
        <v>#N/A</v>
        <stp/>
        <stp>BDH|9430855208407237398</stp>
        <tr r="AN56" s="2"/>
      </tp>
      <tp t="e">
        <v>#N/A</v>
        <stp/>
        <stp>BDH|1455234033101217448</stp>
        <tr r="F31" s="2"/>
      </tp>
      <tp t="e">
        <v>#N/A</v>
        <stp/>
        <stp>BDH|8271706382975063725</stp>
        <tr r="AK25" s="2"/>
      </tp>
      <tp t="e">
        <v>#N/A</v>
        <stp/>
        <stp>BDH|2158230976883602103</stp>
        <tr r="V62" s="2"/>
      </tp>
      <tp t="e">
        <v>#N/A</v>
        <stp/>
        <stp>BDH|5746871357238237561</stp>
        <tr r="AA20" s="2"/>
      </tp>
      <tp t="e">
        <v>#N/A</v>
        <stp/>
        <stp>BDH|7596348195311710907</stp>
        <tr r="F41" s="2"/>
      </tp>
      <tp t="e">
        <v>#N/A</v>
        <stp/>
        <stp>BDH|1473844545318142073</stp>
        <tr r="AF34" s="2"/>
      </tp>
      <tp t="e">
        <v>#N/A</v>
        <stp/>
        <stp>BDH|6679225436703189103</stp>
        <tr r="AE27" s="2"/>
      </tp>
      <tp t="e">
        <v>#N/A</v>
        <stp/>
        <stp>BDH|5065326228305875424</stp>
        <tr r="Q24" s="2"/>
      </tp>
      <tp t="e">
        <v>#N/A</v>
        <stp/>
        <stp>BDH|2080577431737454629</stp>
        <tr r="Z46" s="2"/>
      </tp>
      <tp t="e">
        <v>#N/A</v>
        <stp/>
        <stp>BDH|2363003075278595839</stp>
        <tr r="H42" s="2"/>
      </tp>
      <tp t="e">
        <v>#N/A</v>
        <stp/>
        <stp>BDH|4219022134787103552</stp>
        <tr r="Z23" s="2"/>
      </tp>
      <tp t="e">
        <v>#N/A</v>
        <stp/>
        <stp>BDH|5080975193139566915</stp>
        <tr r="AK34" s="2"/>
      </tp>
      <tp t="e">
        <v>#N/A</v>
        <stp/>
        <stp>BDH|5592293336318912929</stp>
        <tr r="N46" s="2"/>
      </tp>
      <tp t="e">
        <v>#N/A</v>
        <stp/>
        <stp>BDH|8502468592295198513</stp>
        <tr r="AB16" s="2"/>
      </tp>
      <tp t="e">
        <v>#N/A</v>
        <stp/>
        <stp>BDH|1920907471439868317</stp>
        <tr r="G42" s="2"/>
      </tp>
      <tp t="e">
        <v>#N/A</v>
        <stp/>
        <stp>BDH|5571403513586280356</stp>
        <tr r="AL62" s="2"/>
      </tp>
      <tp t="e">
        <v>#N/A</v>
        <stp/>
        <stp>BDH|5285976764747657816</stp>
        <tr r="J43" s="2"/>
      </tp>
      <tp t="e">
        <v>#N/A</v>
        <stp/>
        <stp>BDH|6884713173206458581</stp>
        <tr r="AB48" s="2"/>
      </tp>
      <tp t="e">
        <v>#N/A</v>
        <stp/>
        <stp>BDH|5213362823199456859</stp>
        <tr r="Y12" s="2"/>
      </tp>
      <tp t="e">
        <v>#N/A</v>
        <stp/>
        <stp>BDH|2039635972493553537</stp>
        <tr r="AD48" s="2"/>
      </tp>
      <tp t="e">
        <v>#N/A</v>
        <stp/>
        <stp>BDH|5540108450934042022</stp>
        <tr r="T12" s="2"/>
      </tp>
      <tp t="e">
        <v>#N/A</v>
        <stp/>
        <stp>BDH|8756683198936454442</stp>
        <tr r="AL11" s="2"/>
      </tp>
      <tp t="e">
        <v>#N/A</v>
        <stp/>
        <stp>BDH|4149255232595190506</stp>
        <tr r="Y33" s="2"/>
      </tp>
      <tp t="e">
        <v>#N/A</v>
        <stp/>
        <stp>BDH|2366076172927251736</stp>
        <tr r="S16" s="2"/>
      </tp>
      <tp t="e">
        <v>#N/A</v>
        <stp/>
        <stp>BDH|1432349429737638280</stp>
        <tr r="S53" s="2"/>
      </tp>
      <tp t="e">
        <v>#N/A</v>
        <stp/>
        <stp>BDH|7457141256010224600</stp>
        <tr r="E48" s="2"/>
      </tp>
      <tp t="e">
        <v>#N/A</v>
        <stp/>
        <stp>BDH|2704446273752481600</stp>
        <tr r="L13" s="2"/>
      </tp>
      <tp t="e">
        <v>#N/A</v>
        <stp/>
        <stp>BDH|6619283732825164793</stp>
        <tr r="L48" s="2"/>
      </tp>
      <tp t="e">
        <v>#N/A</v>
        <stp/>
        <stp>BDH|2700647004018313917</stp>
        <tr r="M38" s="2"/>
        <tr r="M26" s="2"/>
      </tp>
      <tp t="e">
        <v>#N/A</v>
        <stp/>
        <stp>BDH|9152001042729050162</stp>
        <tr r="AJ31" s="2"/>
      </tp>
      <tp t="e">
        <v>#N/A</v>
        <stp/>
        <stp>BDH|6933684927792130527</stp>
        <tr r="AN60" s="2"/>
      </tp>
      <tp t="e">
        <v>#N/A</v>
        <stp/>
        <stp>BDH|2142548558100138792</stp>
        <tr r="AM54" s="2"/>
      </tp>
      <tp t="e">
        <v>#N/A</v>
        <stp/>
        <stp>BDH|68050595767652689</stp>
        <tr r="X58" s="2"/>
      </tp>
      <tp t="e">
        <v>#N/A</v>
        <stp/>
        <stp>BDH|99248099560140307</stp>
        <tr r="V29" s="2"/>
      </tp>
      <tp t="e">
        <v>#N/A</v>
        <stp/>
        <stp>BDH|5326213453845325188</stp>
        <tr r="AN43" s="2"/>
      </tp>
      <tp t="e">
        <v>#N/A</v>
        <stp/>
        <stp>BDH|1419477233524937432</stp>
        <tr r="I29" s="2"/>
      </tp>
      <tp t="e">
        <v>#N/A</v>
        <stp/>
        <stp>BDH|4236034756775418297</stp>
        <tr r="X7" s="2"/>
      </tp>
      <tp t="e">
        <v>#N/A</v>
        <stp/>
        <stp>BDH|2882746600132053166</stp>
        <tr r="AM31" s="2"/>
      </tp>
      <tp t="e">
        <v>#N/A</v>
        <stp/>
        <stp>BDH|7789684687289598667</stp>
        <tr r="L10" s="2"/>
      </tp>
      <tp t="e">
        <v>#N/A</v>
        <stp/>
        <stp>BDH|1108233750905840517</stp>
        <tr r="AL57" s="2"/>
      </tp>
      <tp t="e">
        <v>#N/A</v>
        <stp/>
        <stp>BDH|5285390270507971095</stp>
        <tr r="E42" s="2"/>
      </tp>
      <tp t="e">
        <v>#N/A</v>
        <stp/>
        <stp>BDH|5951132814027472423</stp>
        <tr r="AJ58" s="2"/>
      </tp>
      <tp t="e">
        <v>#N/A</v>
        <stp/>
        <stp>BDH|6278515500085966021</stp>
        <tr r="AE19" s="2"/>
      </tp>
      <tp t="e">
        <v>#N/A</v>
        <stp/>
        <stp>BDH|7679886615589514162</stp>
        <tr r="E32" s="2"/>
      </tp>
      <tp t="e">
        <v>#N/A</v>
        <stp/>
        <stp>BDH|4475434473169928857</stp>
        <tr r="AI22" s="2"/>
      </tp>
      <tp t="e">
        <v>#N/A</v>
        <stp/>
        <stp>BDH|9057747158969460401</stp>
        <tr r="AD20" s="2"/>
      </tp>
      <tp t="e">
        <v>#N/A</v>
        <stp/>
        <stp>BDH|7062721849715788746</stp>
        <tr r="K38" s="2"/>
        <tr r="K26" s="2"/>
      </tp>
      <tp t="e">
        <v>#N/A</v>
        <stp/>
        <stp>BDH|2550515058085473114</stp>
        <tr r="AI19" s="2"/>
      </tp>
      <tp t="e">
        <v>#N/A</v>
        <stp/>
        <stp>BDH|2471383464748450952</stp>
        <tr r="U53" s="2"/>
      </tp>
      <tp t="e">
        <v>#N/A</v>
        <stp/>
        <stp>BDH|5600824440256809952</stp>
        <tr r="X32" s="2"/>
      </tp>
      <tp t="e">
        <v>#N/A</v>
        <stp/>
        <stp>BDH|8192620720712489896</stp>
        <tr r="D45" s="2"/>
      </tp>
      <tp t="e">
        <v>#N/A</v>
        <stp/>
        <stp>BDH|7145177684390570894</stp>
        <tr r="H58" s="2"/>
      </tp>
      <tp t="e">
        <v>#N/A</v>
        <stp/>
        <stp>BDH|5801207894319043127</stp>
        <tr r="J63" s="2"/>
      </tp>
      <tp t="e">
        <v>#N/A</v>
        <stp/>
        <stp>BDH|2895463301562568243</stp>
        <tr r="G28" s="2"/>
      </tp>
      <tp t="e">
        <v>#N/A</v>
        <stp/>
        <stp>BDH|4409425943701985326</stp>
        <tr r="G27" s="2"/>
      </tp>
      <tp t="e">
        <v>#N/A</v>
        <stp/>
        <stp>BDH|2903211563593121349</stp>
        <tr r="T9" s="2"/>
      </tp>
      <tp t="e">
        <v>#N/A</v>
        <stp/>
        <stp>BDH|2701040256260811114</stp>
        <tr r="O33" s="2"/>
      </tp>
      <tp t="e">
        <v>#N/A</v>
        <stp/>
        <stp>BDH|5115745138272890596</stp>
        <tr r="AB37" s="2"/>
      </tp>
      <tp t="e">
        <v>#N/A</v>
        <stp/>
        <stp>BDH|6622286682172985895</stp>
        <tr r="AB57" s="2"/>
      </tp>
      <tp t="e">
        <v>#N/A</v>
        <stp/>
        <stp>BDH|1915550456795296241</stp>
        <tr r="H60" s="2"/>
      </tp>
      <tp t="e">
        <v>#N/A</v>
        <stp/>
        <stp>BDH|2918141845812295375</stp>
        <tr r="AL20" s="2"/>
      </tp>
      <tp t="e">
        <v>#N/A</v>
        <stp/>
        <stp>BDH|6351135848220564500</stp>
        <tr r="T54" s="2"/>
      </tp>
      <tp t="e">
        <v>#N/A</v>
        <stp/>
        <stp>BDH|2325588031715507725</stp>
        <tr r="AM24" s="2"/>
      </tp>
      <tp t="e">
        <v>#N/A</v>
        <stp/>
        <stp>BDH|9473726403010231854</stp>
        <tr r="AE25" s="2"/>
      </tp>
      <tp t="e">
        <v>#N/A</v>
        <stp/>
        <stp>BDH|1523842483751251629</stp>
        <tr r="V27" s="2"/>
      </tp>
      <tp t="e">
        <v>#N/A</v>
        <stp/>
        <stp>BDH|3229672252252064445</stp>
        <tr r="J59" s="2"/>
      </tp>
      <tp t="e">
        <v>#N/A</v>
        <stp/>
        <stp>BDH|4365304933435629757</stp>
        <tr r="AH55" s="2"/>
      </tp>
      <tp t="e">
        <v>#N/A</v>
        <stp/>
        <stp>BDH|4278656113077193262</stp>
        <tr r="AC52" s="2"/>
      </tp>
      <tp t="e">
        <v>#N/A</v>
        <stp/>
        <stp>BDH|9716678893516818680</stp>
        <tr r="G47" s="2"/>
      </tp>
      <tp t="e">
        <v>#N/A</v>
        <stp/>
        <stp>BDH|7132224130340544063</stp>
        <tr r="N45" s="2"/>
      </tp>
      <tp t="e">
        <v>#N/A</v>
        <stp/>
        <stp>BDH|6701602660262717204</stp>
        <tr r="M25" s="2"/>
      </tp>
      <tp t="e">
        <v>#N/A</v>
        <stp/>
        <stp>BDH|7097789738593275633</stp>
        <tr r="S28" s="2"/>
      </tp>
      <tp t="e">
        <v>#N/A</v>
        <stp/>
        <stp>BDH|5479631848491635085</stp>
        <tr r="X36" s="2"/>
      </tp>
      <tp t="e">
        <v>#N/A</v>
        <stp/>
        <stp>BDH|6393451875042613146</stp>
        <tr r="AM33" s="2"/>
      </tp>
      <tp t="e">
        <v>#N/A</v>
        <stp/>
        <stp>BDH|6187537275775982783</stp>
        <tr r="W14" s="2"/>
      </tp>
      <tp t="e">
        <v>#N/A</v>
        <stp/>
        <stp>BDH|4243145959485031392</stp>
        <tr r="N13" s="2"/>
      </tp>
      <tp t="e">
        <v>#N/A</v>
        <stp/>
        <stp>BDH|8372911834016201220</stp>
        <tr r="E12" s="2"/>
      </tp>
      <tp t="e">
        <v>#N/A</v>
        <stp/>
        <stp>BDH|7060274050385092312</stp>
        <tr r="G33" s="2"/>
      </tp>
      <tp t="e">
        <v>#N/A</v>
        <stp/>
        <stp>BDH|2398434617376003711</stp>
        <tr r="D41" s="2"/>
      </tp>
      <tp t="e">
        <v>#N/A</v>
        <stp/>
        <stp>BDH|4453304925355128671</stp>
        <tr r="I6" s="2"/>
      </tp>
      <tp t="e">
        <v>#N/A</v>
        <stp/>
        <stp>BDH|7487908430729350202</stp>
        <tr r="D6" s="2"/>
      </tp>
      <tp t="e">
        <v>#N/A</v>
        <stp/>
        <stp>BDH|3332271188936995921</stp>
        <tr r="AB45" s="2"/>
      </tp>
      <tp t="e">
        <v>#N/A</v>
        <stp/>
        <stp>BDH|7754999614479984042</stp>
        <tr r="R55" s="2"/>
      </tp>
      <tp t="e">
        <v>#N/A</v>
        <stp/>
        <stp>BDH|4150682159249747808</stp>
        <tr r="I40" s="2"/>
      </tp>
      <tp t="e">
        <v>#N/A</v>
        <stp/>
        <stp>BDH|7489041446325452056</stp>
        <tr r="AN28" s="2"/>
      </tp>
      <tp t="e">
        <v>#N/A</v>
        <stp/>
        <stp>BDH|9245060523529182416</stp>
        <tr r="Y16" s="2"/>
      </tp>
      <tp t="e">
        <v>#N/A</v>
        <stp/>
        <stp>BDH|1578885782531890600</stp>
        <tr r="W25" s="2"/>
      </tp>
      <tp t="e">
        <v>#N/A</v>
        <stp/>
        <stp>BDH|6439778566604751569</stp>
        <tr r="AC42" s="2"/>
      </tp>
      <tp t="e">
        <v>#N/A</v>
        <stp/>
        <stp>BDH|8157851924730658425</stp>
        <tr r="C53" s="2"/>
      </tp>
      <tp t="e">
        <v>#N/A</v>
        <stp/>
        <stp>BDH|1417050246420672354</stp>
        <tr r="AD42" s="2"/>
      </tp>
      <tp t="e">
        <v>#N/A</v>
        <stp/>
        <stp>BDH|6543096492848334192</stp>
        <tr r="AE18" s="2"/>
      </tp>
      <tp t="e">
        <v>#N/A</v>
        <stp/>
        <stp>BDH|1414303156861405032</stp>
        <tr r="AA15" s="2"/>
      </tp>
      <tp t="e">
        <v>#N/A</v>
        <stp/>
        <stp>BDH|4514667919766475245</stp>
        <tr r="D7" s="2"/>
      </tp>
      <tp t="e">
        <v>#N/A</v>
        <stp/>
        <stp>BDH|2933606892559284335</stp>
        <tr r="AL8" s="2"/>
      </tp>
      <tp t="e">
        <v>#N/A</v>
        <stp/>
        <stp>BDH|1510690051300556537</stp>
        <tr r="AN38" s="2"/>
        <tr r="AN26" s="2"/>
      </tp>
      <tp t="e">
        <v>#N/A</v>
        <stp/>
        <stp>BDH|8494689351809796516</stp>
        <tr r="AL63" s="2"/>
      </tp>
      <tp t="e">
        <v>#N/A</v>
        <stp/>
        <stp>BDH|9478984910670175665</stp>
        <tr r="H62" s="2"/>
      </tp>
      <tp t="e">
        <v>#N/A</v>
        <stp/>
        <stp>BDH|3017110759474388402</stp>
        <tr r="X25" s="2"/>
      </tp>
      <tp t="e">
        <v>#N/A</v>
        <stp/>
        <stp>BDH|9755888015203084423</stp>
        <tr r="S46" s="2"/>
      </tp>
      <tp t="e">
        <v>#N/A</v>
        <stp/>
        <stp>BDH|8924558935851303829</stp>
        <tr r="G7" s="2"/>
      </tp>
      <tp t="e">
        <v>#N/A</v>
        <stp/>
        <stp>BDH|2812108603813199726</stp>
        <tr r="G36" s="2"/>
      </tp>
      <tp t="e">
        <v>#N/A</v>
        <stp/>
        <stp>BDH|3663638498668285362</stp>
        <tr r="AJ45" s="2"/>
      </tp>
      <tp t="e">
        <v>#N/A</v>
        <stp/>
        <stp>BDH|6334798853973841082</stp>
        <tr r="K29" s="2"/>
      </tp>
      <tp t="e">
        <v>#N/A</v>
        <stp/>
        <stp>BDH|1188133362529929805</stp>
        <tr r="V47" s="2"/>
      </tp>
      <tp t="e">
        <v>#N/A</v>
        <stp/>
        <stp>BDH|2908799329599920993</stp>
        <tr r="J61" s="2"/>
      </tp>
      <tp t="e">
        <v>#N/A</v>
        <stp/>
        <stp>BDH|8436872509747335009</stp>
        <tr r="V9" s="2"/>
      </tp>
      <tp t="e">
        <v>#N/A</v>
        <stp/>
        <stp>BDH|4922704820413316542</stp>
        <tr r="V19" s="2"/>
      </tp>
      <tp t="e">
        <v>#N/A</v>
        <stp/>
        <stp>BDH|4397785197498197537</stp>
        <tr r="Y9" s="2"/>
      </tp>
      <tp t="e">
        <v>#N/A</v>
        <stp/>
        <stp>BDH|7654195762936015133</stp>
        <tr r="P21" s="2"/>
      </tp>
      <tp t="e">
        <v>#N/A</v>
        <stp/>
        <stp>BDH|4987632145220747161</stp>
        <tr r="W33" s="2"/>
      </tp>
      <tp t="e">
        <v>#N/A</v>
        <stp/>
        <stp>BDH|6946817005759318014</stp>
        <tr r="V18" s="2"/>
      </tp>
      <tp t="e">
        <v>#N/A</v>
        <stp/>
        <stp>BDH|5549490725554148073</stp>
        <tr r="N62" s="2"/>
      </tp>
      <tp t="e">
        <v>#N/A</v>
        <stp/>
        <stp>BDH|9226976034590924478</stp>
        <tr r="Q9" s="2"/>
      </tp>
      <tp t="e">
        <v>#N/A</v>
        <stp/>
        <stp>BDH|5328843967824652892</stp>
        <tr r="AM11" s="2"/>
      </tp>
      <tp t="e">
        <v>#N/A</v>
        <stp/>
        <stp>BDH|6143959994591500099</stp>
        <tr r="X15" s="2"/>
      </tp>
      <tp t="e">
        <v>#N/A</v>
        <stp/>
        <stp>BDH|6833614119623579590</stp>
        <tr r="Y36" s="2"/>
      </tp>
      <tp t="e">
        <v>#N/A</v>
        <stp/>
        <stp>BDH|7870272919907925437</stp>
        <tr r="L19" s="2"/>
      </tp>
      <tp t="e">
        <v>#N/A</v>
        <stp/>
        <stp>BDH|9178809950931501297</stp>
        <tr r="I36" s="2"/>
      </tp>
      <tp t="e">
        <v>#N/A</v>
        <stp/>
        <stp>BDH|9676971942784738790</stp>
        <tr r="AG40" s="2"/>
      </tp>
      <tp t="e">
        <v>#N/A</v>
        <stp/>
        <stp>BDH|9942108224329037408</stp>
        <tr r="C46" s="2"/>
      </tp>
      <tp t="e">
        <v>#N/A</v>
        <stp/>
        <stp>BDH|3947222475664514565</stp>
        <tr r="Q16" s="2"/>
      </tp>
      <tp t="e">
        <v>#N/A</v>
        <stp/>
        <stp>BDH|8799124580741997718</stp>
        <tr r="AJ34" s="2"/>
      </tp>
      <tp t="e">
        <v>#N/A</v>
        <stp/>
        <stp>BDH|8490524092675298647</stp>
        <tr r="AD61" s="2"/>
      </tp>
      <tp t="e">
        <v>#N/A</v>
        <stp/>
        <stp>BDH|5168614407342428615</stp>
        <tr r="Z37" s="2"/>
      </tp>
      <tp t="e">
        <v>#N/A</v>
        <stp/>
        <stp>BDH|6316533503732343628</stp>
        <tr r="U28" s="2"/>
      </tp>
      <tp t="e">
        <v>#N/A</v>
        <stp/>
        <stp>BDH|2911988546731518906</stp>
        <tr r="I31" s="2"/>
      </tp>
      <tp t="e">
        <v>#N/A</v>
        <stp/>
        <stp>BDH|2075215012467481156</stp>
        <tr r="AL53" s="2"/>
      </tp>
      <tp t="e">
        <v>#N/A</v>
        <stp/>
        <stp>BDH|7298931804928732113</stp>
        <tr r="H25" s="2"/>
      </tp>
      <tp t="e">
        <v>#N/A</v>
        <stp/>
        <stp>BDH|8660846351790929297</stp>
        <tr r="AC45" s="2"/>
      </tp>
      <tp t="e">
        <v>#N/A</v>
        <stp/>
        <stp>BDH|2283649004691329222</stp>
        <tr r="G16" s="2"/>
      </tp>
      <tp t="e">
        <v>#N/A</v>
        <stp/>
        <stp>BDH|3367860754168680146</stp>
        <tr r="M18" s="2"/>
      </tp>
      <tp t="e">
        <v>#N/A</v>
        <stp/>
        <stp>BDH|4459923726998634054</stp>
        <tr r="D42" s="2"/>
      </tp>
      <tp t="e">
        <v>#N/A</v>
        <stp/>
        <stp>BDH|6193877134433022917</stp>
        <tr r="T19" s="2"/>
      </tp>
      <tp t="e">
        <v>#N/A</v>
        <stp/>
        <stp>BDH|5409330661715698230</stp>
        <tr r="E36" s="2"/>
      </tp>
      <tp t="e">
        <v>#N/A</v>
        <stp/>
        <stp>BDH|9201952350166375444</stp>
        <tr r="Q17" s="2"/>
      </tp>
      <tp t="e">
        <v>#N/A</v>
        <stp/>
        <stp>BDH|1316950720719161475</stp>
        <tr r="X38" s="2"/>
        <tr r="X26" s="2"/>
      </tp>
      <tp t="e">
        <v>#N/A</v>
        <stp/>
        <stp>BDH|1628772645480603520</stp>
        <tr r="AH13" s="2"/>
      </tp>
      <tp t="e">
        <v>#N/A</v>
        <stp/>
        <stp>BDH|4504058967432058773</stp>
        <tr r="Z18" s="2"/>
      </tp>
      <tp t="e">
        <v>#N/A</v>
        <stp/>
        <stp>BDH|7358708962724678572</stp>
        <tr r="Y38" s="2"/>
        <tr r="Y26" s="2"/>
      </tp>
      <tp t="e">
        <v>#N/A</v>
        <stp/>
        <stp>BDH|4047200991768868087</stp>
        <tr r="AN52" s="2"/>
      </tp>
      <tp t="e">
        <v>#N/A</v>
        <stp/>
        <stp>BDH|7478077759701958427</stp>
        <tr r="T47" s="2"/>
      </tp>
      <tp t="e">
        <v>#N/A</v>
        <stp/>
        <stp>BDH|8985973710792900561</stp>
        <tr r="AJ17" s="2"/>
      </tp>
      <tp t="e">
        <v>#N/A</v>
        <stp/>
        <stp>BDH|3289925794060009451</stp>
        <tr r="H21" s="2"/>
      </tp>
      <tp t="e">
        <v>#N/A</v>
        <stp/>
        <stp>BDH|6698077224924596710</stp>
        <tr r="AA17" s="2"/>
      </tp>
      <tp t="e">
        <v>#N/A</v>
        <stp/>
        <stp>BDH|5258643678325019685</stp>
        <tr r="AM16" s="2"/>
      </tp>
      <tp t="e">
        <v>#N/A</v>
        <stp/>
        <stp>BDH|8183618992806357676</stp>
        <tr r="AB36" s="2"/>
      </tp>
      <tp t="e">
        <v>#N/A</v>
        <stp/>
        <stp>BDH|1162152342221217201</stp>
        <tr r="L56" s="2"/>
      </tp>
      <tp t="e">
        <v>#N/A</v>
        <stp/>
        <stp>BDH|7705575936534035225</stp>
        <tr r="X43" s="2"/>
      </tp>
      <tp t="e">
        <v>#N/A</v>
        <stp/>
        <stp>BDH|5477519776391469133</stp>
        <tr r="AI24" s="2"/>
      </tp>
      <tp t="e">
        <v>#N/A</v>
        <stp/>
        <stp>BDH|6107440843926727753</stp>
        <tr r="S27" s="2"/>
      </tp>
      <tp t="e">
        <v>#N/A</v>
        <stp/>
        <stp>BDH|5854147293032896830</stp>
        <tr r="AC27" s="2"/>
      </tp>
      <tp t="e">
        <v>#N/A</v>
        <stp/>
        <stp>BDH|9908607786790886034</stp>
        <tr r="AK54" s="2"/>
      </tp>
      <tp t="e">
        <v>#N/A</v>
        <stp/>
        <stp>BDH|7532345761200059554</stp>
        <tr r="C19" s="2"/>
      </tp>
      <tp t="e">
        <v>#N/A</v>
        <stp/>
        <stp>BDH|7525714712950080633</stp>
        <tr r="AL13" s="2"/>
      </tp>
      <tp t="e">
        <v>#N/A</v>
        <stp/>
        <stp>BDH|2374632123257583633</stp>
        <tr r="AN13" s="2"/>
      </tp>
      <tp t="e">
        <v>#N/A</v>
        <stp/>
        <stp>BDH|3983017583399629581</stp>
        <tr r="V7" s="2"/>
      </tp>
      <tp t="e">
        <v>#N/A</v>
        <stp/>
        <stp>BDH|6150280953105816487</stp>
        <tr r="AB15" s="2"/>
      </tp>
      <tp t="e">
        <v>#N/A</v>
        <stp/>
        <stp>BDH|5057405053263173781</stp>
        <tr r="AC60" s="2"/>
      </tp>
      <tp t="e">
        <v>#N/A</v>
        <stp/>
        <stp>BDH|3370648336882357489</stp>
        <tr r="H29" s="2"/>
      </tp>
      <tp t="e">
        <v>#N/A</v>
        <stp/>
        <stp>BDH|5076389302817392124</stp>
        <tr r="O23" s="2"/>
      </tp>
      <tp t="e">
        <v>#N/A</v>
        <stp/>
        <stp>BDH|8673904677464209289</stp>
        <tr r="AF9" s="2"/>
      </tp>
      <tp t="e">
        <v>#N/A</v>
        <stp/>
        <stp>BDH|3106633410353306793</stp>
        <tr r="K25" s="2"/>
      </tp>
      <tp t="e">
        <v>#N/A</v>
        <stp/>
        <stp>BDH|5949058583064173966</stp>
        <tr r="W62" s="2"/>
      </tp>
      <tp t="e">
        <v>#N/A</v>
        <stp/>
        <stp>BDH|4518127608697052264</stp>
        <tr r="AM32" s="2"/>
      </tp>
      <tp t="e">
        <v>#N/A</v>
        <stp/>
        <stp>BDH|7851235513633851796</stp>
        <tr r="L40" s="2"/>
      </tp>
      <tp t="e">
        <v>#N/A</v>
        <stp/>
        <stp>BDH|4371994046611280874</stp>
        <tr r="R19" s="2"/>
      </tp>
      <tp t="e">
        <v>#N/A</v>
        <stp/>
        <stp>BDH|6620077879886735766</stp>
        <tr r="AB38" s="2"/>
        <tr r="AB26" s="2"/>
      </tp>
      <tp t="e">
        <v>#N/A</v>
        <stp/>
        <stp>BDH|4785542719066748634</stp>
        <tr r="AE21" s="2"/>
      </tp>
      <tp t="e">
        <v>#N/A</v>
        <stp/>
        <stp>BDH|2601427627653480794</stp>
        <tr r="L45" s="2"/>
      </tp>
      <tp t="e">
        <v>#N/A</v>
        <stp/>
        <stp>BDH|9191018128983317857</stp>
        <tr r="AE48" s="2"/>
      </tp>
      <tp t="e">
        <v>#N/A</v>
        <stp/>
        <stp>BDH|3018081824276334701</stp>
        <tr r="AB20" s="2"/>
      </tp>
      <tp t="e">
        <v>#N/A</v>
        <stp/>
        <stp>BDH|3241010692203747994</stp>
        <tr r="AD14" s="2"/>
      </tp>
      <tp t="e">
        <v>#N/A</v>
        <stp/>
        <stp>BDH|8745599670788152203</stp>
        <tr r="AL34" s="2"/>
      </tp>
      <tp t="e">
        <v>#N/A</v>
        <stp/>
        <stp>BDH|6463091300621236731</stp>
        <tr r="AK23" s="2"/>
      </tp>
      <tp t="e">
        <v>#N/A</v>
        <stp/>
        <stp>BDH|2194215234814960710</stp>
        <tr r="V52" s="2"/>
      </tp>
      <tp t="e">
        <v>#N/A</v>
        <stp/>
        <stp>BDH|8068975391268274083</stp>
        <tr r="S20" s="2"/>
      </tp>
      <tp t="e">
        <v>#N/A</v>
        <stp/>
        <stp>BDH|3651298488828984129</stp>
        <tr r="AC19" s="2"/>
      </tp>
      <tp t="e">
        <v>#N/A</v>
        <stp/>
        <stp>BDH|9035861450204261095</stp>
        <tr r="N12" s="2"/>
      </tp>
      <tp t="e">
        <v>#N/A</v>
        <stp/>
        <stp>BDH|8987557300678589542</stp>
        <tr r="AL6" s="2"/>
      </tp>
      <tp t="e">
        <v>#N/A</v>
        <stp/>
        <stp>BDH|9711103698730302113</stp>
        <tr r="R23" s="2"/>
      </tp>
      <tp t="e">
        <v>#N/A</v>
        <stp/>
        <stp>BDH|9196155007391266938</stp>
        <tr r="O61" s="2"/>
      </tp>
      <tp t="e">
        <v>#N/A</v>
        <stp/>
        <stp>BDH|7257072199046805867</stp>
        <tr r="AA10" s="2"/>
      </tp>
      <tp t="e">
        <v>#N/A</v>
        <stp/>
        <stp>BDH|1567876457929218558</stp>
        <tr r="AJ18" s="2"/>
      </tp>
      <tp t="e">
        <v>#N/A</v>
        <stp/>
        <stp>BDH|3565979115799023259</stp>
        <tr r="E47" s="2"/>
      </tp>
      <tp t="e">
        <v>#N/A</v>
        <stp/>
        <stp>BDH|4515617810260271340</stp>
        <tr r="O60" s="2"/>
      </tp>
      <tp t="e">
        <v>#N/A</v>
        <stp/>
        <stp>BDH|9760991068375514312</stp>
        <tr r="AK57" s="2"/>
      </tp>
      <tp t="e">
        <v>#N/A</v>
        <stp/>
        <stp>BDH|9904742440198706284</stp>
        <tr r="T34" s="2"/>
      </tp>
      <tp t="e">
        <v>#N/A</v>
        <stp/>
        <stp>BDH|6154972304758858782</stp>
        <tr r="D16" s="2"/>
      </tp>
      <tp t="e">
        <v>#N/A</v>
        <stp/>
        <stp>BDH|2548642601812569673</stp>
        <tr r="W19" s="2"/>
      </tp>
      <tp t="e">
        <v>#N/A</v>
        <stp/>
        <stp>BDH|3210114373733658648</stp>
        <tr r="E27" s="2"/>
      </tp>
      <tp t="e">
        <v>#N/A</v>
        <stp/>
        <stp>BDH|4619651298068817302</stp>
        <tr r="V8" s="2"/>
      </tp>
      <tp t="e">
        <v>#N/A</v>
        <stp/>
        <stp>BDH|3979339077745837263</stp>
        <tr r="X62" s="2"/>
      </tp>
      <tp t="e">
        <v>#N/A</v>
        <stp/>
        <stp>BDH|8911109770186322897</stp>
        <tr r="AJ38" s="2"/>
        <tr r="AJ26" s="2"/>
      </tp>
      <tp t="e">
        <v>#N/A</v>
        <stp/>
        <stp>BDH|8296133211289588153</stp>
        <tr r="E25" s="2"/>
      </tp>
      <tp t="e">
        <v>#N/A</v>
        <stp/>
        <stp>BDH|4214735634491515103</stp>
        <tr r="N11" s="2"/>
      </tp>
      <tp t="e">
        <v>#N/A</v>
        <stp/>
        <stp>BDH|2959333604347934670</stp>
        <tr r="AJ14" s="2"/>
      </tp>
      <tp t="e">
        <v>#N/A</v>
        <stp/>
        <stp>BDH|4137374322802759733</stp>
        <tr r="Q30" s="2"/>
      </tp>
      <tp t="e">
        <v>#N/A</v>
        <stp/>
        <stp>BDH|2768647143163584355</stp>
        <tr r="N37" s="2"/>
      </tp>
      <tp t="e">
        <v>#N/A</v>
        <stp/>
        <stp>BDH|8939495807868777418</stp>
        <tr r="AN33" s="2"/>
      </tp>
      <tp t="e">
        <v>#N/A</v>
        <stp/>
        <stp>BDH|3510121986308558256</stp>
        <tr r="R18" s="2"/>
      </tp>
      <tp t="e">
        <v>#N/A</v>
        <stp/>
        <stp>BDH|6721176924264612134</stp>
        <tr r="AH28" s="2"/>
      </tp>
      <tp t="e">
        <v>#N/A</v>
        <stp/>
        <stp>BDH|5113917636739149667</stp>
        <tr r="F57" s="2"/>
      </tp>
      <tp t="e">
        <v>#N/A</v>
        <stp/>
        <stp>BDH|5623435153027379342</stp>
        <tr r="AB40" s="2"/>
      </tp>
      <tp t="e">
        <v>#N/A</v>
        <stp/>
        <stp>BDH|4476964153760822881</stp>
        <tr r="L16" s="2"/>
      </tp>
      <tp t="e">
        <v>#N/A</v>
        <stp/>
        <stp>BDH|5872047898865348965</stp>
        <tr r="AG45" s="2"/>
      </tp>
      <tp t="e">
        <v>#N/A</v>
        <stp/>
        <stp>BDH|5623699079495042177</stp>
        <tr r="AG13" s="2"/>
      </tp>
      <tp t="e">
        <v>#N/A</v>
        <stp/>
        <stp>BDH|3207990755239122694</stp>
        <tr r="H55" s="2"/>
      </tp>
      <tp t="e">
        <v>#N/A</v>
        <stp/>
        <stp>BDH|9295778132739545446</stp>
        <tr r="C8" s="2"/>
      </tp>
      <tp t="e">
        <v>#N/A</v>
        <stp/>
        <stp>BDH|3754572245425530767</stp>
        <tr r="AL36" s="2"/>
      </tp>
      <tp t="e">
        <v>#N/A</v>
        <stp/>
        <stp>BDH|5235133653924017540</stp>
        <tr r="C11" s="2"/>
      </tp>
      <tp t="e">
        <v>#N/A</v>
        <stp/>
        <stp>BDH|2452204754621524438</stp>
        <tr r="O31" s="2"/>
      </tp>
      <tp t="e">
        <v>#N/A</v>
        <stp/>
        <stp>BDH|4890595372420016655</stp>
        <tr r="R24" s="2"/>
      </tp>
      <tp t="e">
        <v>#N/A</v>
        <stp/>
        <stp>BDH|1959648709411269600</stp>
        <tr r="E16" s="2"/>
      </tp>
      <tp t="e">
        <v>#N/A</v>
        <stp/>
        <stp>BDH|1488835589622922316</stp>
        <tr r="AG47" s="2"/>
      </tp>
      <tp t="e">
        <v>#N/A</v>
        <stp/>
        <stp>BDH|1723271657200152612</stp>
        <tr r="AB30" s="2"/>
      </tp>
      <tp t="e">
        <v>#N/A</v>
        <stp/>
        <stp>BDH|2932199770046557222</stp>
        <tr r="AA42" s="2"/>
      </tp>
      <tp t="e">
        <v>#N/A</v>
        <stp/>
        <stp>BDH|2701428078760312192</stp>
        <tr r="O12" s="2"/>
      </tp>
      <tp t="e">
        <v>#N/A</v>
        <stp/>
        <stp>BDH|3185313228575914761</stp>
        <tr r="Y62" s="2"/>
      </tp>
      <tp t="e">
        <v>#N/A</v>
        <stp/>
        <stp>BDH|5988024208990400533</stp>
        <tr r="G52" s="2"/>
      </tp>
      <tp t="e">
        <v>#N/A</v>
        <stp/>
        <stp>BDH|7551152633834602115</stp>
        <tr r="AC15" s="2"/>
      </tp>
      <tp t="e">
        <v>#N/A</v>
        <stp/>
        <stp>BDH|2688711781379124435</stp>
        <tr r="C15" s="2"/>
      </tp>
      <tp t="e">
        <v>#N/A</v>
        <stp/>
        <stp>BDH|6887652329687592559</stp>
        <tr r="Z48" s="2"/>
      </tp>
      <tp t="e">
        <v>#N/A</v>
        <stp/>
        <stp>BDH|5559707575017158246</stp>
        <tr r="AD56" s="2"/>
      </tp>
      <tp t="e">
        <v>#N/A</v>
        <stp/>
        <stp>BDH|9874120592113900240</stp>
        <tr r="F60" s="2"/>
      </tp>
      <tp t="e">
        <v>#N/A</v>
        <stp/>
        <stp>BDH|4861243058032948187</stp>
        <tr r="AH37" s="2"/>
      </tp>
      <tp t="e">
        <v>#N/A</v>
        <stp/>
        <stp>BDH|6421121546580069358</stp>
        <tr r="AF45" s="2"/>
      </tp>
      <tp t="e">
        <v>#N/A</v>
        <stp/>
        <stp>BDH|7895341787218752490</stp>
        <tr r="AF10" s="2"/>
      </tp>
      <tp t="e">
        <v>#N/A</v>
        <stp/>
        <stp>BDH|81381667231817979</stp>
        <tr r="L47" s="2"/>
      </tp>
      <tp t="e">
        <v>#N/A</v>
        <stp/>
        <stp>BDH|36782608922708886</stp>
        <tr r="F37" s="2"/>
      </tp>
      <tp t="e">
        <v>#N/A</v>
        <stp/>
        <stp>BDH|73555283371938126</stp>
        <tr r="C63" s="2"/>
      </tp>
      <tp t="e">
        <v>#N/A</v>
        <stp/>
        <stp>BDH|1659181210739475904</stp>
        <tr r="AM59" s="2"/>
      </tp>
      <tp t="e">
        <v>#N/A</v>
        <stp/>
        <stp>BDH|8386352618408583315</stp>
        <tr r="O54" s="2"/>
      </tp>
      <tp t="e">
        <v>#N/A</v>
        <stp/>
        <stp>BDH|2605795141287239763</stp>
        <tr r="AH22" s="2"/>
      </tp>
      <tp t="e">
        <v>#N/A</v>
        <stp/>
        <stp>BDH|6035438408446053513</stp>
        <tr r="AB41" s="2"/>
      </tp>
      <tp t="e">
        <v>#N/A</v>
        <stp/>
        <stp>BDH|7900191787568560790</stp>
        <tr r="AJ6" s="2"/>
      </tp>
      <tp t="e">
        <v>#N/A</v>
        <stp/>
        <stp>BDH|7490182160989720805</stp>
        <tr r="S14" s="2"/>
      </tp>
      <tp t="e">
        <v>#N/A</v>
        <stp/>
        <stp>BDH|1142767580096580992</stp>
        <tr r="Q47" s="2"/>
      </tp>
      <tp t="e">
        <v>#N/A</v>
        <stp/>
        <stp>BDH|4998427195789136141</stp>
        <tr r="AB46" s="2"/>
      </tp>
      <tp t="e">
        <v>#N/A</v>
        <stp/>
        <stp>BDH|1308899432478756342</stp>
        <tr r="P28" s="2"/>
      </tp>
      <tp t="e">
        <v>#N/A</v>
        <stp/>
        <stp>BDH|5087438574280481787</stp>
        <tr r="AL24" s="2"/>
      </tp>
      <tp t="e">
        <v>#N/A</v>
        <stp/>
        <stp>BDH|3097585566400746120</stp>
        <tr r="AA29" s="2"/>
      </tp>
      <tp t="e">
        <v>#N/A</v>
        <stp/>
        <stp>BDH|6729426012633999157</stp>
        <tr r="I58" s="2"/>
      </tp>
      <tp t="e">
        <v>#N/A</v>
        <stp/>
        <stp>BDH|5252398605600756720</stp>
        <tr r="J55" s="2"/>
      </tp>
      <tp t="e">
        <v>#N/A</v>
        <stp/>
        <stp>BDH|8270748499926125161</stp>
        <tr r="I23" s="2"/>
      </tp>
      <tp t="e">
        <v>#N/A</v>
        <stp/>
        <stp>BDH|6667474237776879667</stp>
        <tr r="P15" s="2"/>
      </tp>
      <tp t="e">
        <v>#N/A</v>
        <stp/>
        <stp>BDH|8551098435719580345</stp>
        <tr r="T11" s="2"/>
      </tp>
      <tp t="e">
        <v>#N/A</v>
        <stp/>
        <stp>BDH|6935415935541416115</stp>
        <tr r="C13" s="2"/>
      </tp>
      <tp t="e">
        <v>#N/A</v>
        <stp/>
        <stp>BDH|6483293245211283027</stp>
        <tr r="Q37" s="2"/>
      </tp>
      <tp t="e">
        <v>#N/A</v>
        <stp/>
        <stp>BDH|6468070241812254182</stp>
        <tr r="U30" s="2"/>
      </tp>
      <tp t="e">
        <v>#N/A</v>
        <stp/>
        <stp>BDH|7510485400186264460</stp>
        <tr r="Z10" s="2"/>
      </tp>
      <tp t="e">
        <v>#N/A</v>
        <stp/>
        <stp>BDH|7217416608865327711</stp>
        <tr r="AD18" s="2"/>
      </tp>
      <tp t="e">
        <v>#N/A</v>
        <stp/>
        <stp>BDH|9524370903088965368</stp>
        <tr r="AH10" s="2"/>
      </tp>
      <tp t="e">
        <v>#N/A</v>
        <stp/>
        <stp>BDH|3451918489574349712</stp>
        <tr r="M48" s="2"/>
      </tp>
      <tp t="e">
        <v>#N/A</v>
        <stp/>
        <stp>BDH|2080990646899999790</stp>
        <tr r="O38" s="2"/>
        <tr r="O26" s="2"/>
      </tp>
      <tp t="e">
        <v>#N/A</v>
        <stp/>
        <stp>BDH|1244045633390896322</stp>
        <tr r="K47" s="2"/>
      </tp>
      <tp t="e">
        <v>#N/A</v>
        <stp/>
        <stp>BDH|7162218375674933730</stp>
        <tr r="Z8" s="2"/>
      </tp>
      <tp t="e">
        <v>#N/A</v>
        <stp/>
        <stp>BDH|5080591656661281512</stp>
        <tr r="O21" s="2"/>
      </tp>
      <tp t="e">
        <v>#N/A</v>
        <stp/>
        <stp>BDH|5455729609593320007</stp>
        <tr r="L61" s="2"/>
      </tp>
      <tp t="e">
        <v>#N/A</v>
        <stp/>
        <stp>BDH|4191780514357336427</stp>
        <tr r="S57" s="2"/>
      </tp>
      <tp t="e">
        <v>#N/A</v>
        <stp/>
        <stp>BDH|8619149819070344942</stp>
        <tr r="S58" s="2"/>
      </tp>
      <tp t="e">
        <v>#N/A</v>
        <stp/>
        <stp>BDH|7878805916098035731</stp>
        <tr r="AN61" s="2"/>
      </tp>
      <tp t="e">
        <v>#N/A</v>
        <stp/>
        <stp>BDH|3509620259018067931</stp>
        <tr r="W37" s="2"/>
      </tp>
      <tp t="e">
        <v>#N/A</v>
        <stp/>
        <stp>BDH|9296702460888219121</stp>
        <tr r="V23" s="2"/>
      </tp>
      <tp t="e">
        <v>#N/A</v>
        <stp/>
        <stp>BDH|9244937164107425032</stp>
        <tr r="AB17" s="2"/>
      </tp>
      <tp t="e">
        <v>#N/A</v>
        <stp/>
        <stp>BDH|5324992489061741460</stp>
        <tr r="N10" s="2"/>
      </tp>
      <tp t="e">
        <v>#N/A</v>
        <stp/>
        <stp>BDH|2868432312052243497</stp>
        <tr r="AL25" s="2"/>
      </tp>
      <tp t="e">
        <v>#N/A</v>
        <stp/>
        <stp>BDH|4844527560107035187</stp>
        <tr r="J8" s="2"/>
      </tp>
      <tp t="e">
        <v>#N/A</v>
        <stp/>
        <stp>BDH|8858838915177453780</stp>
        <tr r="G12" s="2"/>
      </tp>
      <tp t="e">
        <v>#N/A</v>
        <stp/>
        <stp>BDH|8628483604908945517</stp>
        <tr r="C28" s="2"/>
      </tp>
      <tp t="e">
        <v>#N/A</v>
        <stp/>
        <stp>BDH|7205524664946116371</stp>
        <tr r="I33" s="2"/>
      </tp>
      <tp t="e">
        <v>#N/A</v>
        <stp/>
        <stp>BDH|9229719854013354979</stp>
        <tr r="AG38" s="2"/>
        <tr r="AG26" s="2"/>
      </tp>
      <tp t="e">
        <v>#N/A</v>
        <stp/>
        <stp>BDH|1309574410914695013</stp>
        <tr r="AG15" s="2"/>
      </tp>
      <tp t="e">
        <v>#N/A</v>
        <stp/>
        <stp>BDH|2837769153322858364</stp>
        <tr r="P30" s="2"/>
      </tp>
      <tp t="e">
        <v>#N/A</v>
        <stp/>
        <stp>BDH|2661217570834049243</stp>
        <tr r="Z13" s="2"/>
      </tp>
      <tp t="e">
        <v>#N/A</v>
        <stp/>
        <stp>BDH|2750468713287467169</stp>
        <tr r="AI47" s="2"/>
      </tp>
      <tp t="e">
        <v>#N/A</v>
        <stp/>
        <stp>BDH|2028049000556242569</stp>
        <tr r="AI58" s="2"/>
      </tp>
      <tp t="e">
        <v>#N/A</v>
        <stp/>
        <stp>BDH|5732506956846768260</stp>
        <tr r="I56" s="2"/>
      </tp>
      <tp t="e">
        <v>#N/A</v>
        <stp/>
        <stp>BDH|8290209890036723459</stp>
        <tr r="AK58" s="2"/>
      </tp>
      <tp t="e">
        <v>#N/A</v>
        <stp/>
        <stp>BDH|9141579987591027416</stp>
        <tr r="I45" s="2"/>
      </tp>
      <tp t="e">
        <v>#N/A</v>
        <stp/>
        <stp>BDH|9349078494292098309</stp>
        <tr r="G43" s="2"/>
      </tp>
      <tp t="e">
        <v>#N/A</v>
        <stp/>
        <stp>BDH|5765202867445357524</stp>
        <tr r="H15" s="2"/>
      </tp>
      <tp t="e">
        <v>#N/A</v>
        <stp/>
        <stp>BDH|1704862278609157692</stp>
        <tr r="T57" s="2"/>
      </tp>
      <tp t="e">
        <v>#N/A</v>
        <stp/>
        <stp>BDH|4330076567484414765</stp>
        <tr r="I37" s="2"/>
      </tp>
      <tp t="e">
        <v>#N/A</v>
        <stp/>
        <stp>BDH|6544631474440709645</stp>
        <tr r="AF60" s="2"/>
      </tp>
      <tp t="e">
        <v>#N/A</v>
        <stp/>
        <stp>BDH|3951163762360240592</stp>
        <tr r="K45" s="2"/>
      </tp>
      <tp t="e">
        <v>#N/A</v>
        <stp/>
        <stp>BDH|6558554503646416415</stp>
        <tr r="AA13" s="2"/>
      </tp>
      <tp t="e">
        <v>#N/A</v>
        <stp/>
        <stp>BDH|6044291509480043562</stp>
        <tr r="AB60" s="2"/>
      </tp>
      <tp t="e">
        <v>#N/A</v>
        <stp/>
        <stp>BDH|2357657991125967982</stp>
        <tr r="AG29" s="2"/>
      </tp>
      <tp t="e">
        <v>#N/A</v>
        <stp/>
        <stp>BDH|4333423930372422037</stp>
        <tr r="M30" s="2"/>
      </tp>
      <tp t="e">
        <v>#N/A</v>
        <stp/>
        <stp>BDH|2727853042968459724</stp>
        <tr r="AD53" s="2"/>
      </tp>
      <tp t="e">
        <v>#N/A</v>
        <stp/>
        <stp>BDH|1481889106818520093</stp>
        <tr r="L22" s="2"/>
      </tp>
      <tp t="e">
        <v>#N/A</v>
        <stp/>
        <stp>BDH|9217376291794289603</stp>
        <tr r="J54" s="2"/>
      </tp>
      <tp t="e">
        <v>#N/A</v>
        <stp/>
        <stp>BDH|6024031872884574426</stp>
        <tr r="AM27" s="2"/>
      </tp>
      <tp t="e">
        <v>#N/A</v>
        <stp/>
        <stp>BDH|9578324751589682763</stp>
        <tr r="V24" s="2"/>
      </tp>
      <tp t="e">
        <v>#N/A</v>
        <stp/>
        <stp>BDH|4253606091103081955</stp>
        <tr r="H36" s="2"/>
      </tp>
      <tp t="e">
        <v>#N/A</v>
        <stp/>
        <stp>BDH|1317848791743007201</stp>
        <tr r="K14" s="2"/>
      </tp>
      <tp t="e">
        <v>#N/A</v>
        <stp/>
        <stp>BDH|1078546012057266336</stp>
        <tr r="J16" s="2"/>
      </tp>
      <tp t="e">
        <v>#N/A</v>
        <stp/>
        <stp>BDH|4372323777067464657</stp>
        <tr r="Y31" s="2"/>
      </tp>
      <tp t="e">
        <v>#N/A</v>
        <stp/>
        <stp>BDH|3801748278684445675</stp>
        <tr r="AG62" s="2"/>
      </tp>
      <tp t="e">
        <v>#N/A</v>
        <stp/>
        <stp>BDH|9350508194096853286</stp>
        <tr r="AC46" s="2"/>
      </tp>
      <tp t="e">
        <v>#N/A</v>
        <stp/>
        <stp>BDH|4429982468488179205</stp>
        <tr r="Z34" s="2"/>
      </tp>
      <tp t="e">
        <v>#N/A</v>
        <stp/>
        <stp>BDH|3986001472216732391</stp>
        <tr r="AN53" s="2"/>
      </tp>
      <tp t="e">
        <v>#N/A</v>
        <stp/>
        <stp>BDH|8088932030904726718</stp>
        <tr r="AB6" s="2"/>
      </tp>
      <tp t="e">
        <v>#N/A</v>
        <stp/>
        <stp>BDH|4326363191098996785</stp>
        <tr r="AF22" s="2"/>
      </tp>
      <tp t="e">
        <v>#N/A</v>
        <stp/>
        <stp>BDH|8922050893737668434</stp>
        <tr r="AK10" s="2"/>
      </tp>
      <tp t="e">
        <v>#N/A</v>
        <stp/>
        <stp>BDH|7460327348800770239</stp>
        <tr r="T40" s="2"/>
      </tp>
      <tp t="e">
        <v>#N/A</v>
        <stp/>
        <stp>BDH|2513665087846778893</stp>
        <tr r="O8" s="2"/>
      </tp>
      <tp t="e">
        <v>#N/A</v>
        <stp/>
        <stp>BDH|1828094228506107729</stp>
        <tr r="R54" s="2"/>
      </tp>
      <tp t="e">
        <v>#N/A</v>
        <stp/>
        <stp>BDH|9730138994880237392</stp>
        <tr r="Y63" s="2"/>
      </tp>
      <tp t="e">
        <v>#N/A</v>
        <stp/>
        <stp>BDH|8445945535585805560</stp>
        <tr r="T6" s="2"/>
      </tp>
      <tp t="e">
        <v>#N/A</v>
        <stp/>
        <stp>BDH|2417076240900939415</stp>
        <tr r="G59" s="2"/>
      </tp>
      <tp t="e">
        <v>#N/A</v>
        <stp/>
        <stp>BDH|1779091203950371354</stp>
        <tr r="AI41" s="2"/>
      </tp>
      <tp t="e">
        <v>#N/A</v>
        <stp/>
        <stp>BDH|4931035795558798708</stp>
        <tr r="I8" s="2"/>
      </tp>
      <tp t="e">
        <v>#N/A</v>
        <stp/>
        <stp>BDH|3543086107306064720</stp>
        <tr r="AJ59" s="2"/>
      </tp>
      <tp t="e">
        <v>#N/A</v>
        <stp/>
        <stp>BDH|3072606874267502781</stp>
        <tr r="R63" s="2"/>
      </tp>
      <tp t="e">
        <v>#N/A</v>
        <stp/>
        <stp>BDH|1859100156445690213</stp>
        <tr r="S6" s="2"/>
      </tp>
      <tp t="e">
        <v>#N/A</v>
        <stp/>
        <stp>BDH|4488516626557856625</stp>
        <tr r="AA16" s="2"/>
      </tp>
      <tp t="e">
        <v>#N/A</v>
        <stp/>
        <stp>BDH|5963856183386377122</stp>
        <tr r="U54" s="2"/>
      </tp>
      <tp t="e">
        <v>#N/A</v>
        <stp/>
        <stp>BDH|2778415569475714769</stp>
        <tr r="P17" s="2"/>
      </tp>
      <tp t="e">
        <v>#N/A</v>
        <stp/>
        <stp>BDH|1783888172098342415</stp>
        <tr r="AN8" s="2"/>
      </tp>
      <tp t="e">
        <v>#N/A</v>
        <stp/>
        <stp>BDH|2664960889107569634</stp>
        <tr r="X10" s="2"/>
      </tp>
      <tp t="e">
        <v>#N/A</v>
        <stp/>
        <stp>BDH|2682729471472206281</stp>
        <tr r="X40" s="2"/>
      </tp>
      <tp t="e">
        <v>#N/A</v>
        <stp/>
        <stp>BDH|9214668348620015939</stp>
        <tr r="AF55" s="2"/>
      </tp>
      <tp t="e">
        <v>#N/A</v>
        <stp/>
        <stp>BDH|5481002818440317609</stp>
        <tr r="R33" s="2"/>
      </tp>
      <tp t="e">
        <v>#N/A</v>
        <stp/>
        <stp>BDH|6967640623911229130</stp>
        <tr r="AI30" s="2"/>
      </tp>
      <tp t="e">
        <v>#N/A</v>
        <stp/>
        <stp>BDH|2923006146967690351</stp>
        <tr r="AE57" s="2"/>
      </tp>
      <tp t="e">
        <v>#N/A</v>
        <stp/>
        <stp>BDH|8333942225527620683</stp>
        <tr r="H16" s="2"/>
      </tp>
      <tp t="e">
        <v>#N/A</v>
        <stp/>
        <stp>BDH|2654647442211810347</stp>
        <tr r="X45" s="2"/>
      </tp>
      <tp t="e">
        <v>#N/A</v>
        <stp/>
        <stp>BDH|4076593794219408350</stp>
        <tr r="H19" s="2"/>
      </tp>
      <tp t="e">
        <v>#N/A</v>
        <stp/>
        <stp>BDH|3304150816460929147</stp>
        <tr r="AH59" s="2"/>
      </tp>
      <tp t="e">
        <v>#N/A</v>
        <stp/>
        <stp>BDH|7850057312647487369</stp>
        <tr r="M42" s="2"/>
      </tp>
      <tp t="e">
        <v>#N/A</v>
        <stp/>
        <stp>BDH|9871975950676642144</stp>
        <tr r="U12" s="2"/>
      </tp>
      <tp t="e">
        <v>#N/A</v>
        <stp/>
        <stp>BDH|4027717824691116294</stp>
        <tr r="AH12" s="2"/>
      </tp>
      <tp t="e">
        <v>#N/A</v>
        <stp/>
        <stp>BDH|3030407234407591139</stp>
        <tr r="AC29" s="2"/>
      </tp>
      <tp t="e">
        <v>#N/A</v>
        <stp/>
        <stp>BDH|8300107427998466128</stp>
        <tr r="AM17" s="2"/>
      </tp>
      <tp t="e">
        <v>#N/A</v>
        <stp/>
        <stp>BDH|3812714162751077190</stp>
        <tr r="X24" s="2"/>
      </tp>
      <tp t="e">
        <v>#N/A</v>
        <stp/>
        <stp>BDH|9118851436226265620</stp>
        <tr r="T61" s="2"/>
      </tp>
      <tp t="e">
        <v>#N/A</v>
        <stp/>
        <stp>BDH|4006776046525618054</stp>
        <tr r="AG28" s="2"/>
      </tp>
      <tp t="e">
        <v>#N/A</v>
        <stp/>
        <stp>BDH|7231307741044198604</stp>
        <tr r="AH57" s="2"/>
      </tp>
      <tp t="e">
        <v>#N/A</v>
        <stp/>
        <stp>BDH|5397582128276456650</stp>
        <tr r="K19" s="2"/>
      </tp>
      <tp t="e">
        <v>#N/A</v>
        <stp/>
        <stp>BDH|1543534469107477785</stp>
        <tr r="AD30" s="2"/>
      </tp>
      <tp t="e">
        <v>#N/A</v>
        <stp/>
        <stp>BDH|5667145512097511065</stp>
        <tr r="AJ19" s="2"/>
      </tp>
      <tp t="e">
        <v>#N/A</v>
        <stp/>
        <stp>BDH|5468739944090754473</stp>
        <tr r="AN14" s="2"/>
      </tp>
      <tp t="e">
        <v>#N/A</v>
        <stp/>
        <stp>BDH|8635889222232738282</stp>
        <tr r="AE40" s="2"/>
      </tp>
      <tp t="e">
        <v>#N/A</v>
        <stp/>
        <stp>BDH|9457837715653681177</stp>
        <tr r="S10" s="2"/>
      </tp>
      <tp t="e">
        <v>#N/A</v>
        <stp/>
        <stp>BDH|6717729411601065375</stp>
        <tr r="W12" s="2"/>
      </tp>
      <tp t="e">
        <v>#N/A</v>
        <stp/>
        <stp>BDH|3546731475147637654</stp>
        <tr r="P60" s="2"/>
      </tp>
      <tp t="e">
        <v>#N/A</v>
        <stp/>
        <stp>BDH|8497343336829643301</stp>
        <tr r="V53" s="2"/>
      </tp>
      <tp t="e">
        <v>#N/A</v>
        <stp/>
        <stp>BDH|9371134783810792245</stp>
        <tr r="AM34" s="2"/>
      </tp>
      <tp t="e">
        <v>#N/A</v>
        <stp/>
        <stp>BDH|7631400181140577928</stp>
        <tr r="T36" s="2"/>
      </tp>
      <tp t="e">
        <v>#N/A</v>
        <stp/>
        <stp>BDH|9357198432428065183</stp>
        <tr r="U60" s="2"/>
      </tp>
      <tp t="e">
        <v>#N/A</v>
        <stp/>
        <stp>BDH|2990385963606079335</stp>
        <tr r="AH16" s="2"/>
      </tp>
      <tp t="e">
        <v>#N/A</v>
        <stp/>
        <stp>BDH|6979243919310484711</stp>
        <tr r="L42" s="2"/>
      </tp>
      <tp t="e">
        <v>#N/A</v>
        <stp/>
        <stp>BDH|7362142616981205458</stp>
        <tr r="J32" s="2"/>
      </tp>
      <tp t="e">
        <v>#N/A</v>
        <stp/>
        <stp>BDH|2152777921550196509</stp>
        <tr r="Q23" s="2"/>
      </tp>
      <tp t="e">
        <v>#N/A</v>
        <stp/>
        <stp>BDH|6941626493339944273</stp>
        <tr r="Q53" s="2"/>
      </tp>
      <tp t="e">
        <v>#N/A</v>
        <stp/>
        <stp>BDH|5665203327732506524</stp>
        <tr r="D40" s="2"/>
      </tp>
      <tp t="e">
        <v>#N/A</v>
        <stp/>
        <stp>BDH|4340928837919344527</stp>
        <tr r="W61" s="2"/>
      </tp>
      <tp t="e">
        <v>#N/A</v>
        <stp/>
        <stp>BDH|4638407876920682519</stp>
        <tr r="U38" s="2"/>
        <tr r="U26" s="2"/>
      </tp>
      <tp t="e">
        <v>#N/A</v>
        <stp/>
        <stp>BDH|4767905182695964280</stp>
        <tr r="AF36" s="2"/>
      </tp>
      <tp t="e">
        <v>#N/A</v>
        <stp/>
        <stp>BDH|9859241271638187683</stp>
        <tr r="O28" s="2"/>
      </tp>
      <tp t="e">
        <v>#N/A</v>
        <stp/>
        <stp>BDH|4249616752674256161</stp>
        <tr r="AK29" s="2"/>
      </tp>
      <tp t="e">
        <v>#N/A</v>
        <stp/>
        <stp>BDH|8674150712202768831</stp>
        <tr r="AA58" s="2"/>
      </tp>
      <tp t="e">
        <v>#N/A</v>
        <stp/>
        <stp>BDH|1677175394158256329</stp>
        <tr r="D32" s="2"/>
      </tp>
      <tp t="e">
        <v>#N/A</v>
        <stp/>
        <stp>BDH|8830290276339189636</stp>
        <tr r="AM23" s="2"/>
      </tp>
      <tp t="e">
        <v>#N/A</v>
        <stp/>
        <stp>BDH|31228250471921970</stp>
        <tr r="M11" s="2"/>
      </tp>
      <tp t="e">
        <v>#N/A</v>
        <stp/>
        <stp>BDH|1081401471833929220</stp>
        <tr r="C14" s="2"/>
      </tp>
      <tp t="e">
        <v>#N/A</v>
        <stp/>
        <stp>BDH|5693468458974609345</stp>
        <tr r="G58" s="2"/>
      </tp>
      <tp t="e">
        <v>#N/A</v>
        <stp/>
        <stp>BDH|6750300343092813068</stp>
        <tr r="O17" s="2"/>
      </tp>
      <tp t="e">
        <v>#N/A</v>
        <stp/>
        <stp>BDH|7474601579505288055</stp>
        <tr r="U33" s="2"/>
      </tp>
      <tp t="e">
        <v>#N/A</v>
        <stp/>
        <stp>BDH|6373970367503942923</stp>
        <tr r="AL12" s="2"/>
      </tp>
      <tp t="e">
        <v>#N/A</v>
        <stp/>
        <stp>BDH|4640532159017727032</stp>
        <tr r="E11" s="2"/>
      </tp>
      <tp t="e">
        <v>#N/A</v>
        <stp/>
        <stp>BDH|3864073878307908069</stp>
        <tr r="AL56" s="2"/>
      </tp>
      <tp t="e">
        <v>#N/A</v>
        <stp/>
        <stp>BDH|9886993618481223332</stp>
        <tr r="J40" s="2"/>
      </tp>
      <tp t="e">
        <v>#N/A</v>
        <stp/>
        <stp>BDH|2608401201490727594</stp>
        <tr r="P12" s="2"/>
      </tp>
      <tp t="e">
        <v>#N/A</v>
        <stp/>
        <stp>BDH|7049704762534342186</stp>
        <tr r="AM36" s="2"/>
      </tp>
      <tp t="e">
        <v>#N/A</v>
        <stp/>
        <stp>BDH|1360402403757808115</stp>
        <tr r="W40" s="2"/>
      </tp>
      <tp t="e">
        <v>#N/A</v>
        <stp/>
        <stp>BDH|7942652756820510764</stp>
        <tr r="L54" s="2"/>
      </tp>
      <tp t="e">
        <v>#N/A</v>
        <stp/>
        <stp>BDH|5460028822163576783</stp>
        <tr r="I63" s="2"/>
      </tp>
      <tp t="e">
        <v>#N/A</v>
        <stp/>
        <stp>BDH|2389894430143789949</stp>
        <tr r="F38" s="2"/>
        <tr r="F26" s="2"/>
      </tp>
      <tp t="e">
        <v>#N/A</v>
        <stp/>
        <stp>BDH|5482421336373916204</stp>
        <tr r="L29" s="2"/>
      </tp>
      <tp t="e">
        <v>#N/A</v>
        <stp/>
        <stp>BDH|2072940454435850862</stp>
        <tr r="Z20" s="2"/>
      </tp>
      <tp t="e">
        <v>#N/A</v>
        <stp/>
        <stp>BDH|3316078095371854878</stp>
        <tr r="AA34" s="2"/>
      </tp>
      <tp t="e">
        <v>#N/A</v>
        <stp/>
        <stp>BDH|1147788334002252412</stp>
        <tr r="Y55" s="2"/>
      </tp>
      <tp t="e">
        <v>#N/A</v>
        <stp/>
        <stp>BDH|7917734951653233565</stp>
        <tr r="AA46" s="2"/>
      </tp>
      <tp t="e">
        <v>#N/A</v>
        <stp/>
        <stp>BDH|3362359808870917380</stp>
        <tr r="W57" s="2"/>
      </tp>
      <tp t="e">
        <v>#N/A</v>
        <stp/>
        <stp>BDH|4921209047170761161</stp>
        <tr r="C7" s="2"/>
      </tp>
      <tp t="e">
        <v>#N/A</v>
        <stp/>
        <stp>BDH|9301682436788533746</stp>
        <tr r="J41" s="2"/>
      </tp>
      <tp t="e">
        <v>#N/A</v>
        <stp/>
        <stp>BDH|6958058731672198404</stp>
        <tr r="AD8" s="2"/>
      </tp>
      <tp t="e">
        <v>#N/A</v>
        <stp/>
        <stp>BDH|5506767134817810534</stp>
        <tr r="F40" s="2"/>
      </tp>
      <tp t="e">
        <v>#N/A</v>
        <stp/>
        <stp>BDH|6740521759007309239</stp>
        <tr r="Q56" s="2"/>
      </tp>
      <tp t="e">
        <v>#N/A</v>
        <stp/>
        <stp>BDH|2227458870942996031</stp>
        <tr r="X55" s="2"/>
      </tp>
      <tp t="e">
        <v>#N/A</v>
        <stp/>
        <stp>BDH|8659969244557151186</stp>
        <tr r="Y19" s="2"/>
      </tp>
      <tp t="e">
        <v>#N/A</v>
        <stp/>
        <stp>BDH|6723581437434590703</stp>
        <tr r="G8" s="2"/>
      </tp>
      <tp t="e">
        <v>#N/A</v>
        <stp/>
        <stp>BDH|1786640352413795240</stp>
        <tr r="P42" s="2"/>
      </tp>
      <tp t="e">
        <v>#N/A</v>
        <stp/>
        <stp>BDH|1894712366007840454</stp>
        <tr r="P63" s="2"/>
      </tp>
      <tp t="e">
        <v>#N/A</v>
        <stp/>
        <stp>BDH|3822323200384915719</stp>
        <tr r="P25" s="2"/>
      </tp>
      <tp t="e">
        <v>#N/A</v>
        <stp/>
        <stp>BDH|3628134653023041753</stp>
        <tr r="AH27" s="2"/>
      </tp>
      <tp t="e">
        <v>#N/A</v>
        <stp/>
        <stp>BDH|9246768025679323618</stp>
        <tr r="Q46" s="2"/>
      </tp>
      <tp t="e">
        <v>#N/A</v>
        <stp/>
        <stp>BDH|7090123790858506445</stp>
        <tr r="N20" s="2"/>
      </tp>
      <tp t="e">
        <v>#N/A</v>
        <stp/>
        <stp>BDH|7558866947679207153</stp>
        <tr r="W55" s="2"/>
      </tp>
      <tp t="e">
        <v>#N/A</v>
        <stp/>
        <stp>BDH|3659261453107276024</stp>
        <tr r="AI7" s="2"/>
      </tp>
      <tp t="e">
        <v>#N/A</v>
        <stp/>
        <stp>BDH|2650815899764615486</stp>
        <tr r="C40" s="2"/>
      </tp>
      <tp t="e">
        <v>#N/A</v>
        <stp/>
        <stp>BDH|1821284931894387725</stp>
        <tr r="S45" s="2"/>
      </tp>
      <tp t="e">
        <v>#N/A</v>
        <stp/>
        <stp>BDH|2333119365475675311</stp>
        <tr r="M43" s="2"/>
      </tp>
      <tp t="e">
        <v>#N/A</v>
        <stp/>
        <stp>BDH|4401415540593358468</stp>
        <tr r="K9" s="2"/>
      </tp>
      <tp t="e">
        <v>#N/A</v>
        <stp/>
        <stp>BDH|4942255887768288592</stp>
        <tr r="T30" s="2"/>
      </tp>
      <tp t="e">
        <v>#N/A</v>
        <stp/>
        <stp>BDH|2111711181299116719</stp>
        <tr r="M57" s="2"/>
      </tp>
      <tp t="e">
        <v>#N/A</v>
        <stp/>
        <stp>BDH|1741706456321400132</stp>
        <tr r="AI57" s="2"/>
      </tp>
      <tp t="e">
        <v>#N/A</v>
        <stp/>
        <stp>BDH|2454102114848030969</stp>
        <tr r="AJ9" s="2"/>
      </tp>
      <tp t="e">
        <v>#N/A</v>
        <stp/>
        <stp>BDH|9513564692935539329</stp>
        <tr r="AH15" s="2"/>
      </tp>
      <tp t="e">
        <v>#N/A</v>
        <stp/>
        <stp>BDH|6846984112618596514</stp>
        <tr r="D23" s="2"/>
      </tp>
      <tp t="e">
        <v>#N/A</v>
        <stp/>
        <stp>BDH|3166726665902333331</stp>
        <tr r="H7" s="2"/>
      </tp>
      <tp t="e">
        <v>#N/A</v>
        <stp/>
        <stp>BDH|7368687963275797190</stp>
        <tr r="L59" s="2"/>
      </tp>
      <tp t="e">
        <v>#N/A</v>
        <stp/>
        <stp>BDH|7796770642356266166</stp>
        <tr r="AH7" s="2"/>
      </tp>
      <tp t="e">
        <v>#N/A</v>
        <stp/>
        <stp>BDH|3791287904801530396</stp>
        <tr r="Q19" s="2"/>
      </tp>
      <tp t="e">
        <v>#N/A</v>
        <stp/>
        <stp>BDH|6355240802274413364</stp>
        <tr r="AE37" s="2"/>
      </tp>
      <tp t="e">
        <v>#N/A</v>
        <stp/>
        <stp>BDH|1054113496763907995</stp>
        <tr r="Z52" s="2"/>
      </tp>
      <tp t="e">
        <v>#N/A</v>
        <stp/>
        <stp>BDH|1973126144852890508</stp>
        <tr r="K12" s="2"/>
      </tp>
      <tp t="e">
        <v>#N/A</v>
        <stp/>
        <stp>BDH|1480316064256788119</stp>
        <tr r="V60" s="2"/>
      </tp>
      <tp t="e">
        <v>#N/A</v>
        <stp/>
        <stp>BDH|9482810010652259106</stp>
        <tr r="J27" s="2"/>
      </tp>
      <tp t="e">
        <v>#N/A</v>
        <stp/>
        <stp>BDH|1783865314563638847</stp>
        <tr r="L20" s="2"/>
      </tp>
      <tp t="e">
        <v>#N/A</v>
        <stp/>
        <stp>BDH|2494375442210003660</stp>
        <tr r="U29" s="2"/>
      </tp>
      <tp t="e">
        <v>#N/A</v>
        <stp/>
        <stp>BDH|5772512291778120223</stp>
        <tr r="S41" s="2"/>
      </tp>
      <tp t="e">
        <v>#N/A</v>
        <stp/>
        <stp>BDH|7015193348348075954</stp>
        <tr r="AC17" s="2"/>
      </tp>
      <tp t="e">
        <v>#N/A</v>
        <stp/>
        <stp>BDH|4578198542410236282</stp>
        <tr r="AC58" s="2"/>
      </tp>
      <tp t="e">
        <v>#N/A</v>
        <stp/>
        <stp>BDH|8835571149409621355</stp>
        <tr r="F19" s="2"/>
      </tp>
      <tp t="e">
        <v>#N/A</v>
        <stp/>
        <stp>BDH|9556604775562305960</stp>
        <tr r="G48" s="2"/>
      </tp>
      <tp t="e">
        <v>#N/A</v>
        <stp/>
        <stp>BDH|6411336064339494927</stp>
        <tr r="AA31" s="2"/>
      </tp>
      <tp t="e">
        <v>#N/A</v>
        <stp/>
        <stp>BDH|5210708110444140464</stp>
        <tr r="P52" s="2"/>
      </tp>
      <tp t="e">
        <v>#N/A</v>
        <stp/>
        <stp>BDH|638906271418978336</stp>
        <tr r="H23" s="2"/>
      </tp>
      <tp t="e">
        <v>#N/A</v>
        <stp/>
        <stp>BDH|680345848904548601</stp>
        <tr r="K24" s="2"/>
      </tp>
      <tp t="e">
        <v>#N/A</v>
        <stp/>
        <stp>BDH|876524480141713926</stp>
        <tr r="AJ11" s="2"/>
      </tp>
      <tp t="e">
        <v>#N/A</v>
        <stp/>
        <stp>BDH|532204393179794794</stp>
        <tr r="U46" s="2"/>
      </tp>
      <tp t="e">
        <v>#N/A</v>
        <stp/>
        <stp>BDH|747723923087636791</stp>
        <tr r="AB22" s="2"/>
      </tp>
      <tp t="e">
        <v>#N/A</v>
        <stp/>
        <stp>BDH|969279727650387508</stp>
        <tr r="AA25" s="2"/>
      </tp>
      <tp t="e">
        <v>#N/A</v>
        <stp/>
        <stp>BDH|717406017998500835</stp>
        <tr r="Y15" s="2"/>
      </tp>
      <tp t="e">
        <v>#N/A</v>
        <stp/>
        <stp>BDH|261559419564739587</stp>
        <tr r="H8" s="2"/>
      </tp>
      <tp t="e">
        <v>#N/A</v>
        <stp/>
        <stp>BDH|710634728190309036</stp>
        <tr r="T46" s="2"/>
      </tp>
      <tp t="e">
        <v>#N/A</v>
        <stp/>
        <stp>BDH|207556540527806214</stp>
        <tr r="AB61" s="2"/>
      </tp>
      <tp t="e">
        <v>#N/A</v>
        <stp/>
        <stp>BDH|760709192999425390</stp>
        <tr r="AB12" s="2"/>
      </tp>
      <tp t="e">
        <v>#N/A</v>
        <stp/>
        <stp>BDH|996200667860924039</stp>
        <tr r="K18" s="2"/>
      </tp>
      <tp t="e">
        <v>#N/A</v>
        <stp/>
        <stp>BDH|640104364242793107</stp>
        <tr r="D10" s="2"/>
      </tp>
      <tp t="e">
        <v>#N/A</v>
        <stp/>
        <stp>BDH|581305606524408328</stp>
        <tr r="AN48" s="2"/>
      </tp>
      <tp t="e">
        <v>#N/A</v>
        <stp/>
        <stp>BDH|347101832334002275</stp>
        <tr r="X23" s="2"/>
      </tp>
      <tp t="e">
        <v>#N/A</v>
        <stp/>
        <stp>BDH|344470722885071773</stp>
        <tr r="AL10" s="2"/>
      </tp>
      <tp t="e">
        <v>#N/A</v>
        <stp/>
        <stp>BDH|697428642652765596</stp>
        <tr r="AF14" s="2"/>
      </tp>
      <tp t="e">
        <v>#N/A</v>
        <stp/>
        <stp>BDH|282234669620552367</stp>
        <tr r="AB32" s="2"/>
      </tp>
      <tp t="e">
        <v>#N/A</v>
        <stp/>
        <stp>BDH|897347127450246621</stp>
        <tr r="U14" s="2"/>
      </tp>
      <tp t="e">
        <v>#N/A</v>
        <stp/>
        <stp>BDH|113102837783611659</stp>
        <tr r="AK27" s="2"/>
      </tp>
      <tp t="e">
        <v>#N/A</v>
        <stp/>
        <stp>BDH|677831531365346924</stp>
        <tr r="S52" s="2"/>
      </tp>
      <tp t="e">
        <v>#N/A</v>
        <stp/>
        <stp>BDH|405109175041940143</stp>
        <tr r="R31" s="2"/>
      </tp>
      <tp t="e">
        <v>#N/A</v>
        <stp/>
        <stp>BDH|808711008793895250</stp>
        <tr r="AE56" s="2"/>
      </tp>
      <tp t="e">
        <v>#N/A</v>
        <stp/>
        <stp>BDH|140668576917530094</stp>
        <tr r="J22" s="2"/>
      </tp>
      <tp t="e">
        <v>#N/A</v>
        <stp/>
        <stp>BDH|442188376790763037</stp>
        <tr r="AD11" s="2"/>
      </tp>
      <tp t="e">
        <v>#N/A</v>
        <stp/>
        <stp>BDH|792201694694238980</stp>
        <tr r="F63" s="2"/>
      </tp>
      <tp t="e">
        <v>#N/A</v>
        <stp/>
        <stp>BDH|259769409451134061</stp>
        <tr r="C47" s="2"/>
      </tp>
      <tp t="e">
        <v>#N/A</v>
        <stp/>
        <stp>BDH|627336357788706817</stp>
        <tr r="AD10" s="2"/>
      </tp>
      <tp t="e">
        <v>#N/A</v>
        <stp/>
        <stp>BDH|916397083708313507</stp>
        <tr r="C60" s="2"/>
      </tp>
      <tp t="e">
        <v>#N/A</v>
        <stp/>
        <stp>BDH|746280017560015590</stp>
        <tr r="Z14" s="2"/>
      </tp>
      <tp t="e">
        <v>#N/A</v>
        <stp/>
        <stp>BDH|882001355030308420</stp>
        <tr r="I41" s="2"/>
      </tp>
      <tp t="e">
        <v>#N/A</v>
        <stp/>
        <stp>BDH|977611924656432303</stp>
        <tr r="X11" s="2"/>
      </tp>
      <tp t="e">
        <v>#N/A</v>
        <stp/>
        <stp>BDH|421976954855345803</stp>
        <tr r="AH9" s="2"/>
      </tp>
      <tp t="e">
        <v>#N/A</v>
        <stp/>
        <stp>BDH|309189317387216695</stp>
        <tr r="F16" s="2"/>
      </tp>
      <tp t="e">
        <v>#N/A</v>
        <stp/>
        <stp>BDH|680788328940709433</stp>
        <tr r="O15" s="2"/>
      </tp>
      <tp t="e">
        <v>#N/A</v>
        <stp/>
        <stp>BDH|524904587426487659</stp>
        <tr r="V41" s="2"/>
      </tp>
      <tp t="e">
        <v>#N/A</v>
        <stp/>
        <stp>BDH|503713603065705282</stp>
        <tr r="AJ21" s="2"/>
      </tp>
      <tp t="e">
        <v>#N/A</v>
        <stp/>
        <stp>BDH|223488828850887604</stp>
        <tr r="H45" s="2"/>
      </tp>
      <tp t="e">
        <v>#N/A</v>
        <stp/>
        <stp>BDH|509490773955663695</stp>
        <tr r="S48" s="2"/>
      </tp>
      <tp t="e">
        <v>#N/A</v>
        <stp/>
        <stp>BDH|175378707977389437</stp>
        <tr r="AL61" s="2"/>
      </tp>
      <tp t="e">
        <v>#N/A</v>
        <stp/>
        <stp>BDH|247476957674274513</stp>
        <tr r="V13" s="2"/>
      </tp>
      <tp t="e">
        <v>#N/A</v>
        <stp/>
        <stp>BDH|764812219279688358</stp>
        <tr r="G30" s="2"/>
      </tp>
      <tp t="e">
        <v>#N/A</v>
        <stp/>
        <stp>BDH|128773376812367196</stp>
        <tr r="T48" s="2"/>
      </tp>
      <tp t="e">
        <v>#N/A</v>
        <stp/>
        <stp>BDH|558728460757616557</stp>
        <tr r="AI21" s="2"/>
      </tp>
      <tp t="e">
        <v>#N/A</v>
        <stp/>
        <stp>BDH|839364838825646666</stp>
        <tr r="E15" s="2"/>
      </tp>
      <tp t="e">
        <v>#N/A</v>
        <stp/>
        <stp>BDH|567253640190292533</stp>
        <tr r="Y18" s="2"/>
      </tp>
      <tp t="e">
        <v>#N/A</v>
        <stp/>
        <stp>BDH|287764228326876185</stp>
        <tr r="G9" s="2"/>
      </tp>
      <tp t="e">
        <v>#N/A</v>
        <stp/>
        <stp>BDH|155614356215360496</stp>
        <tr r="AI18" s="2"/>
      </tp>
      <tp t="e">
        <v>#N/A</v>
        <stp/>
        <stp>BDH|454483916586125162</stp>
        <tr r="AM13" s="2"/>
      </tp>
      <tp t="e">
        <v>#N/A</v>
        <stp/>
        <stp>BDH|778863031679908042</stp>
        <tr r="O34" s="2"/>
      </tp>
      <tp t="e">
        <v>#N/A</v>
        <stp/>
        <stp>BDH|750270880539026181</stp>
        <tr r="AK22" s="2"/>
      </tp>
      <tp t="e">
        <v>#N/A</v>
        <stp/>
        <stp>BDH|961902267488573531</stp>
        <tr r="Q57" s="2"/>
      </tp>
      <tp t="e">
        <v>#N/A</v>
        <stp/>
        <stp>BDH|879635935526799101</stp>
        <tr r="J42" s="2"/>
      </tp>
      <tp t="e">
        <v>#N/A</v>
        <stp/>
        <stp>BDH|862155135641072112</stp>
        <tr r="M47" s="2"/>
      </tp>
      <tp t="e">
        <v>#N/A</v>
        <stp/>
        <stp>BDH|604394830671336357</stp>
        <tr r="I21" s="2"/>
      </tp>
      <tp t="e">
        <v>#N/A</v>
        <stp/>
        <stp>BDH|344774835860975684</stp>
        <tr r="Y53" s="2"/>
      </tp>
      <tp t="e">
        <v>#N/A</v>
        <stp/>
        <stp>BDH|804009820494285498</stp>
        <tr r="P37" s="2"/>
      </tp>
      <tp t="e">
        <v>#N/A</v>
        <stp/>
        <stp>BDH|112138088754191024</stp>
        <tr r="U37" s="2"/>
      </tp>
      <tp t="e">
        <v>#N/A</v>
        <stp/>
        <stp>BDH|508837254886725671</stp>
        <tr r="Z16" s="2"/>
      </tp>
      <tp t="e">
        <v>#N/A</v>
        <stp/>
        <stp>BDH|202088927759346728</stp>
        <tr r="P11" s="2"/>
      </tp>
      <tp t="e">
        <v>#N/A</v>
        <stp/>
        <stp>BDH|503600090260106384</stp>
        <tr r="X29" s="2"/>
      </tp>
      <tp t="e">
        <v>#N/A</v>
        <stp/>
        <stp>BDH|713392416586569803</stp>
        <tr r="Y20" s="2"/>
      </tp>
      <tp t="e">
        <v>#N/A</v>
        <stp/>
        <stp>BDH|365341183752861521</stp>
        <tr r="P32" s="2"/>
      </tp>
      <tp t="e">
        <v>#N/A</v>
        <stp/>
        <stp>BDH|667290302858987628</stp>
        <tr r="AN32" s="2"/>
      </tp>
      <tp t="e">
        <v>#N/A</v>
        <stp/>
        <stp>BDH|772109401755372822</stp>
        <tr r="S31" s="2"/>
      </tp>
      <tp t="e">
        <v>#N/A</v>
        <stp/>
        <stp>BDH|222400285646089575</stp>
        <tr r="AI53" s="2"/>
      </tp>
      <tp t="e">
        <v>#N/A</v>
        <stp/>
        <stp>BDH|860789892367594664</stp>
        <tr r="AA9" s="2"/>
      </tp>
      <tp t="e">
        <v>#N/A</v>
        <stp/>
        <stp>BDH|765897733420496541</stp>
        <tr r="AF6" s="2"/>
      </tp>
      <tp t="e">
        <v>#N/A</v>
        <stp/>
        <stp>BDH|350800634323527680</stp>
        <tr r="AB43" s="2"/>
      </tp>
      <tp t="e">
        <v>#N/A</v>
        <stp/>
        <stp>BDH|986609794592470457</stp>
        <tr r="R28" s="2"/>
      </tp>
      <tp t="e">
        <v>#N/A</v>
        <stp/>
        <stp>BDH|509416412595285990</stp>
        <tr r="C30" s="2"/>
      </tp>
      <tp t="e">
        <v>#N/A</v>
        <stp/>
        <stp>BDH|314565981154493091</stp>
        <tr r="AD31" s="2"/>
      </tp>
      <tp t="e">
        <v>#N/A</v>
        <stp/>
        <stp>BDH|465684709916494900</stp>
        <tr r="H31" s="2"/>
      </tp>
      <tp t="e">
        <v>#N/A</v>
        <stp/>
        <stp>BDH|405048800460321915</stp>
        <tr r="AD7" s="2"/>
      </tp>
      <tp t="e">
        <v>#N/A</v>
        <stp/>
        <stp>BDH|764694398320402786</stp>
        <tr r="AN54" s="2"/>
      </tp>
      <tp t="e">
        <v>#N/A</v>
        <stp/>
        <stp>BDH|652239692330921354</stp>
        <tr r="H47" s="2"/>
      </tp>
      <tp t="e">
        <v>#N/A</v>
        <stp/>
        <stp>BDH|898327809459135248</stp>
        <tr r="J9" s="2"/>
      </tp>
      <tp t="e">
        <v>#N/A</v>
        <stp/>
        <stp>BDH|846582842779682390</stp>
        <tr r="AC53" s="2"/>
      </tp>
      <tp t="e">
        <v>#N/A</v>
        <stp/>
        <stp>BDH|535375381808611889</stp>
        <tr r="E31" s="2"/>
      </tp>
      <tp t="e">
        <v>#N/A</v>
        <stp/>
        <stp>BDH|498818669790353570</stp>
        <tr r="M8" s="2"/>
      </tp>
      <tp t="e">
        <v>#N/A</v>
        <stp/>
        <stp>BDH|224184347789229751</stp>
        <tr r="U58" s="2"/>
      </tp>
      <tp t="e">
        <v>#N/A</v>
        <stp/>
        <stp>BDH|272160304513926932</stp>
        <tr r="Z38" s="2"/>
        <tr r="Z26" s="2"/>
      </tp>
      <tp t="e">
        <v>#N/A</v>
        <stp/>
        <stp>BDH|601662187275784049</stp>
        <tr r="AA30" s="2"/>
      </tp>
      <tp t="e">
        <v>#N/A</v>
        <stp/>
        <stp>BDH|828271788209781873</stp>
        <tr r="AN29" s="2"/>
      </tp>
      <tp t="e">
        <v>#N/A</v>
        <stp/>
        <stp>BDH|450871717504162674</stp>
        <tr r="AK6" s="2"/>
      </tp>
      <tp t="e">
        <v>#N/A</v>
        <stp/>
        <stp>BDH|750680798332614633</stp>
        <tr r="AF20" s="2"/>
      </tp>
      <tp t="e">
        <v>#N/A</v>
        <stp/>
        <stp>BDH|345418085330445709</stp>
        <tr r="AB56" s="2"/>
      </tp>
      <tp t="e">
        <v>#N/A</v>
        <stp/>
        <stp>BDH|802988117692933073</stp>
        <tr r="M6" s="2"/>
      </tp>
      <tp t="e">
        <v>#N/A</v>
        <stp/>
        <stp>BDH|959064399245899644</stp>
        <tr r="M22" s="2"/>
      </tp>
      <tp t="e">
        <v>#N/A</v>
        <stp/>
        <stp>BDH|808838709536083494</stp>
        <tr r="F7" s="2"/>
      </tp>
      <tp t="e">
        <v>#N/A</v>
        <stp/>
        <stp>BDH|629927954075637309</stp>
        <tr r="Q42" s="2"/>
      </tp>
      <tp t="e">
        <v>#N/A</v>
        <stp/>
        <stp>BDH|249245883244205478</stp>
        <tr r="I19" s="2"/>
      </tp>
      <tp t="e">
        <v>#N/A</v>
        <stp/>
        <stp>BDH|159802181208096208</stp>
        <tr r="AB33" s="2"/>
      </tp>
      <tp t="e">
        <v>#N/A</v>
        <stp/>
        <stp>BDH|477041184925156767</stp>
        <tr r="AF59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4"/>
  <sheetViews>
    <sheetView tabSelected="1" workbookViewId="0">
      <selection activeCell="D10" sqref="A1:XFD1048576"/>
    </sheetView>
  </sheetViews>
  <sheetFormatPr defaultRowHeight="14.4" x14ac:dyDescent="0.3"/>
  <cols>
    <col min="1" max="1" width="35.21875" customWidth="1"/>
    <col min="2" max="2" width="0" hidden="1" customWidth="1"/>
    <col min="3" max="42" width="11.77734375" customWidth="1"/>
  </cols>
  <sheetData>
    <row r="1" spans="1:4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21" x14ac:dyDescent="0.3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3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4" t="s">
        <v>37</v>
      </c>
      <c r="AI4" s="4" t="s">
        <v>38</v>
      </c>
      <c r="AJ4" s="4" t="s">
        <v>39</v>
      </c>
      <c r="AK4" s="4" t="s">
        <v>40</v>
      </c>
      <c r="AL4" s="4" t="s">
        <v>41</v>
      </c>
      <c r="AM4" s="4" t="s">
        <v>42</v>
      </c>
      <c r="AN4" s="4" t="s">
        <v>43</v>
      </c>
      <c r="AO4" s="4" t="s">
        <v>44</v>
      </c>
      <c r="AP4" s="4" t="s">
        <v>45</v>
      </c>
    </row>
    <row r="5" spans="1:42" x14ac:dyDescent="0.3">
      <c r="A5" s="9" t="s">
        <v>46</v>
      </c>
      <c r="B5" s="9"/>
      <c r="C5" s="5" t="s">
        <v>47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52</v>
      </c>
      <c r="I5" s="5" t="s">
        <v>53</v>
      </c>
      <c r="J5" s="5" t="s">
        <v>54</v>
      </c>
      <c r="K5" s="5" t="s">
        <v>55</v>
      </c>
      <c r="L5" s="5" t="s">
        <v>56</v>
      </c>
      <c r="M5" s="5" t="s">
        <v>57</v>
      </c>
      <c r="N5" s="5" t="s">
        <v>58</v>
      </c>
      <c r="O5" s="5" t="s">
        <v>59</v>
      </c>
      <c r="P5" s="5" t="s">
        <v>60</v>
      </c>
      <c r="Q5" s="5" t="s">
        <v>61</v>
      </c>
      <c r="R5" s="5" t="s">
        <v>62</v>
      </c>
      <c r="S5" s="5" t="s">
        <v>63</v>
      </c>
      <c r="T5" s="5" t="s">
        <v>64</v>
      </c>
      <c r="U5" s="5" t="s">
        <v>65</v>
      </c>
      <c r="V5" s="5" t="s">
        <v>66</v>
      </c>
      <c r="W5" s="5" t="s">
        <v>67</v>
      </c>
      <c r="X5" s="5" t="s">
        <v>68</v>
      </c>
      <c r="Y5" s="5" t="s">
        <v>69</v>
      </c>
      <c r="Z5" s="5" t="s">
        <v>70</v>
      </c>
      <c r="AA5" s="5" t="s">
        <v>71</v>
      </c>
      <c r="AB5" s="5" t="s">
        <v>72</v>
      </c>
      <c r="AC5" s="5" t="s">
        <v>73</v>
      </c>
      <c r="AD5" s="5" t="s">
        <v>74</v>
      </c>
      <c r="AE5" s="5" t="s">
        <v>75</v>
      </c>
      <c r="AF5" s="5" t="s">
        <v>76</v>
      </c>
      <c r="AG5" s="5" t="s">
        <v>77</v>
      </c>
      <c r="AH5" s="5" t="s">
        <v>78</v>
      </c>
      <c r="AI5" s="5" t="s">
        <v>79</v>
      </c>
      <c r="AJ5" s="5" t="s">
        <v>80</v>
      </c>
      <c r="AK5" s="5" t="s">
        <v>81</v>
      </c>
      <c r="AL5" s="5" t="s">
        <v>82</v>
      </c>
      <c r="AM5" s="5" t="s">
        <v>83</v>
      </c>
      <c r="AN5" s="5" t="s">
        <v>84</v>
      </c>
      <c r="AO5" s="5" t="s">
        <v>85</v>
      </c>
      <c r="AP5" s="5" t="s">
        <v>86</v>
      </c>
    </row>
    <row r="6" spans="1:42" x14ac:dyDescent="0.3">
      <c r="A6" s="6" t="s">
        <v>0</v>
      </c>
      <c r="B6" s="6" t="s">
        <v>87</v>
      </c>
      <c r="C6" s="16">
        <f>_xll.BDH("WMT US Equity","SALES_REV_TURN","FQ1 2017","FQ1 2017","Currency=USD","Period=FQ","BEST_FPERIOD_OVERRIDE=FQ","FILING_STATUS=MR","SCALING_FORMAT=MLN","FA_ADJUSTED=GAAP","Sort=A","Dates=H","DateFormat=P","Fill=—","Direction=H","UseDPDF=Y")</f>
        <v>115904</v>
      </c>
      <c r="D6" s="16">
        <f>_xll.BDH("WMT US Equity","SALES_REV_TURN","FQ2 2017","FQ2 2017","Currency=USD","Period=FQ","BEST_FPERIOD_OVERRIDE=FQ","FILING_STATUS=MR","SCALING_FORMAT=MLN","FA_ADJUSTED=GAAP","Sort=A","Dates=H","DateFormat=P","Fill=—","Direction=H","UseDPDF=Y")</f>
        <v>120854</v>
      </c>
      <c r="E6" s="16">
        <f>_xll.BDH("WMT US Equity","SALES_REV_TURN","FQ3 2017","FQ3 2017","Currency=USD","Period=FQ","BEST_FPERIOD_OVERRIDE=FQ","FILING_STATUS=MR","SCALING_FORMAT=MLN","FA_ADJUSTED=GAAP","Sort=A","Dates=H","DateFormat=P","Fill=—","Direction=H","UseDPDF=Y")</f>
        <v>118179</v>
      </c>
      <c r="F6" s="16">
        <f>_xll.BDH("WMT US Equity","SALES_REV_TURN","FQ4 2017","FQ4 2017","Currency=USD","Period=FQ","BEST_FPERIOD_OVERRIDE=FQ","FILING_STATUS=MR","SCALING_FORMAT=MLN","FA_ADJUSTED=GAAP","Sort=A","Dates=H","DateFormat=P","Fill=—","Direction=H","UseDPDF=Y")</f>
        <v>130936</v>
      </c>
      <c r="G6" s="16">
        <f>_xll.BDH("WMT US Equity","SALES_REV_TURN","FQ1 2018","FQ1 2018","Currency=USD","Period=FQ","BEST_FPERIOD_OVERRIDE=FQ","FILING_STATUS=MR","SCALING_FORMAT=MLN","FA_ADJUSTED=GAAP","Sort=A","Dates=H","DateFormat=P","Fill=—","Direction=H","UseDPDF=Y")</f>
        <v>117542</v>
      </c>
      <c r="H6" s="16">
        <f>_xll.BDH("WMT US Equity","SALES_REV_TURN","FQ2 2018","FQ2 2018","Currency=USD","Period=FQ","BEST_FPERIOD_OVERRIDE=FQ","FILING_STATUS=MR","SCALING_FORMAT=MLN","FA_ADJUSTED=GAAP","Sort=A","Dates=H","DateFormat=P","Fill=—","Direction=H","UseDPDF=Y")</f>
        <v>123355</v>
      </c>
      <c r="I6" s="16">
        <f>_xll.BDH("WMT US Equity","SALES_REV_TURN","FQ3 2018","FQ3 2018","Currency=USD","Period=FQ","BEST_FPERIOD_OVERRIDE=FQ","FILING_STATUS=MR","SCALING_FORMAT=MLN","FA_ADJUSTED=GAAP","Sort=A","Dates=H","DateFormat=P","Fill=—","Direction=H","UseDPDF=Y")</f>
        <v>123179</v>
      </c>
      <c r="J6" s="16">
        <f>_xll.BDH("WMT US Equity","SALES_REV_TURN","FQ4 2018","FQ4 2018","Currency=USD","Period=FQ","BEST_FPERIOD_OVERRIDE=FQ","FILING_STATUS=MR","SCALING_FORMAT=MLN","FA_ADJUSTED=GAAP","Sort=A","Dates=H","DateFormat=P","Fill=—","Direction=H","UseDPDF=Y")</f>
        <v>136267</v>
      </c>
      <c r="K6" s="16">
        <f>_xll.BDH("WMT US Equity","SALES_REV_TURN","FQ1 2019","FQ1 2019","Currency=USD","Period=FQ","BEST_FPERIOD_OVERRIDE=FQ","FILING_STATUS=MR","SCALING_FORMAT=MLN","FA_ADJUSTED=GAAP","Sort=A","Dates=H","DateFormat=P","Fill=—","Direction=H","UseDPDF=Y")</f>
        <v>122690</v>
      </c>
      <c r="L6" s="16">
        <f>_xll.BDH("WMT US Equity","SALES_REV_TURN","FQ2 2019","FQ2 2019","Currency=USD","Period=FQ","BEST_FPERIOD_OVERRIDE=FQ","FILING_STATUS=MR","SCALING_FORMAT=MLN","FA_ADJUSTED=GAAP","Sort=A","Dates=H","DateFormat=P","Fill=—","Direction=H","UseDPDF=Y")</f>
        <v>128028</v>
      </c>
      <c r="M6" s="16">
        <f>_xll.BDH("WMT US Equity","SALES_REV_TURN","FQ3 2019","FQ3 2019","Currency=USD","Period=FQ","BEST_FPERIOD_OVERRIDE=FQ","FILING_STATUS=MR","SCALING_FORMAT=MLN","FA_ADJUSTED=GAAP","Sort=A","Dates=H","DateFormat=P","Fill=—","Direction=H","UseDPDF=Y")</f>
        <v>124894</v>
      </c>
      <c r="N6" s="16">
        <f>_xll.BDH("WMT US Equity","SALES_REV_TURN","FQ4 2019","FQ4 2019","Currency=USD","Period=FQ","BEST_FPERIOD_OVERRIDE=FQ","FILING_STATUS=MR","SCALING_FORMAT=MLN","FA_ADJUSTED=GAAP","Sort=A","Dates=H","DateFormat=P","Fill=—","Direction=H","UseDPDF=Y")</f>
        <v>138793</v>
      </c>
      <c r="O6" s="16">
        <f>_xll.BDH("WMT US Equity","SALES_REV_TURN","FQ1 2020","FQ1 2020","Currency=USD","Period=FQ","BEST_FPERIOD_OVERRIDE=FQ","FILING_STATUS=MR","SCALING_FORMAT=MLN","FA_ADJUSTED=GAAP","Sort=A","Dates=H","DateFormat=P","Fill=—","Direction=H","UseDPDF=Y")</f>
        <v>123925</v>
      </c>
      <c r="P6" s="16">
        <f>_xll.BDH("WMT US Equity","SALES_REV_TURN","FQ2 2020","FQ2 2020","Currency=USD","Period=FQ","BEST_FPERIOD_OVERRIDE=FQ","FILING_STATUS=MR","SCALING_FORMAT=MLN","FA_ADJUSTED=GAAP","Sort=A","Dates=H","DateFormat=P","Fill=—","Direction=H","UseDPDF=Y")</f>
        <v>130377</v>
      </c>
      <c r="Q6" s="16">
        <f>_xll.BDH("WMT US Equity","SALES_REV_TURN","FQ3 2020","FQ3 2020","Currency=USD","Period=FQ","BEST_FPERIOD_OVERRIDE=FQ","FILING_STATUS=MR","SCALING_FORMAT=MLN","FA_ADJUSTED=GAAP","Sort=A","Dates=H","DateFormat=P","Fill=—","Direction=H","UseDPDF=Y")</f>
        <v>127991</v>
      </c>
      <c r="R6" s="16">
        <f>_xll.BDH("WMT US Equity","SALES_REV_TURN","FQ4 2020","FQ4 2020","Currency=USD","Period=FQ","BEST_FPERIOD_OVERRIDE=FQ","FILING_STATUS=MR","SCALING_FORMAT=MLN","FA_ADJUSTED=GAAP","Sort=A","Dates=H","DateFormat=P","Fill=—","Direction=H","UseDPDF=Y")</f>
        <v>141671</v>
      </c>
      <c r="S6" s="16">
        <f>_xll.BDH("WMT US Equity","SALES_REV_TURN","FQ1 2021","FQ1 2021","Currency=USD","Period=FQ","BEST_FPERIOD_OVERRIDE=FQ","FILING_STATUS=MR","SCALING_FORMAT=MLN","FA_ADJUSTED=GAAP","Sort=A","Dates=H","DateFormat=P","Fill=—","Direction=H","UseDPDF=Y")</f>
        <v>134622</v>
      </c>
      <c r="T6" s="16">
        <f>_xll.BDH("WMT US Equity","SALES_REV_TURN","FQ2 2021","FQ2 2021","Currency=USD","Period=FQ","BEST_FPERIOD_OVERRIDE=FQ","FILING_STATUS=MR","SCALING_FORMAT=MLN","FA_ADJUSTED=GAAP","Sort=A","Dates=H","DateFormat=P","Fill=—","Direction=H","UseDPDF=Y")</f>
        <v>137742</v>
      </c>
      <c r="U6" s="16">
        <f>_xll.BDH("WMT US Equity","SALES_REV_TURN","FQ3 2021","FQ3 2021","Currency=USD","Period=FQ","BEST_FPERIOD_OVERRIDE=FQ","FILING_STATUS=MR","SCALING_FORMAT=MLN","FA_ADJUSTED=GAAP","Sort=A","Dates=H","DateFormat=P","Fill=—","Direction=H","UseDPDF=Y")</f>
        <v>134708</v>
      </c>
      <c r="V6" s="16">
        <f>_xll.BDH("WMT US Equity","SALES_REV_TURN","FQ4 2021","FQ4 2021","Currency=USD","Period=FQ","BEST_FPERIOD_OVERRIDE=FQ","FILING_STATUS=MR","SCALING_FORMAT=MLN","FA_ADJUSTED=GAAP","Sort=A","Dates=H","DateFormat=P","Fill=—","Direction=H","UseDPDF=Y")</f>
        <v>152079</v>
      </c>
      <c r="W6" s="16">
        <f>_xll.BDH("WMT US Equity","SALES_REV_TURN","FQ1 2022","FQ1 2022","Currency=USD","Period=FQ","BEST_FPERIOD_OVERRIDE=FQ","FILING_STATUS=MR","SCALING_FORMAT=MLN","FA_ADJUSTED=GAAP","Sort=A","Dates=H","DateFormat=P","Fill=—","Direction=H","UseDPDF=Y")</f>
        <v>138310</v>
      </c>
      <c r="X6" s="16">
        <f>_xll.BDH("WMT US Equity","SALES_REV_TURN","FQ2 2022","FQ2 2022","Currency=USD","Period=FQ","BEST_FPERIOD_OVERRIDE=FQ","FILING_STATUS=MR","SCALING_FORMAT=MLN","FA_ADJUSTED=GAAP","Sort=A","Dates=H","DateFormat=P","Fill=—","Direction=H","UseDPDF=Y")</f>
        <v>141048</v>
      </c>
      <c r="Y6" s="16">
        <f>_xll.BDH("WMT US Equity","SALES_REV_TURN","FQ3 2022","FQ3 2022","Currency=USD","Period=FQ","BEST_FPERIOD_OVERRIDE=FQ","FILING_STATUS=MR","SCALING_FORMAT=MLN","FA_ADJUSTED=GAAP","Sort=A","Dates=H","DateFormat=P","Fill=—","Direction=H","UseDPDF=Y")</f>
        <v>140525</v>
      </c>
      <c r="Z6" s="16">
        <f>_xll.BDH("WMT US Equity","SALES_REV_TURN","FQ4 2022","FQ4 2022","Currency=USD","Period=FQ","BEST_FPERIOD_OVERRIDE=FQ","FILING_STATUS=MR","SCALING_FORMAT=MLN","FA_ADJUSTED=GAAP","Sort=A","Dates=H","DateFormat=P","Fill=—","Direction=H","UseDPDF=Y")</f>
        <v>152871</v>
      </c>
      <c r="AA6" s="16">
        <f>_xll.BDH("WMT US Equity","SALES_REV_TURN","FQ1 2023","FQ1 2023","Currency=USD","Period=FQ","BEST_FPERIOD_OVERRIDE=FQ","FILING_STATUS=MR","SCALING_FORMAT=MLN","FA_ADJUSTED=GAAP","Sort=A","Dates=H","DateFormat=P","Fill=—","Direction=H","UseDPDF=Y")</f>
        <v>141569</v>
      </c>
      <c r="AB6" s="16">
        <f>_xll.BDH("WMT US Equity","SALES_REV_TURN","FQ2 2023","FQ2 2023","Currency=USD","Period=FQ","BEST_FPERIOD_OVERRIDE=FQ","FILING_STATUS=MR","SCALING_FORMAT=MLN","FA_ADJUSTED=GAAP","Sort=A","Dates=H","DateFormat=P","Fill=—","Direction=H","UseDPDF=Y")</f>
        <v>152859</v>
      </c>
      <c r="AC6" s="16">
        <f>_xll.BDH("WMT US Equity","SALES_REV_TURN","FQ3 2023","FQ3 2023","Currency=USD","Period=FQ","BEST_FPERIOD_OVERRIDE=FQ","FILING_STATUS=MR","SCALING_FORMAT=MLN","FA_ADJUSTED=GAAP","Sort=A","Dates=H","DateFormat=P","Fill=—","Direction=H","UseDPDF=Y")</f>
        <v>152813</v>
      </c>
      <c r="AD6" s="16">
        <f>_xll.BDH("WMT US Equity","SALES_REV_TURN","FQ4 2023","FQ4 2023","Currency=USD","Period=FQ","BEST_FPERIOD_OVERRIDE=FQ","FILING_STATUS=MR","SCALING_FORMAT=MLN","FA_ADJUSTED=GAAP","Sort=A","Dates=H","DateFormat=P","Fill=—","Direction=H","UseDPDF=Y")</f>
        <v>164048</v>
      </c>
      <c r="AE6" s="16">
        <f>_xll.BDH("WMT US Equity","SALES_REV_TURN","FQ1 2024","FQ1 2024","Currency=USD","Period=FQ","BEST_FPERIOD_OVERRIDE=FQ","FILING_STATUS=MR","SCALING_FORMAT=MLN","FA_ADJUSTED=GAAP","Sort=A","Dates=H","DateFormat=P","Fill=—","Direction=H","UseDPDF=Y")</f>
        <v>152301</v>
      </c>
      <c r="AF6" s="16">
        <f>_xll.BDH("WMT US Equity","SALES_REV_TURN","FQ2 2024","FQ2 2024","Currency=USD","Period=FQ","BEST_FPERIOD_OVERRIDE=FQ","FILING_STATUS=MR","SCALING_FORMAT=MLN","FA_ADJUSTED=GAAP","Sort=A","Dates=H","DateFormat=P","Fill=—","Direction=H","UseDPDF=Y")</f>
        <v>161632</v>
      </c>
      <c r="AG6" s="16">
        <f>_xll.BDH("WMT US Equity","SALES_REV_TURN","FQ3 2024","FQ3 2024","Currency=USD","Period=FQ","BEST_FPERIOD_OVERRIDE=FQ","FILING_STATUS=MR","SCALING_FORMAT=MLN","FA_ADJUSTED=GAAP","Sort=A","Dates=H","DateFormat=P","Fill=—","Direction=H","UseDPDF=Y")</f>
        <v>160804</v>
      </c>
      <c r="AH6" s="16">
        <f>_xll.BDH("WMT US Equity","SALES_REV_TURN","FQ4 2024","FQ4 2024","Currency=USD","Period=FQ","BEST_FPERIOD_OVERRIDE=FQ","FILING_STATUS=MR","SCALING_FORMAT=MLN","FA_ADJUSTED=GAAP","Sort=A","Dates=H","DateFormat=P","Fill=—","Direction=H","UseDPDF=Y")</f>
        <v>173388</v>
      </c>
      <c r="AI6" s="16">
        <f>_xll.BDH("WMT US Equity","SALES_REV_TURN","FQ1 2025","FQ1 2025","Currency=USD","Period=FQ","BEST_FPERIOD_OVERRIDE=FQ","FILING_STATUS=MR","SCALING_FORMAT=MLN","FA_ADJUSTED=GAAP","Sort=A","Dates=H","DateFormat=P","Fill=—","Direction=H","UseDPDF=Y")</f>
        <v>161508</v>
      </c>
      <c r="AJ6" s="16">
        <f>_xll.BDH("WMT US Equity","SALES_REV_TURN","FQ2 2025","FQ2 2025","Currency=USD","Period=FQ","BEST_FPERIOD_OVERRIDE=FQ","FILING_STATUS=MR","SCALING_FORMAT=MLN","FA_ADJUSTED=GAAP","Sort=A","Dates=H","DateFormat=P","Fill=—","Direction=H","UseDPDF=Y")</f>
        <v>169335</v>
      </c>
      <c r="AK6" s="16">
        <f>_xll.BDH("WMT US Equity","SALES_REV_TURN","FQ3 2025","FQ3 2025","Currency=USD","Period=FQ","BEST_FPERIOD_OVERRIDE=FQ","FILING_STATUS=MR","SCALING_FORMAT=MLN","FA_ADJUSTED=GAAP","Sort=A","Dates=H","DateFormat=P","Fill=—","Direction=H","UseDPDF=Y")</f>
        <v>169588</v>
      </c>
      <c r="AL6" s="16">
        <f>_xll.BDH("WMT US Equity","SALES_REV_TURN","FQ4 2025","FQ4 2025","Currency=USD","Period=FQ","BEST_FPERIOD_OVERRIDE=FQ","FILING_STATUS=MR","SCALING_FORMAT=MLN","FA_ADJUSTED=GAAP","Sort=A","Dates=H","DateFormat=P","Fill=—","Direction=H","UseDPDF=Y")</f>
        <v>180554</v>
      </c>
      <c r="AM6" s="16">
        <f>_xll.BDH("WMT US Equity","SALES_REV_TURN","FQ1 2026","FQ1 2026","Currency=USD","Period=FQ","BEST_FPERIOD_OVERRIDE=FQ","FILING_STATUS=MR","SCALING_FORMAT=MLN","FA_ADJUSTED=GAAP","Sort=A","Dates=H","DateFormat=P","Fill=—","Direction=H","UseDPDF=Y")</f>
        <v>165609</v>
      </c>
      <c r="AN6" s="16">
        <f>_xll.BDH("WMT US Equity","SALES_REV_TURN","FQ2 2026","FQ2 2026","Currency=USD","Period=FQ","BEST_FPERIOD_OVERRIDE=FQ","FILING_STATUS=MR","SCALING_FORMAT=MLN","FA_ADJUSTED=GAAP","Sort=A","Dates=H","DateFormat=P","Fill=—","Direction=H","UseDPDF=Y")</f>
        <v>177402</v>
      </c>
      <c r="AO6" s="16">
        <v>177439.310344828</v>
      </c>
      <c r="AP6" s="16">
        <v>189617.62068965501</v>
      </c>
    </row>
    <row r="7" spans="1:42" x14ac:dyDescent="0.3">
      <c r="A7" s="10" t="s">
        <v>168</v>
      </c>
      <c r="B7" s="10" t="s">
        <v>88</v>
      </c>
      <c r="C7" s="13">
        <f>_xll.BDH("WMT US Equity","IS_SALES_AND_SERVICES_REVENUES","FQ1 2017","FQ1 2017","Currency=USD","Period=FQ","BEST_FPERIOD_OVERRIDE=FQ","FILING_STATUS=MR","SCALING_FORMAT=MLN","FA_ADJUSTED=GAAP","Sort=A","Dates=H","DateFormat=P","Fill=—","Direction=H","UseDPDF=Y")</f>
        <v>114986</v>
      </c>
      <c r="D7" s="13">
        <f>_xll.BDH("WMT US Equity","IS_SALES_AND_SERVICES_REVENUES","FQ2 2017","FQ2 2017","Currency=USD","Period=FQ","BEST_FPERIOD_OVERRIDE=FQ","FILING_STATUS=MR","SCALING_FORMAT=MLN","FA_ADJUSTED=GAAP","Sort=A","Dates=H","DateFormat=P","Fill=—","Direction=H","UseDPDF=Y")</f>
        <v>119405</v>
      </c>
      <c r="E7" s="13">
        <f>_xll.BDH("WMT US Equity","IS_SALES_AND_SERVICES_REVENUES","FQ3 2017","FQ3 2017","Currency=USD","Period=FQ","BEST_FPERIOD_OVERRIDE=FQ","FILING_STATUS=MR","SCALING_FORMAT=MLN","FA_ADJUSTED=GAAP","Sort=A","Dates=H","DateFormat=P","Fill=—","Direction=H","UseDPDF=Y")</f>
        <v>117176</v>
      </c>
      <c r="F7" s="13">
        <f>_xll.BDH("WMT US Equity","IS_SALES_AND_SERVICES_REVENUES","FQ4 2017","FQ4 2017","Currency=USD","Period=FQ","BEST_FPERIOD_OVERRIDE=FQ","FILING_STATUS=MR","SCALING_FORMAT=MLN","FA_ADJUSTED=GAAP","Sort=A","Dates=H","DateFormat=P","Fill=—","Direction=H","UseDPDF=Y")</f>
        <v>129750</v>
      </c>
      <c r="G7" s="13">
        <f>_xll.BDH("WMT US Equity","IS_SALES_AND_SERVICES_REVENUES","FQ1 2018","FQ1 2018","Currency=USD","Period=FQ","BEST_FPERIOD_OVERRIDE=FQ","FILING_STATUS=MR","SCALING_FORMAT=MLN","FA_ADJUSTED=GAAP","Sort=A","Dates=H","DateFormat=P","Fill=—","Direction=H","UseDPDF=Y")</f>
        <v>116526</v>
      </c>
      <c r="H7" s="13">
        <f>_xll.BDH("WMT US Equity","IS_SALES_AND_SERVICES_REVENUES","FQ2 2018","FQ2 2018","Currency=USD","Period=FQ","BEST_FPERIOD_OVERRIDE=FQ","FILING_STATUS=MR","SCALING_FORMAT=MLN","FA_ADJUSTED=GAAP","Sort=A","Dates=H","DateFormat=P","Fill=—","Direction=H","UseDPDF=Y")</f>
        <v>121949</v>
      </c>
      <c r="I7" s="13">
        <f>_xll.BDH("WMT US Equity","IS_SALES_AND_SERVICES_REVENUES","FQ3 2018","FQ3 2018","Currency=USD","Period=FQ","BEST_FPERIOD_OVERRIDE=FQ","FILING_STATUS=MR","SCALING_FORMAT=MLN","FA_ADJUSTED=GAAP","Sort=A","Dates=H","DateFormat=P","Fill=—","Direction=H","UseDPDF=Y")</f>
        <v>122136</v>
      </c>
      <c r="J7" s="13">
        <f>_xll.BDH("WMT US Equity","IS_SALES_AND_SERVICES_REVENUES","FQ4 2018","FQ4 2018","Currency=USD","Period=FQ","BEST_FPERIOD_OVERRIDE=FQ","FILING_STATUS=MR","SCALING_FORMAT=MLN","FA_ADJUSTED=GAAP","Sort=A","Dates=H","DateFormat=P","Fill=—","Direction=H","UseDPDF=Y")</f>
        <v>135150</v>
      </c>
      <c r="K7" s="13">
        <f>_xll.BDH("WMT US Equity","IS_SALES_AND_SERVICES_REVENUES","FQ1 2019","FQ1 2019","Currency=USD","Period=FQ","BEST_FPERIOD_OVERRIDE=FQ","FILING_STATUS=MR","SCALING_FORMAT=MLN","FA_ADJUSTED=GAAP","Sort=A","Dates=H","DateFormat=P","Fill=—","Direction=H","UseDPDF=Y")</f>
        <v>121630</v>
      </c>
      <c r="L7" s="13">
        <f>_xll.BDH("WMT US Equity","IS_SALES_AND_SERVICES_REVENUES","FQ2 2019","FQ2 2019","Currency=USD","Period=FQ","BEST_FPERIOD_OVERRIDE=FQ","FILING_STATUS=MR","SCALING_FORMAT=MLN","FA_ADJUSTED=GAAP","Sort=A","Dates=H","DateFormat=P","Fill=—","Direction=H","UseDPDF=Y")</f>
        <v>127059</v>
      </c>
      <c r="M7" s="13">
        <f>_xll.BDH("WMT US Equity","IS_SALES_AND_SERVICES_REVENUES","FQ3 2019","FQ3 2019","Currency=USD","Period=FQ","BEST_FPERIOD_OVERRIDE=FQ","FILING_STATUS=MR","SCALING_FORMAT=MLN","FA_ADJUSTED=GAAP","Sort=A","Dates=H","DateFormat=P","Fill=—","Direction=H","UseDPDF=Y")</f>
        <v>123897</v>
      </c>
      <c r="N7" s="13">
        <f>_xll.BDH("WMT US Equity","IS_SALES_AND_SERVICES_REVENUES","FQ4 2019","FQ4 2019","Currency=USD","Period=FQ","BEST_FPERIOD_OVERRIDE=FQ","FILING_STATUS=MR","SCALING_FORMAT=MLN","FA_ADJUSTED=GAAP","Sort=A","Dates=H","DateFormat=P","Fill=—","Direction=H","UseDPDF=Y")</f>
        <v>137743</v>
      </c>
      <c r="O7" s="13">
        <f>_xll.BDH("WMT US Equity","IS_SALES_AND_SERVICES_REVENUES","FQ1 2020","FQ1 2020","Currency=USD","Period=FQ","BEST_FPERIOD_OVERRIDE=FQ","FILING_STATUS=MR","SCALING_FORMAT=MLN","FA_ADJUSTED=GAAP","Sort=A","Dates=H","DateFormat=P","Fill=—","Direction=H","UseDPDF=Y")</f>
        <v>122949</v>
      </c>
      <c r="P7" s="13">
        <f>_xll.BDH("WMT US Equity","IS_SALES_AND_SERVICES_REVENUES","FQ2 2020","FQ2 2020","Currency=USD","Period=FQ","BEST_FPERIOD_OVERRIDE=FQ","FILING_STATUS=MR","SCALING_FORMAT=MLN","FA_ADJUSTED=GAAP","Sort=A","Dates=H","DateFormat=P","Fill=—","Direction=H","UseDPDF=Y")</f>
        <v>129388</v>
      </c>
      <c r="Q7" s="13">
        <f>_xll.BDH("WMT US Equity","IS_SALES_AND_SERVICES_REVENUES","FQ3 2020","FQ3 2020","Currency=USD","Period=FQ","BEST_FPERIOD_OVERRIDE=FQ","FILING_STATUS=MR","SCALING_FORMAT=MLN","FA_ADJUSTED=GAAP","Sort=A","Dates=H","DateFormat=P","Fill=—","Direction=H","UseDPDF=Y")</f>
        <v>126981</v>
      </c>
      <c r="R7" s="13">
        <f>_xll.BDH("WMT US Equity","IS_SALES_AND_SERVICES_REVENUES","FQ4 2020","FQ4 2020","Currency=USD","Period=FQ","BEST_FPERIOD_OVERRIDE=FQ","FILING_STATUS=MR","SCALING_FORMAT=MLN","FA_ADJUSTED=GAAP","Sort=A","Dates=H","DateFormat=P","Fill=—","Direction=H","UseDPDF=Y")</f>
        <v>140608</v>
      </c>
      <c r="S7" s="13">
        <f>_xll.BDH("WMT US Equity","IS_SALES_AND_SERVICES_REVENUES","FQ1 2021","FQ1 2021","Currency=USD","Period=FQ","BEST_FPERIOD_OVERRIDE=FQ","FILING_STATUS=MR","SCALING_FORMAT=MLN","FA_ADJUSTED=GAAP","Sort=A","Dates=H","DateFormat=P","Fill=—","Direction=H","UseDPDF=Y")</f>
        <v>133672</v>
      </c>
      <c r="T7" s="13">
        <f>_xll.BDH("WMT US Equity","IS_SALES_AND_SERVICES_REVENUES","FQ2 2021","FQ2 2021","Currency=USD","Period=FQ","BEST_FPERIOD_OVERRIDE=FQ","FILING_STATUS=MR","SCALING_FORMAT=MLN","FA_ADJUSTED=GAAP","Sort=A","Dates=H","DateFormat=P","Fill=—","Direction=H","UseDPDF=Y")</f>
        <v>136824</v>
      </c>
      <c r="U7" s="13">
        <f>_xll.BDH("WMT US Equity","IS_SALES_AND_SERVICES_REVENUES","FQ3 2021","FQ3 2021","Currency=USD","Period=FQ","BEST_FPERIOD_OVERRIDE=FQ","FILING_STATUS=MR","SCALING_FORMAT=MLN","FA_ADJUSTED=GAAP","Sort=A","Dates=H","DateFormat=P","Fill=—","Direction=H","UseDPDF=Y")</f>
        <v>133752</v>
      </c>
      <c r="V7" s="13">
        <f>_xll.BDH("WMT US Equity","IS_SALES_AND_SERVICES_REVENUES","FQ4 2021","FQ4 2021","Currency=USD","Period=FQ","BEST_FPERIOD_OVERRIDE=FQ","FILING_STATUS=MR","SCALING_FORMAT=MLN","FA_ADJUSTED=GAAP","Sort=A","Dates=H","DateFormat=P","Fill=—","Direction=H","UseDPDF=Y")</f>
        <v>150985</v>
      </c>
      <c r="W7" s="13">
        <f>_xll.BDH("WMT US Equity","IS_SALES_AND_SERVICES_REVENUES","FQ1 2022","FQ1 2022","Currency=USD","Period=FQ","BEST_FPERIOD_OVERRIDE=FQ","FILING_STATUS=MR","SCALING_FORMAT=MLN","FA_ADJUSTED=GAAP","Sort=A","Dates=H","DateFormat=P","Fill=—","Direction=H","UseDPDF=Y")</f>
        <v>137159</v>
      </c>
      <c r="X7" s="13">
        <f>_xll.BDH("WMT US Equity","IS_SALES_AND_SERVICES_REVENUES","FQ2 2022","FQ2 2022","Currency=USD","Period=FQ","BEST_FPERIOD_OVERRIDE=FQ","FILING_STATUS=MR","SCALING_FORMAT=MLN","FA_ADJUSTED=GAAP","Sort=A","Dates=H","DateFormat=P","Fill=—","Direction=H","UseDPDF=Y")</f>
        <v>139871</v>
      </c>
      <c r="Y7" s="13">
        <f>_xll.BDH("WMT US Equity","IS_SALES_AND_SERVICES_REVENUES","FQ3 2022","FQ3 2022","Currency=USD","Period=FQ","BEST_FPERIOD_OVERRIDE=FQ","FILING_STATUS=MR","SCALING_FORMAT=MLN","FA_ADJUSTED=GAAP","Sort=A","Dates=H","DateFormat=P","Fill=—","Direction=H","UseDPDF=Y")</f>
        <v>139207</v>
      </c>
      <c r="Z7" s="13">
        <f>_xll.BDH("WMT US Equity","IS_SALES_AND_SERVICES_REVENUES","FQ4 2022","FQ4 2022","Currency=USD","Period=FQ","BEST_FPERIOD_OVERRIDE=FQ","FILING_STATUS=MR","SCALING_FORMAT=MLN","FA_ADJUSTED=GAAP","Sort=A","Dates=H","DateFormat=P","Fill=—","Direction=H","UseDPDF=Y")</f>
        <v>151525</v>
      </c>
      <c r="AA7" s="13">
        <f>_xll.BDH("WMT US Equity","IS_SALES_AND_SERVICES_REVENUES","FQ1 2023","FQ1 2023","Currency=USD","Period=FQ","BEST_FPERIOD_OVERRIDE=FQ","FILING_STATUS=MR","SCALING_FORMAT=MLN","FA_ADJUSTED=GAAP","Sort=A","Dates=H","DateFormat=P","Fill=—","Direction=H","UseDPDF=Y")</f>
        <v>140288</v>
      </c>
      <c r="AB7" s="13">
        <f>_xll.BDH("WMT US Equity","IS_SALES_AND_SERVICES_REVENUES","FQ2 2023","FQ2 2023","Currency=USD","Period=FQ","BEST_FPERIOD_OVERRIDE=FQ","FILING_STATUS=MR","SCALING_FORMAT=MLN","FA_ADJUSTED=GAAP","Sort=A","Dates=H","DateFormat=P","Fill=—","Direction=H","UseDPDF=Y")</f>
        <v>151381</v>
      </c>
      <c r="AC7" s="13">
        <f>_xll.BDH("WMT US Equity","IS_SALES_AND_SERVICES_REVENUES","FQ3 2023","FQ3 2023","Currency=USD","Period=FQ","BEST_FPERIOD_OVERRIDE=FQ","FILING_STATUS=MR","SCALING_FORMAT=MLN","FA_ADJUSTED=GAAP","Sort=A","Dates=H","DateFormat=P","Fill=—","Direction=H","UseDPDF=Y")</f>
        <v>151469</v>
      </c>
      <c r="AD7" s="13">
        <f>_xll.BDH("WMT US Equity","IS_SALES_AND_SERVICES_REVENUES","FQ4 2023","FQ4 2023","Currency=USD","Period=FQ","BEST_FPERIOD_OVERRIDE=FQ","FILING_STATUS=MR","SCALING_FORMAT=MLN","FA_ADJUSTED=GAAP","Sort=A","Dates=H","DateFormat=P","Fill=—","Direction=H","UseDPDF=Y")</f>
        <v>162743</v>
      </c>
      <c r="AE7" s="13">
        <f>_xll.BDH("WMT US Equity","IS_SALES_AND_SERVICES_REVENUES","FQ1 2024","FQ1 2024","Currency=USD","Period=FQ","BEST_FPERIOD_OVERRIDE=FQ","FILING_STATUS=MR","SCALING_FORMAT=MLN","FA_ADJUSTED=GAAP","Sort=A","Dates=H","DateFormat=P","Fill=—","Direction=H","UseDPDF=Y")</f>
        <v>151004</v>
      </c>
      <c r="AF7" s="13">
        <f>_xll.BDH("WMT US Equity","IS_SALES_AND_SERVICES_REVENUES","FQ2 2024","FQ2 2024","Currency=USD","Period=FQ","BEST_FPERIOD_OVERRIDE=FQ","FILING_STATUS=MR","SCALING_FORMAT=MLN","FA_ADJUSTED=GAAP","Sort=A","Dates=H","DateFormat=P","Fill=—","Direction=H","UseDPDF=Y")</f>
        <v>160280</v>
      </c>
      <c r="AG7" s="13">
        <f>_xll.BDH("WMT US Equity","IS_SALES_AND_SERVICES_REVENUES","FQ3 2024","FQ3 2024","Currency=USD","Period=FQ","BEST_FPERIOD_OVERRIDE=FQ","FILING_STATUS=MR","SCALING_FORMAT=MLN","FA_ADJUSTED=GAAP","Sort=A","Dates=H","DateFormat=P","Fill=—","Direction=H","UseDPDF=Y")</f>
        <v>159439</v>
      </c>
      <c r="AH7" s="13">
        <f>_xll.BDH("WMT US Equity","IS_SALES_AND_SERVICES_REVENUES","FQ4 2024","FQ4 2024","Currency=USD","Period=FQ","BEST_FPERIOD_OVERRIDE=FQ","FILING_STATUS=MR","SCALING_FORMAT=MLN","FA_ADJUSTED=GAAP","Sort=A","Dates=H","DateFormat=P","Fill=—","Direction=H","UseDPDF=Y")</f>
        <v>171914</v>
      </c>
      <c r="AI7" s="13">
        <f>_xll.BDH("WMT US Equity","IS_SALES_AND_SERVICES_REVENUES","FQ1 2025","FQ1 2025","Currency=USD","Period=FQ","BEST_FPERIOD_OVERRIDE=FQ","FILING_STATUS=MR","SCALING_FORMAT=MLN","FA_ADJUSTED=GAAP","Sort=A","Dates=H","DateFormat=P","Fill=—","Direction=H","UseDPDF=Y")</f>
        <v>159938</v>
      </c>
      <c r="AJ7" s="13">
        <f>_xll.BDH("WMT US Equity","IS_SALES_AND_SERVICES_REVENUES","FQ2 2025","FQ2 2025","Currency=USD","Period=FQ","BEST_FPERIOD_OVERRIDE=FQ","FILING_STATUS=MR","SCALING_FORMAT=MLN","FA_ADJUSTED=GAAP","Sort=A","Dates=H","DateFormat=P","Fill=—","Direction=H","UseDPDF=Y")</f>
        <v>167767</v>
      </c>
      <c r="AK7" s="13">
        <f>_xll.BDH("WMT US Equity","IS_SALES_AND_SERVICES_REVENUES","FQ3 2025","FQ3 2025","Currency=USD","Period=FQ","BEST_FPERIOD_OVERRIDE=FQ","FILING_STATUS=MR","SCALING_FORMAT=MLN","FA_ADJUSTED=GAAP","Sort=A","Dates=H","DateFormat=P","Fill=—","Direction=H","UseDPDF=Y")</f>
        <v>168003</v>
      </c>
      <c r="AL7" s="13">
        <f>_xll.BDH("WMT US Equity","IS_SALES_AND_SERVICES_REVENUES","FQ4 2025","FQ4 2025","Currency=USD","Period=FQ","BEST_FPERIOD_OVERRIDE=FQ","FILING_STATUS=MR","SCALING_FORMAT=MLN","FA_ADJUSTED=GAAP","Sort=A","Dates=H","DateFormat=P","Fill=—","Direction=H","UseDPDF=Y")</f>
        <v>178830</v>
      </c>
      <c r="AM7" s="13">
        <f>_xll.BDH("WMT US Equity","IS_SALES_AND_SERVICES_REVENUES","FQ1 2026","FQ1 2026","Currency=USD","Period=FQ","BEST_FPERIOD_OVERRIDE=FQ","FILING_STATUS=MR","SCALING_FORMAT=MLN","FA_ADJUSTED=GAAP","Sort=A","Dates=H","DateFormat=P","Fill=—","Direction=H","UseDPDF=Y")</f>
        <v>163981</v>
      </c>
      <c r="AN7" s="13">
        <f>_xll.BDH("WMT US Equity","IS_SALES_AND_SERVICES_REVENUES","FQ2 2026","FQ2 2026","Currency=USD","Period=FQ","BEST_FPERIOD_OVERRIDE=FQ","FILING_STATUS=MR","SCALING_FORMAT=MLN","FA_ADJUSTED=GAAP","Sort=A","Dates=H","DateFormat=P","Fill=—","Direction=H","UseDPDF=Y")</f>
        <v>175750</v>
      </c>
      <c r="AO7" s="13"/>
      <c r="AP7" s="13"/>
    </row>
    <row r="8" spans="1:42" x14ac:dyDescent="0.3">
      <c r="A8" s="10" t="s">
        <v>169</v>
      </c>
      <c r="B8" s="10" t="s">
        <v>89</v>
      </c>
      <c r="C8" s="13">
        <f>_xll.BDH("WMT US Equity","IS_OTHER_REVENUE","FQ1 2017","FQ1 2017","Currency=USD","Period=FQ","BEST_FPERIOD_OVERRIDE=FQ","FILING_STATUS=MR","SCALING_FORMAT=MLN","FA_ADJUSTED=GAAP","Sort=A","Dates=H","DateFormat=P","Fill=—","Direction=H","UseDPDF=Y")</f>
        <v>918</v>
      </c>
      <c r="D8" s="13">
        <f>_xll.BDH("WMT US Equity","IS_OTHER_REVENUE","FQ2 2017","FQ2 2017","Currency=USD","Period=FQ","BEST_FPERIOD_OVERRIDE=FQ","FILING_STATUS=MR","SCALING_FORMAT=MLN","FA_ADJUSTED=GAAP","Sort=A","Dates=H","DateFormat=P","Fill=—","Direction=H","UseDPDF=Y")</f>
        <v>1449</v>
      </c>
      <c r="E8" s="13">
        <f>_xll.BDH("WMT US Equity","IS_OTHER_REVENUE","FQ3 2017","FQ3 2017","Currency=USD","Period=FQ","BEST_FPERIOD_OVERRIDE=FQ","FILING_STATUS=MR","SCALING_FORMAT=MLN","FA_ADJUSTED=GAAP","Sort=A","Dates=H","DateFormat=P","Fill=—","Direction=H","UseDPDF=Y")</f>
        <v>1003</v>
      </c>
      <c r="F8" s="13">
        <f>_xll.BDH("WMT US Equity","IS_OTHER_REVENUE","FQ4 2017","FQ4 2017","Currency=USD","Period=FQ","BEST_FPERIOD_OVERRIDE=FQ","FILING_STATUS=MR","SCALING_FORMAT=MLN","FA_ADJUSTED=GAAP","Sort=A","Dates=H","DateFormat=P","Fill=—","Direction=H","UseDPDF=Y")</f>
        <v>1186</v>
      </c>
      <c r="G8" s="13">
        <f>_xll.BDH("WMT US Equity","IS_OTHER_REVENUE","FQ1 2018","FQ1 2018","Currency=USD","Period=FQ","BEST_FPERIOD_OVERRIDE=FQ","FILING_STATUS=MR","SCALING_FORMAT=MLN","FA_ADJUSTED=GAAP","Sort=A","Dates=H","DateFormat=P","Fill=—","Direction=H","UseDPDF=Y")</f>
        <v>1016</v>
      </c>
      <c r="H8" s="13">
        <f>_xll.BDH("WMT US Equity","IS_OTHER_REVENUE","FQ2 2018","FQ2 2018","Currency=USD","Period=FQ","BEST_FPERIOD_OVERRIDE=FQ","FILING_STATUS=MR","SCALING_FORMAT=MLN","FA_ADJUSTED=GAAP","Sort=A","Dates=H","DateFormat=P","Fill=—","Direction=H","UseDPDF=Y")</f>
        <v>1406</v>
      </c>
      <c r="I8" s="13">
        <f>_xll.BDH("WMT US Equity","IS_OTHER_REVENUE","FQ3 2018","FQ3 2018","Currency=USD","Period=FQ","BEST_FPERIOD_OVERRIDE=FQ","FILING_STATUS=MR","SCALING_FORMAT=MLN","FA_ADJUSTED=GAAP","Sort=A","Dates=H","DateFormat=P","Fill=—","Direction=H","UseDPDF=Y")</f>
        <v>1043</v>
      </c>
      <c r="J8" s="13">
        <f>_xll.BDH("WMT US Equity","IS_OTHER_REVENUE","FQ4 2018","FQ4 2018","Currency=USD","Period=FQ","BEST_FPERIOD_OVERRIDE=FQ","FILING_STATUS=MR","SCALING_FORMAT=MLN","FA_ADJUSTED=GAAP","Sort=A","Dates=H","DateFormat=P","Fill=—","Direction=H","UseDPDF=Y")</f>
        <v>1117</v>
      </c>
      <c r="K8" s="13">
        <f>_xll.BDH("WMT US Equity","IS_OTHER_REVENUE","FQ1 2019","FQ1 2019","Currency=USD","Period=FQ","BEST_FPERIOD_OVERRIDE=FQ","FILING_STATUS=MR","SCALING_FORMAT=MLN","FA_ADJUSTED=GAAP","Sort=A","Dates=H","DateFormat=P","Fill=—","Direction=H","UseDPDF=Y")</f>
        <v>1060</v>
      </c>
      <c r="L8" s="13">
        <f>_xll.BDH("WMT US Equity","IS_OTHER_REVENUE","FQ2 2019","FQ2 2019","Currency=USD","Period=FQ","BEST_FPERIOD_OVERRIDE=FQ","FILING_STATUS=MR","SCALING_FORMAT=MLN","FA_ADJUSTED=GAAP","Sort=A","Dates=H","DateFormat=P","Fill=—","Direction=H","UseDPDF=Y")</f>
        <v>969</v>
      </c>
      <c r="M8" s="13">
        <f>_xll.BDH("WMT US Equity","IS_OTHER_REVENUE","FQ3 2019","FQ3 2019","Currency=USD","Period=FQ","BEST_FPERIOD_OVERRIDE=FQ","FILING_STATUS=MR","SCALING_FORMAT=MLN","FA_ADJUSTED=GAAP","Sort=A","Dates=H","DateFormat=P","Fill=—","Direction=H","UseDPDF=Y")</f>
        <v>997</v>
      </c>
      <c r="N8" s="13">
        <f>_xll.BDH("WMT US Equity","IS_OTHER_REVENUE","FQ4 2019","FQ4 2019","Currency=USD","Period=FQ","BEST_FPERIOD_OVERRIDE=FQ","FILING_STATUS=MR","SCALING_FORMAT=MLN","FA_ADJUSTED=GAAP","Sort=A","Dates=H","DateFormat=P","Fill=—","Direction=H","UseDPDF=Y")</f>
        <v>1050</v>
      </c>
      <c r="O8" s="13">
        <f>_xll.BDH("WMT US Equity","IS_OTHER_REVENUE","FQ1 2020","FQ1 2020","Currency=USD","Period=FQ","BEST_FPERIOD_OVERRIDE=FQ","FILING_STATUS=MR","SCALING_FORMAT=MLN","FA_ADJUSTED=GAAP","Sort=A","Dates=H","DateFormat=P","Fill=—","Direction=H","UseDPDF=Y")</f>
        <v>976</v>
      </c>
      <c r="P8" s="13">
        <f>_xll.BDH("WMT US Equity","IS_OTHER_REVENUE","FQ2 2020","FQ2 2020","Currency=USD","Period=FQ","BEST_FPERIOD_OVERRIDE=FQ","FILING_STATUS=MR","SCALING_FORMAT=MLN","FA_ADJUSTED=GAAP","Sort=A","Dates=H","DateFormat=P","Fill=—","Direction=H","UseDPDF=Y")</f>
        <v>989</v>
      </c>
      <c r="Q8" s="13">
        <f>_xll.BDH("WMT US Equity","IS_OTHER_REVENUE","FQ3 2020","FQ3 2020","Currency=USD","Period=FQ","BEST_FPERIOD_OVERRIDE=FQ","FILING_STATUS=MR","SCALING_FORMAT=MLN","FA_ADJUSTED=GAAP","Sort=A","Dates=H","DateFormat=P","Fill=—","Direction=H","UseDPDF=Y")</f>
        <v>1010</v>
      </c>
      <c r="R8" s="13">
        <f>_xll.BDH("WMT US Equity","IS_OTHER_REVENUE","FQ4 2020","FQ4 2020","Currency=USD","Period=FQ","BEST_FPERIOD_OVERRIDE=FQ","FILING_STATUS=MR","SCALING_FORMAT=MLN","FA_ADJUSTED=GAAP","Sort=A","Dates=H","DateFormat=P","Fill=—","Direction=H","UseDPDF=Y")</f>
        <v>1063</v>
      </c>
      <c r="S8" s="13">
        <f>_xll.BDH("WMT US Equity","IS_OTHER_REVENUE","FQ1 2021","FQ1 2021","Currency=USD","Period=FQ","BEST_FPERIOD_OVERRIDE=FQ","FILING_STATUS=MR","SCALING_FORMAT=MLN","FA_ADJUSTED=GAAP","Sort=A","Dates=H","DateFormat=P","Fill=—","Direction=H","UseDPDF=Y")</f>
        <v>950</v>
      </c>
      <c r="T8" s="13">
        <f>_xll.BDH("WMT US Equity","IS_OTHER_REVENUE","FQ2 2021","FQ2 2021","Currency=USD","Period=FQ","BEST_FPERIOD_OVERRIDE=FQ","FILING_STATUS=MR","SCALING_FORMAT=MLN","FA_ADJUSTED=GAAP","Sort=A","Dates=H","DateFormat=P","Fill=—","Direction=H","UseDPDF=Y")</f>
        <v>918</v>
      </c>
      <c r="U8" s="13">
        <f>_xll.BDH("WMT US Equity","IS_OTHER_REVENUE","FQ3 2021","FQ3 2021","Currency=USD","Period=FQ","BEST_FPERIOD_OVERRIDE=FQ","FILING_STATUS=MR","SCALING_FORMAT=MLN","FA_ADJUSTED=GAAP","Sort=A","Dates=H","DateFormat=P","Fill=—","Direction=H","UseDPDF=Y")</f>
        <v>956</v>
      </c>
      <c r="V8" s="13">
        <f>_xll.BDH("WMT US Equity","IS_OTHER_REVENUE","FQ4 2021","FQ4 2021","Currency=USD","Period=FQ","BEST_FPERIOD_OVERRIDE=FQ","FILING_STATUS=MR","SCALING_FORMAT=MLN","FA_ADJUSTED=GAAP","Sort=A","Dates=H","DateFormat=P","Fill=—","Direction=H","UseDPDF=Y")</f>
        <v>1094</v>
      </c>
      <c r="W8" s="13">
        <f>_xll.BDH("WMT US Equity","IS_OTHER_REVENUE","FQ1 2022","FQ1 2022","Currency=USD","Period=FQ","BEST_FPERIOD_OVERRIDE=FQ","FILING_STATUS=MR","SCALING_FORMAT=MLN","FA_ADJUSTED=GAAP","Sort=A","Dates=H","DateFormat=P","Fill=—","Direction=H","UseDPDF=Y")</f>
        <v>1151</v>
      </c>
      <c r="X8" s="13">
        <f>_xll.BDH("WMT US Equity","IS_OTHER_REVENUE","FQ2 2022","FQ2 2022","Currency=USD","Period=FQ","BEST_FPERIOD_OVERRIDE=FQ","FILING_STATUS=MR","SCALING_FORMAT=MLN","FA_ADJUSTED=GAAP","Sort=A","Dates=H","DateFormat=P","Fill=—","Direction=H","UseDPDF=Y")</f>
        <v>1177</v>
      </c>
      <c r="Y8" s="13">
        <f>_xll.BDH("WMT US Equity","IS_OTHER_REVENUE","FQ3 2022","FQ3 2022","Currency=USD","Period=FQ","BEST_FPERIOD_OVERRIDE=FQ","FILING_STATUS=MR","SCALING_FORMAT=MLN","FA_ADJUSTED=GAAP","Sort=A","Dates=H","DateFormat=P","Fill=—","Direction=H","UseDPDF=Y")</f>
        <v>1318</v>
      </c>
      <c r="Z8" s="13">
        <f>_xll.BDH("WMT US Equity","IS_OTHER_REVENUE","FQ4 2022","FQ4 2022","Currency=USD","Period=FQ","BEST_FPERIOD_OVERRIDE=FQ","FILING_STATUS=MR","SCALING_FORMAT=MLN","FA_ADJUSTED=GAAP","Sort=A","Dates=H","DateFormat=P","Fill=—","Direction=H","UseDPDF=Y")</f>
        <v>1346</v>
      </c>
      <c r="AA8" s="13">
        <f>_xll.BDH("WMT US Equity","IS_OTHER_REVENUE","FQ1 2023","FQ1 2023","Currency=USD","Period=FQ","BEST_FPERIOD_OVERRIDE=FQ","FILING_STATUS=MR","SCALING_FORMAT=MLN","FA_ADJUSTED=GAAP","Sort=A","Dates=H","DateFormat=P","Fill=—","Direction=H","UseDPDF=Y")</f>
        <v>1281</v>
      </c>
      <c r="AB8" s="13">
        <f>_xll.BDH("WMT US Equity","IS_OTHER_REVENUE","FQ2 2023","FQ2 2023","Currency=USD","Period=FQ","BEST_FPERIOD_OVERRIDE=FQ","FILING_STATUS=MR","SCALING_FORMAT=MLN","FA_ADJUSTED=GAAP","Sort=A","Dates=H","DateFormat=P","Fill=—","Direction=H","UseDPDF=Y")</f>
        <v>1478</v>
      </c>
      <c r="AC8" s="13">
        <f>_xll.BDH("WMT US Equity","IS_OTHER_REVENUE","FQ3 2023","FQ3 2023","Currency=USD","Period=FQ","BEST_FPERIOD_OVERRIDE=FQ","FILING_STATUS=MR","SCALING_FORMAT=MLN","FA_ADJUSTED=GAAP","Sort=A","Dates=H","DateFormat=P","Fill=—","Direction=H","UseDPDF=Y")</f>
        <v>1344</v>
      </c>
      <c r="AD8" s="13">
        <f>_xll.BDH("WMT US Equity","IS_OTHER_REVENUE","FQ4 2023","FQ4 2023","Currency=USD","Period=FQ","BEST_FPERIOD_OVERRIDE=FQ","FILING_STATUS=MR","SCALING_FORMAT=MLN","FA_ADJUSTED=GAAP","Sort=A","Dates=H","DateFormat=P","Fill=—","Direction=H","UseDPDF=Y")</f>
        <v>1305</v>
      </c>
      <c r="AE8" s="13">
        <f>_xll.BDH("WMT US Equity","IS_OTHER_REVENUE","FQ1 2024","FQ1 2024","Currency=USD","Period=FQ","BEST_FPERIOD_OVERRIDE=FQ","FILING_STATUS=MR","SCALING_FORMAT=MLN","FA_ADJUSTED=GAAP","Sort=A","Dates=H","DateFormat=P","Fill=—","Direction=H","UseDPDF=Y")</f>
        <v>1297</v>
      </c>
      <c r="AF8" s="13">
        <f>_xll.BDH("WMT US Equity","IS_OTHER_REVENUE","FQ2 2024","FQ2 2024","Currency=USD","Period=FQ","BEST_FPERIOD_OVERRIDE=FQ","FILING_STATUS=MR","SCALING_FORMAT=MLN","FA_ADJUSTED=GAAP","Sort=A","Dates=H","DateFormat=P","Fill=—","Direction=H","UseDPDF=Y")</f>
        <v>1352</v>
      </c>
      <c r="AG8" s="13">
        <f>_xll.BDH("WMT US Equity","IS_OTHER_REVENUE","FQ3 2024","FQ3 2024","Currency=USD","Period=FQ","BEST_FPERIOD_OVERRIDE=FQ","FILING_STATUS=MR","SCALING_FORMAT=MLN","FA_ADJUSTED=GAAP","Sort=A","Dates=H","DateFormat=P","Fill=—","Direction=H","UseDPDF=Y")</f>
        <v>1365</v>
      </c>
      <c r="AH8" s="13">
        <f>_xll.BDH("WMT US Equity","IS_OTHER_REVENUE","FQ4 2024","FQ4 2024","Currency=USD","Period=FQ","BEST_FPERIOD_OVERRIDE=FQ","FILING_STATUS=MR","SCALING_FORMAT=MLN","FA_ADJUSTED=GAAP","Sort=A","Dates=H","DateFormat=P","Fill=—","Direction=H","UseDPDF=Y")</f>
        <v>1474</v>
      </c>
      <c r="AI8" s="13">
        <f>_xll.BDH("WMT US Equity","IS_OTHER_REVENUE","FQ1 2025","FQ1 2025","Currency=USD","Period=FQ","BEST_FPERIOD_OVERRIDE=FQ","FILING_STATUS=MR","SCALING_FORMAT=MLN","FA_ADJUSTED=GAAP","Sort=A","Dates=H","DateFormat=P","Fill=—","Direction=H","UseDPDF=Y")</f>
        <v>1570</v>
      </c>
      <c r="AJ8" s="13">
        <f>_xll.BDH("WMT US Equity","IS_OTHER_REVENUE","FQ2 2025","FQ2 2025","Currency=USD","Period=FQ","BEST_FPERIOD_OVERRIDE=FQ","FILING_STATUS=MR","SCALING_FORMAT=MLN","FA_ADJUSTED=GAAP","Sort=A","Dates=H","DateFormat=P","Fill=—","Direction=H","UseDPDF=Y")</f>
        <v>1568</v>
      </c>
      <c r="AK8" s="13">
        <f>_xll.BDH("WMT US Equity","IS_OTHER_REVENUE","FQ3 2025","FQ3 2025","Currency=USD","Period=FQ","BEST_FPERIOD_OVERRIDE=FQ","FILING_STATUS=MR","SCALING_FORMAT=MLN","FA_ADJUSTED=GAAP","Sort=A","Dates=H","DateFormat=P","Fill=—","Direction=H","UseDPDF=Y")</f>
        <v>1585</v>
      </c>
      <c r="AL8" s="13">
        <f>_xll.BDH("WMT US Equity","IS_OTHER_REVENUE","FQ4 2025","FQ4 2025","Currency=USD","Period=FQ","BEST_FPERIOD_OVERRIDE=FQ","FILING_STATUS=MR","SCALING_FORMAT=MLN","FA_ADJUSTED=GAAP","Sort=A","Dates=H","DateFormat=P","Fill=—","Direction=H","UseDPDF=Y")</f>
        <v>1724</v>
      </c>
      <c r="AM8" s="13">
        <f>_xll.BDH("WMT US Equity","IS_OTHER_REVENUE","FQ1 2026","FQ1 2026","Currency=USD","Period=FQ","BEST_FPERIOD_OVERRIDE=FQ","FILING_STATUS=MR","SCALING_FORMAT=MLN","FA_ADJUSTED=GAAP","Sort=A","Dates=H","DateFormat=P","Fill=—","Direction=H","UseDPDF=Y")</f>
        <v>1628</v>
      </c>
      <c r="AN8" s="13">
        <f>_xll.BDH("WMT US Equity","IS_OTHER_REVENUE","FQ2 2026","FQ2 2026","Currency=USD","Period=FQ","BEST_FPERIOD_OVERRIDE=FQ","FILING_STATUS=MR","SCALING_FORMAT=MLN","FA_ADJUSTED=GAAP","Sort=A","Dates=H","DateFormat=P","Fill=—","Direction=H","UseDPDF=Y")</f>
        <v>1652</v>
      </c>
      <c r="AO8" s="13"/>
      <c r="AP8" s="13"/>
    </row>
    <row r="9" spans="1:42" x14ac:dyDescent="0.3">
      <c r="A9" s="10" t="s">
        <v>179</v>
      </c>
      <c r="B9" s="10" t="s">
        <v>90</v>
      </c>
      <c r="C9" s="13">
        <f>_xll.BDH("WMT US Equity","IS_COGS_TO_FE_AND_PP_AND_G","FQ1 2017","FQ1 2017","Currency=USD","Period=FQ","BEST_FPERIOD_OVERRIDE=FQ","FILING_STATUS=MR","SCALING_FORMAT=MLN","FA_ADJUSTED=GAAP","Sort=A","Dates=H","DateFormat=P","Fill=—","Direction=H","UseDPDF=Y")</f>
        <v>86544</v>
      </c>
      <c r="D9" s="13">
        <f>_xll.BDH("WMT US Equity","IS_COGS_TO_FE_AND_PP_AND_G","FQ2 2017","FQ2 2017","Currency=USD","Period=FQ","BEST_FPERIOD_OVERRIDE=FQ","FILING_STATUS=MR","SCALING_FORMAT=MLN","FA_ADJUSTED=GAAP","Sort=A","Dates=H","DateFormat=P","Fill=—","Direction=H","UseDPDF=Y")</f>
        <v>89485</v>
      </c>
      <c r="E9" s="13">
        <f>_xll.BDH("WMT US Equity","IS_COGS_TO_FE_AND_PP_AND_G","FQ3 2017","FQ3 2017","Currency=USD","Period=FQ","BEST_FPERIOD_OVERRIDE=FQ","FILING_STATUS=MR","SCALING_FORMAT=MLN","FA_ADJUSTED=GAAP","Sort=A","Dates=H","DateFormat=P","Fill=—","Direction=H","UseDPDF=Y")</f>
        <v>87484</v>
      </c>
      <c r="F9" s="13">
        <f>_xll.BDH("WMT US Equity","IS_COGS_TO_FE_AND_PP_AND_G","FQ4 2017","FQ4 2017","Currency=USD","Period=FQ","BEST_FPERIOD_OVERRIDE=FQ","FILING_STATUS=MR","SCALING_FORMAT=MLN","FA_ADJUSTED=GAAP","Sort=A","Dates=H","DateFormat=P","Fill=—","Direction=H","UseDPDF=Y")</f>
        <v>97743</v>
      </c>
      <c r="G9" s="13">
        <f>_xll.BDH("WMT US Equity","IS_COGS_TO_FE_AND_PP_AND_G","FQ1 2018","FQ1 2018","Currency=USD","Period=FQ","BEST_FPERIOD_OVERRIDE=FQ","FILING_STATUS=MR","SCALING_FORMAT=MLN","FA_ADJUSTED=GAAP","Sort=A","Dates=H","DateFormat=P","Fill=—","Direction=H","UseDPDF=Y")</f>
        <v>87688</v>
      </c>
      <c r="H9" s="13">
        <f>_xll.BDH("WMT US Equity","IS_COGS_TO_FE_AND_PP_AND_G","FQ2 2018","FQ2 2018","Currency=USD","Period=FQ","BEST_FPERIOD_OVERRIDE=FQ","FILING_STATUS=MR","SCALING_FORMAT=MLN","FA_ADJUSTED=GAAP","Sort=A","Dates=H","DateFormat=P","Fill=—","Direction=H","UseDPDF=Y")</f>
        <v>91521</v>
      </c>
      <c r="I9" s="13">
        <f>_xll.BDH("WMT US Equity","IS_COGS_TO_FE_AND_PP_AND_G","FQ3 2018","FQ3 2018","Currency=USD","Period=FQ","BEST_FPERIOD_OVERRIDE=FQ","FILING_STATUS=MR","SCALING_FORMAT=MLN","FA_ADJUSTED=GAAP","Sort=A","Dates=H","DateFormat=P","Fill=—","Direction=H","UseDPDF=Y")</f>
        <v>91547</v>
      </c>
      <c r="J9" s="13">
        <f>_xll.BDH("WMT US Equity","IS_COGS_TO_FE_AND_PP_AND_G","FQ4 2018","FQ4 2018","Currency=USD","Period=FQ","BEST_FPERIOD_OVERRIDE=FQ","FILING_STATUS=MR","SCALING_FORMAT=MLN","FA_ADJUSTED=GAAP","Sort=A","Dates=H","DateFormat=P","Fill=—","Direction=H","UseDPDF=Y")</f>
        <v>102640</v>
      </c>
      <c r="K9" s="13">
        <f>_xll.BDH("WMT US Equity","IS_COGS_TO_FE_AND_PP_AND_G","FQ1 2019","FQ1 2019","Currency=USD","Period=FQ","BEST_FPERIOD_OVERRIDE=FQ","FILING_STATUS=MR","SCALING_FORMAT=MLN","FA_ADJUSTED=GAAP","Sort=A","Dates=H","DateFormat=P","Fill=—","Direction=H","UseDPDF=Y")</f>
        <v>91707</v>
      </c>
      <c r="L9" s="13">
        <f>_xll.BDH("WMT US Equity","IS_COGS_TO_FE_AND_PP_AND_G","FQ2 2019","FQ2 2019","Currency=USD","Period=FQ","BEST_FPERIOD_OVERRIDE=FQ","FILING_STATUS=MR","SCALING_FORMAT=MLN","FA_ADJUSTED=GAAP","Sort=A","Dates=H","DateFormat=P","Fill=—","Direction=H","UseDPDF=Y")</f>
        <v>95571</v>
      </c>
      <c r="M9" s="13">
        <f>_xll.BDH("WMT US Equity","IS_COGS_TO_FE_AND_PP_AND_G","FQ3 2019","FQ3 2019","Currency=USD","Period=FQ","BEST_FPERIOD_OVERRIDE=FQ","FILING_STATUS=MR","SCALING_FORMAT=MLN","FA_ADJUSTED=GAAP","Sort=A","Dates=H","DateFormat=P","Fill=—","Direction=H","UseDPDF=Y")</f>
        <v>93116</v>
      </c>
      <c r="N9" s="13">
        <f>_xll.BDH("WMT US Equity","IS_COGS_TO_FE_AND_PP_AND_G","FQ4 2019","FQ4 2019","Currency=USD","Period=FQ","BEST_FPERIOD_OVERRIDE=FQ","FILING_STATUS=MR","SCALING_FORMAT=MLN","FA_ADJUSTED=GAAP","Sort=A","Dates=H","DateFormat=P","Fill=—","Direction=H","UseDPDF=Y")</f>
        <v>104907</v>
      </c>
      <c r="O9" s="13">
        <f>_xll.BDH("WMT US Equity","IS_COGS_TO_FE_AND_PP_AND_G","FQ1 2020","FQ1 2020","Currency=USD","Period=FQ","BEST_FPERIOD_OVERRIDE=FQ","FILING_STATUS=MR","SCALING_FORMAT=MLN","FA_ADJUSTED=GAAP","Sort=A","Dates=H","DateFormat=P","Fill=—","Direction=H","UseDPDF=Y")</f>
        <v>93034</v>
      </c>
      <c r="P9" s="13">
        <f>_xll.BDH("WMT US Equity","IS_COGS_TO_FE_AND_PP_AND_G","FQ2 2020","FQ2 2020","Currency=USD","Period=FQ","BEST_FPERIOD_OVERRIDE=FQ","FILING_STATUS=MR","SCALING_FORMAT=MLN","FA_ADJUSTED=GAAP","Sort=A","Dates=H","DateFormat=P","Fill=—","Direction=H","UseDPDF=Y")</f>
        <v>97923</v>
      </c>
      <c r="Q9" s="13">
        <f>_xll.BDH("WMT US Equity","IS_COGS_TO_FE_AND_PP_AND_G","FQ3 2020","FQ3 2020","Currency=USD","Period=FQ","BEST_FPERIOD_OVERRIDE=FQ","FILING_STATUS=MR","SCALING_FORMAT=MLN","FA_ADJUSTED=GAAP","Sort=A","Dates=H","DateFormat=P","Fill=—","Direction=H","UseDPDF=Y")</f>
        <v>95900</v>
      </c>
      <c r="R9" s="13">
        <f>_xll.BDH("WMT US Equity","IS_COGS_TO_FE_AND_PP_AND_G","FQ4 2020","FQ4 2020","Currency=USD","Period=FQ","BEST_FPERIOD_OVERRIDE=FQ","FILING_STATUS=MR","SCALING_FORMAT=MLN","FA_ADJUSTED=GAAP","Sort=A","Dates=H","DateFormat=P","Fill=—","Direction=H","UseDPDF=Y")</f>
        <v>107748</v>
      </c>
      <c r="S9" s="13">
        <f>_xll.BDH("WMT US Equity","IS_COGS_TO_FE_AND_PP_AND_G","FQ1 2021","FQ1 2021","Currency=USD","Period=FQ","BEST_FPERIOD_OVERRIDE=FQ","FILING_STATUS=MR","SCALING_FORMAT=MLN","FA_ADJUSTED=GAAP","Sort=A","Dates=H","DateFormat=P","Fill=—","Direction=H","UseDPDF=Y")</f>
        <v>102026</v>
      </c>
      <c r="T9" s="13">
        <f>_xll.BDH("WMT US Equity","IS_COGS_TO_FE_AND_PP_AND_G","FQ2 2021","FQ2 2021","Currency=USD","Period=FQ","BEST_FPERIOD_OVERRIDE=FQ","FILING_STATUS=MR","SCALING_FORMAT=MLN","FA_ADJUSTED=GAAP","Sort=A","Dates=H","DateFormat=P","Fill=—","Direction=H","UseDPDF=Y")</f>
        <v>102689</v>
      </c>
      <c r="U9" s="13">
        <f>_xll.BDH("WMT US Equity","IS_COGS_TO_FE_AND_PP_AND_G","FQ3 2021","FQ3 2021","Currency=USD","Period=FQ","BEST_FPERIOD_OVERRIDE=FQ","FILING_STATUS=MR","SCALING_FORMAT=MLN","FA_ADJUSTED=GAAP","Sort=A","Dates=H","DateFormat=P","Fill=—","Direction=H","UseDPDF=Y")</f>
        <v>100339</v>
      </c>
      <c r="V9" s="13">
        <f>_xll.BDH("WMT US Equity","IS_COGS_TO_FE_AND_PP_AND_G","FQ4 2021","FQ4 2021","Currency=USD","Period=FQ","BEST_FPERIOD_OVERRIDE=FQ","FILING_STATUS=MR","SCALING_FORMAT=MLN","FA_ADJUSTED=GAAP","Sort=A","Dates=H","DateFormat=P","Fill=—","Direction=H","UseDPDF=Y")</f>
        <v>115261</v>
      </c>
      <c r="W9" s="13">
        <f>_xll.BDH("WMT US Equity","IS_COGS_TO_FE_AND_PP_AND_G","FQ1 2022","FQ1 2022","Currency=USD","Period=FQ","BEST_FPERIOD_OVERRIDE=FQ","FILING_STATUS=MR","SCALING_FORMAT=MLN","FA_ADJUSTED=GAAP","Sort=A","Dates=H","DateFormat=P","Fill=—","Direction=H","UseDPDF=Y")</f>
        <v>103272</v>
      </c>
      <c r="X9" s="13">
        <f>_xll.BDH("WMT US Equity","IS_COGS_TO_FE_AND_PP_AND_G","FQ2 2022","FQ2 2022","Currency=USD","Period=FQ","BEST_FPERIOD_OVERRIDE=FQ","FILING_STATUS=MR","SCALING_FORMAT=MLN","FA_ADJUSTED=GAAP","Sort=A","Dates=H","DateFormat=P","Fill=—","Direction=H","UseDPDF=Y")</f>
        <v>105183</v>
      </c>
      <c r="Y9" s="13">
        <f>_xll.BDH("WMT US Equity","IS_COGS_TO_FE_AND_PP_AND_G","FQ3 2022","FQ3 2022","Currency=USD","Period=FQ","BEST_FPERIOD_OVERRIDE=FQ","FILING_STATUS=MR","SCALING_FORMAT=MLN","FA_ADJUSTED=GAAP","Sort=A","Dates=H","DateFormat=P","Fill=—","Direction=H","UseDPDF=Y")</f>
        <v>105023</v>
      </c>
      <c r="Z9" s="13">
        <f>_xll.BDH("WMT US Equity","IS_COGS_TO_FE_AND_PP_AND_G","FQ4 2022","FQ4 2022","Currency=USD","Period=FQ","BEST_FPERIOD_OVERRIDE=FQ","FILING_STATUS=MR","SCALING_FORMAT=MLN","FA_ADJUSTED=GAAP","Sort=A","Dates=H","DateFormat=P","Fill=—","Direction=H","UseDPDF=Y")</f>
        <v>115522</v>
      </c>
      <c r="AA9" s="13">
        <f>_xll.BDH("WMT US Equity","IS_COGS_TO_FE_AND_PP_AND_G","FQ1 2023","FQ1 2023","Currency=USD","Period=FQ","BEST_FPERIOD_OVERRIDE=FQ","FILING_STATUS=MR","SCALING_FORMAT=MLN","FA_ADJUSTED=GAAP","Sort=A","Dates=H","DateFormat=P","Fill=—","Direction=H","UseDPDF=Y")</f>
        <v>106847</v>
      </c>
      <c r="AB9" s="13">
        <f>_xll.BDH("WMT US Equity","IS_COGS_TO_FE_AND_PP_AND_G","FQ2 2023","FQ2 2023","Currency=USD","Period=FQ","BEST_FPERIOD_OVERRIDE=FQ","FILING_STATUS=MR","SCALING_FORMAT=MLN","FA_ADJUSTED=GAAP","Sort=A","Dates=H","DateFormat=P","Fill=—","Direction=H","UseDPDF=Y")</f>
        <v>115838</v>
      </c>
      <c r="AC9" s="13">
        <f>_xll.BDH("WMT US Equity","IS_COGS_TO_FE_AND_PP_AND_G","FQ3 2023","FQ3 2023","Currency=USD","Period=FQ","BEST_FPERIOD_OVERRIDE=FQ","FILING_STATUS=MR","SCALING_FORMAT=MLN","FA_ADJUSTED=GAAP","Sort=A","Dates=H","DateFormat=P","Fill=—","Direction=H","UseDPDF=Y")</f>
        <v>115613</v>
      </c>
      <c r="AD9" s="13">
        <f>_xll.BDH("WMT US Equity","IS_COGS_TO_FE_AND_PP_AND_G","FQ4 2023","FQ4 2023","Currency=USD","Period=FQ","BEST_FPERIOD_OVERRIDE=FQ","FILING_STATUS=MR","SCALING_FORMAT=MLN","FA_ADJUSTED=GAAP","Sort=A","Dates=H","DateFormat=P","Fill=—","Direction=H","UseDPDF=Y")</f>
        <v>125423</v>
      </c>
      <c r="AE9" s="13">
        <f>_xll.BDH("WMT US Equity","IS_COGS_TO_FE_AND_PP_AND_G","FQ1 2024","FQ1 2024","Currency=USD","Period=FQ","BEST_FPERIOD_OVERRIDE=FQ","FILING_STATUS=MR","SCALING_FORMAT=MLN","FA_ADJUSTED=GAAP","Sort=A","Dates=H","DateFormat=P","Fill=—","Direction=H","UseDPDF=Y")</f>
        <v>115284</v>
      </c>
      <c r="AF9" s="13">
        <f>_xll.BDH("WMT US Equity","IS_COGS_TO_FE_AND_PP_AND_G","FQ2 2024","FQ2 2024","Currency=USD","Period=FQ","BEST_FPERIOD_OVERRIDE=FQ","FILING_STATUS=MR","SCALING_FORMAT=MLN","FA_ADJUSTED=GAAP","Sort=A","Dates=H","DateFormat=P","Fill=—","Direction=H","UseDPDF=Y")</f>
        <v>121850</v>
      </c>
      <c r="AG9" s="13">
        <f>_xll.BDH("WMT US Equity","IS_COGS_TO_FE_AND_PP_AND_G","FQ3 2024","FQ3 2024","Currency=USD","Period=FQ","BEST_FPERIOD_OVERRIDE=FQ","FILING_STATUS=MR","SCALING_FORMAT=MLN","FA_ADJUSTED=GAAP","Sort=A","Dates=H","DateFormat=P","Fill=—","Direction=H","UseDPDF=Y")</f>
        <v>121183</v>
      </c>
      <c r="AH9" s="13">
        <f>_xll.BDH("WMT US Equity","IS_COGS_TO_FE_AND_PP_AND_G","FQ4 2024","FQ4 2024","Currency=USD","Period=FQ","BEST_FPERIOD_OVERRIDE=FQ","FILING_STATUS=MR","SCALING_FORMAT=MLN","FA_ADJUSTED=GAAP","Sort=A","Dates=H","DateFormat=P","Fill=—","Direction=H","UseDPDF=Y")</f>
        <v>131825</v>
      </c>
      <c r="AI9" s="13">
        <f>_xll.BDH("WMT US Equity","IS_COGS_TO_FE_AND_PP_AND_G","FQ1 2025","FQ1 2025","Currency=USD","Period=FQ","BEST_FPERIOD_OVERRIDE=FQ","FILING_STATUS=MR","SCALING_FORMAT=MLN","FA_ADJUSTED=GAAP","Sort=A","Dates=H","DateFormat=P","Fill=—","Direction=H","UseDPDF=Y")</f>
        <v>121431</v>
      </c>
      <c r="AJ9" s="13">
        <f>_xll.BDH("WMT US Equity","IS_COGS_TO_FE_AND_PP_AND_G","FQ2 2025","FQ2 2025","Currency=USD","Period=FQ","BEST_FPERIOD_OVERRIDE=FQ","FILING_STATUS=MR","SCALING_FORMAT=MLN","FA_ADJUSTED=GAAP","Sort=A","Dates=H","DateFormat=P","Fill=—","Direction=H","UseDPDF=Y")</f>
        <v>126810</v>
      </c>
      <c r="AK9" s="13">
        <f>_xll.BDH("WMT US Equity","IS_COGS_TO_FE_AND_PP_AND_G","FQ3 2025","FQ3 2025","Currency=USD","Period=FQ","BEST_FPERIOD_OVERRIDE=FQ","FILING_STATUS=MR","SCALING_FORMAT=MLN","FA_ADJUSTED=GAAP","Sort=A","Dates=H","DateFormat=P","Fill=—","Direction=H","UseDPDF=Y")</f>
        <v>127340</v>
      </c>
      <c r="AL9" s="13">
        <f>_xll.BDH("WMT US Equity","IS_COGS_TO_FE_AND_PP_AND_G","FQ4 2025","FQ4 2025","Currency=USD","Period=FQ","BEST_FPERIOD_OVERRIDE=FQ","FILING_STATUS=MR","SCALING_FORMAT=MLN","FA_ADJUSTED=GAAP","Sort=A","Dates=H","DateFormat=P","Fill=—","Direction=H","UseDPDF=Y")</f>
        <v>136172</v>
      </c>
      <c r="AM9" s="13">
        <f>_xll.BDH("WMT US Equity","IS_COGS_TO_FE_AND_PP_AND_G","FQ1 2026","FQ1 2026","Currency=USD","Period=FQ","BEST_FPERIOD_OVERRIDE=FQ","FILING_STATUS=MR","SCALING_FORMAT=MLN","FA_ADJUSTED=GAAP","Sort=A","Dates=H","DateFormat=P","Fill=—","Direction=H","UseDPDF=Y")</f>
        <v>124303</v>
      </c>
      <c r="AN9" s="13">
        <f>_xll.BDH("WMT US Equity","IS_COGS_TO_FE_AND_PP_AND_G","FQ2 2026","FQ2 2026","Currency=USD","Period=FQ","BEST_FPERIOD_OVERRIDE=FQ","FILING_STATUS=MR","SCALING_FORMAT=MLN","FA_ADJUSTED=GAAP","Sort=A","Dates=H","DateFormat=P","Fill=—","Direction=H","UseDPDF=Y")</f>
        <v>132771</v>
      </c>
      <c r="AO9" s="13"/>
      <c r="AP9" s="13"/>
    </row>
    <row r="10" spans="1:42" x14ac:dyDescent="0.3">
      <c r="A10" s="10" t="s">
        <v>170</v>
      </c>
      <c r="B10" s="10" t="s">
        <v>91</v>
      </c>
      <c r="C10" s="13">
        <f>_xll.BDH("WMT US Equity","IS_COG_AND_SERVICES_SOLD","FQ1 2017","FQ1 2017","Currency=USD","Period=FQ","BEST_FPERIOD_OVERRIDE=FQ","FILING_STATUS=MR","SCALING_FORMAT=MLN","FA_ADJUSTED=GAAP","Sort=A","Dates=H","DateFormat=P","Fill=—","Direction=H","UseDPDF=Y")</f>
        <v>86544</v>
      </c>
      <c r="D10" s="13">
        <f>_xll.BDH("WMT US Equity","IS_COG_AND_SERVICES_SOLD","FQ2 2017","FQ2 2017","Currency=USD","Period=FQ","BEST_FPERIOD_OVERRIDE=FQ","FILING_STATUS=MR","SCALING_FORMAT=MLN","FA_ADJUSTED=GAAP","Sort=A","Dates=H","DateFormat=P","Fill=—","Direction=H","UseDPDF=Y")</f>
        <v>89485</v>
      </c>
      <c r="E10" s="13">
        <f>_xll.BDH("WMT US Equity","IS_COG_AND_SERVICES_SOLD","FQ3 2017","FQ3 2017","Currency=USD","Period=FQ","BEST_FPERIOD_OVERRIDE=FQ","FILING_STATUS=MR","SCALING_FORMAT=MLN","FA_ADJUSTED=GAAP","Sort=A","Dates=H","DateFormat=P","Fill=—","Direction=H","UseDPDF=Y")</f>
        <v>87484</v>
      </c>
      <c r="F10" s="13">
        <f>_xll.BDH("WMT US Equity","IS_COG_AND_SERVICES_SOLD","FQ4 2017","FQ4 2017","Currency=USD","Period=FQ","BEST_FPERIOD_OVERRIDE=FQ","FILING_STATUS=MR","SCALING_FORMAT=MLN","FA_ADJUSTED=GAAP","Sort=A","Dates=H","DateFormat=P","Fill=—","Direction=H","UseDPDF=Y")</f>
        <v>97743</v>
      </c>
      <c r="G10" s="13">
        <f>_xll.BDH("WMT US Equity","IS_COG_AND_SERVICES_SOLD","FQ1 2018","FQ1 2018","Currency=USD","Period=FQ","BEST_FPERIOD_OVERRIDE=FQ","FILING_STATUS=MR","SCALING_FORMAT=MLN","FA_ADJUSTED=GAAP","Sort=A","Dates=H","DateFormat=P","Fill=—","Direction=H","UseDPDF=Y")</f>
        <v>87688</v>
      </c>
      <c r="H10" s="13">
        <f>_xll.BDH("WMT US Equity","IS_COG_AND_SERVICES_SOLD","FQ2 2018","FQ2 2018","Currency=USD","Period=FQ","BEST_FPERIOD_OVERRIDE=FQ","FILING_STATUS=MR","SCALING_FORMAT=MLN","FA_ADJUSTED=GAAP","Sort=A","Dates=H","DateFormat=P","Fill=—","Direction=H","UseDPDF=Y")</f>
        <v>91521</v>
      </c>
      <c r="I10" s="13">
        <f>_xll.BDH("WMT US Equity","IS_COG_AND_SERVICES_SOLD","FQ3 2018","FQ3 2018","Currency=USD","Period=FQ","BEST_FPERIOD_OVERRIDE=FQ","FILING_STATUS=MR","SCALING_FORMAT=MLN","FA_ADJUSTED=GAAP","Sort=A","Dates=H","DateFormat=P","Fill=—","Direction=H","UseDPDF=Y")</f>
        <v>91547</v>
      </c>
      <c r="J10" s="13">
        <f>_xll.BDH("WMT US Equity","IS_COG_AND_SERVICES_SOLD","FQ4 2018","FQ4 2018","Currency=USD","Period=FQ","BEST_FPERIOD_OVERRIDE=FQ","FILING_STATUS=MR","SCALING_FORMAT=MLN","FA_ADJUSTED=GAAP","Sort=A","Dates=H","DateFormat=P","Fill=—","Direction=H","UseDPDF=Y")</f>
        <v>102640</v>
      </c>
      <c r="K10" s="13">
        <f>_xll.BDH("WMT US Equity","IS_COG_AND_SERVICES_SOLD","FQ1 2019","FQ1 2019","Currency=USD","Period=FQ","BEST_FPERIOD_OVERRIDE=FQ","FILING_STATUS=MR","SCALING_FORMAT=MLN","FA_ADJUSTED=GAAP","Sort=A","Dates=H","DateFormat=P","Fill=—","Direction=H","UseDPDF=Y")</f>
        <v>91707</v>
      </c>
      <c r="L10" s="13">
        <f>_xll.BDH("WMT US Equity","IS_COG_AND_SERVICES_SOLD","FQ2 2019","FQ2 2019","Currency=USD","Period=FQ","BEST_FPERIOD_OVERRIDE=FQ","FILING_STATUS=MR","SCALING_FORMAT=MLN","FA_ADJUSTED=GAAP","Sort=A","Dates=H","DateFormat=P","Fill=—","Direction=H","UseDPDF=Y")</f>
        <v>95571</v>
      </c>
      <c r="M10" s="13">
        <f>_xll.BDH("WMT US Equity","IS_COG_AND_SERVICES_SOLD","FQ3 2019","FQ3 2019","Currency=USD","Period=FQ","BEST_FPERIOD_OVERRIDE=FQ","FILING_STATUS=MR","SCALING_FORMAT=MLN","FA_ADJUSTED=GAAP","Sort=A","Dates=H","DateFormat=P","Fill=—","Direction=H","UseDPDF=Y")</f>
        <v>93116</v>
      </c>
      <c r="N10" s="13">
        <f>_xll.BDH("WMT US Equity","IS_COG_AND_SERVICES_SOLD","FQ4 2019","FQ4 2019","Currency=USD","Period=FQ","BEST_FPERIOD_OVERRIDE=FQ","FILING_STATUS=MR","SCALING_FORMAT=MLN","FA_ADJUSTED=GAAP","Sort=A","Dates=H","DateFormat=P","Fill=—","Direction=H","UseDPDF=Y")</f>
        <v>104907</v>
      </c>
      <c r="O10" s="13">
        <f>_xll.BDH("WMT US Equity","IS_COG_AND_SERVICES_SOLD","FQ1 2020","FQ1 2020","Currency=USD","Period=FQ","BEST_FPERIOD_OVERRIDE=FQ","FILING_STATUS=MR","SCALING_FORMAT=MLN","FA_ADJUSTED=GAAP","Sort=A","Dates=H","DateFormat=P","Fill=—","Direction=H","UseDPDF=Y")</f>
        <v>93034</v>
      </c>
      <c r="P10" s="13">
        <f>_xll.BDH("WMT US Equity","IS_COG_AND_SERVICES_SOLD","FQ2 2020","FQ2 2020","Currency=USD","Period=FQ","BEST_FPERIOD_OVERRIDE=FQ","FILING_STATUS=MR","SCALING_FORMAT=MLN","FA_ADJUSTED=GAAP","Sort=A","Dates=H","DateFormat=P","Fill=—","Direction=H","UseDPDF=Y")</f>
        <v>97923</v>
      </c>
      <c r="Q10" s="13">
        <f>_xll.BDH("WMT US Equity","IS_COG_AND_SERVICES_SOLD","FQ3 2020","FQ3 2020","Currency=USD","Period=FQ","BEST_FPERIOD_OVERRIDE=FQ","FILING_STATUS=MR","SCALING_FORMAT=MLN","FA_ADJUSTED=GAAP","Sort=A","Dates=H","DateFormat=P","Fill=—","Direction=H","UseDPDF=Y")</f>
        <v>95900</v>
      </c>
      <c r="R10" s="13">
        <f>_xll.BDH("WMT US Equity","IS_COG_AND_SERVICES_SOLD","FQ4 2020","FQ4 2020","Currency=USD","Period=FQ","BEST_FPERIOD_OVERRIDE=FQ","FILING_STATUS=MR","SCALING_FORMAT=MLN","FA_ADJUSTED=GAAP","Sort=A","Dates=H","DateFormat=P","Fill=—","Direction=H","UseDPDF=Y")</f>
        <v>107748</v>
      </c>
      <c r="S10" s="13">
        <f>_xll.BDH("WMT US Equity","IS_COG_AND_SERVICES_SOLD","FQ1 2021","FQ1 2021","Currency=USD","Period=FQ","BEST_FPERIOD_OVERRIDE=FQ","FILING_STATUS=MR","SCALING_FORMAT=MLN","FA_ADJUSTED=GAAP","Sort=A","Dates=H","DateFormat=P","Fill=—","Direction=H","UseDPDF=Y")</f>
        <v>102026</v>
      </c>
      <c r="T10" s="13">
        <f>_xll.BDH("WMT US Equity","IS_COG_AND_SERVICES_SOLD","FQ2 2021","FQ2 2021","Currency=USD","Period=FQ","BEST_FPERIOD_OVERRIDE=FQ","FILING_STATUS=MR","SCALING_FORMAT=MLN","FA_ADJUSTED=GAAP","Sort=A","Dates=H","DateFormat=P","Fill=—","Direction=H","UseDPDF=Y")</f>
        <v>102689</v>
      </c>
      <c r="U10" s="13">
        <f>_xll.BDH("WMT US Equity","IS_COG_AND_SERVICES_SOLD","FQ3 2021","FQ3 2021","Currency=USD","Period=FQ","BEST_FPERIOD_OVERRIDE=FQ","FILING_STATUS=MR","SCALING_FORMAT=MLN","FA_ADJUSTED=GAAP","Sort=A","Dates=H","DateFormat=P","Fill=—","Direction=H","UseDPDF=Y")</f>
        <v>100339</v>
      </c>
      <c r="V10" s="13">
        <f>_xll.BDH("WMT US Equity","IS_COG_AND_SERVICES_SOLD","FQ4 2021","FQ4 2021","Currency=USD","Period=FQ","BEST_FPERIOD_OVERRIDE=FQ","FILING_STATUS=MR","SCALING_FORMAT=MLN","FA_ADJUSTED=GAAP","Sort=A","Dates=H","DateFormat=P","Fill=—","Direction=H","UseDPDF=Y")</f>
        <v>115261</v>
      </c>
      <c r="W10" s="13">
        <f>_xll.BDH("WMT US Equity","IS_COG_AND_SERVICES_SOLD","FQ1 2022","FQ1 2022","Currency=USD","Period=FQ","BEST_FPERIOD_OVERRIDE=FQ","FILING_STATUS=MR","SCALING_FORMAT=MLN","FA_ADJUSTED=GAAP","Sort=A","Dates=H","DateFormat=P","Fill=—","Direction=H","UseDPDF=Y")</f>
        <v>103272</v>
      </c>
      <c r="X10" s="13">
        <f>_xll.BDH("WMT US Equity","IS_COG_AND_SERVICES_SOLD","FQ2 2022","FQ2 2022","Currency=USD","Period=FQ","BEST_FPERIOD_OVERRIDE=FQ","FILING_STATUS=MR","SCALING_FORMAT=MLN","FA_ADJUSTED=GAAP","Sort=A","Dates=H","DateFormat=P","Fill=—","Direction=H","UseDPDF=Y")</f>
        <v>105183</v>
      </c>
      <c r="Y10" s="13">
        <f>_xll.BDH("WMT US Equity","IS_COG_AND_SERVICES_SOLD","FQ3 2022","FQ3 2022","Currency=USD","Period=FQ","BEST_FPERIOD_OVERRIDE=FQ","FILING_STATUS=MR","SCALING_FORMAT=MLN","FA_ADJUSTED=GAAP","Sort=A","Dates=H","DateFormat=P","Fill=—","Direction=H","UseDPDF=Y")</f>
        <v>105023</v>
      </c>
      <c r="Z10" s="13">
        <f>_xll.BDH("WMT US Equity","IS_COG_AND_SERVICES_SOLD","FQ4 2022","FQ4 2022","Currency=USD","Period=FQ","BEST_FPERIOD_OVERRIDE=FQ","FILING_STATUS=MR","SCALING_FORMAT=MLN","FA_ADJUSTED=GAAP","Sort=A","Dates=H","DateFormat=P","Fill=—","Direction=H","UseDPDF=Y")</f>
        <v>115522</v>
      </c>
      <c r="AA10" s="13">
        <f>_xll.BDH("WMT US Equity","IS_COG_AND_SERVICES_SOLD","FQ1 2023","FQ1 2023","Currency=USD","Period=FQ","BEST_FPERIOD_OVERRIDE=FQ","FILING_STATUS=MR","SCALING_FORMAT=MLN","FA_ADJUSTED=GAAP","Sort=A","Dates=H","DateFormat=P","Fill=—","Direction=H","UseDPDF=Y")</f>
        <v>106847</v>
      </c>
      <c r="AB10" s="13">
        <f>_xll.BDH("WMT US Equity","IS_COG_AND_SERVICES_SOLD","FQ2 2023","FQ2 2023","Currency=USD","Period=FQ","BEST_FPERIOD_OVERRIDE=FQ","FILING_STATUS=MR","SCALING_FORMAT=MLN","FA_ADJUSTED=GAAP","Sort=A","Dates=H","DateFormat=P","Fill=—","Direction=H","UseDPDF=Y")</f>
        <v>115838</v>
      </c>
      <c r="AC10" s="13">
        <f>_xll.BDH("WMT US Equity","IS_COG_AND_SERVICES_SOLD","FQ3 2023","FQ3 2023","Currency=USD","Period=FQ","BEST_FPERIOD_OVERRIDE=FQ","FILING_STATUS=MR","SCALING_FORMAT=MLN","FA_ADJUSTED=GAAP","Sort=A","Dates=H","DateFormat=P","Fill=—","Direction=H","UseDPDF=Y")</f>
        <v>115613</v>
      </c>
      <c r="AD10" s="13">
        <f>_xll.BDH("WMT US Equity","IS_COG_AND_SERVICES_SOLD","FQ4 2023","FQ4 2023","Currency=USD","Period=FQ","BEST_FPERIOD_OVERRIDE=FQ","FILING_STATUS=MR","SCALING_FORMAT=MLN","FA_ADJUSTED=GAAP","Sort=A","Dates=H","DateFormat=P","Fill=—","Direction=H","UseDPDF=Y")</f>
        <v>125423</v>
      </c>
      <c r="AE10" s="13">
        <f>_xll.BDH("WMT US Equity","IS_COG_AND_SERVICES_SOLD","FQ1 2024","FQ1 2024","Currency=USD","Period=FQ","BEST_FPERIOD_OVERRIDE=FQ","FILING_STATUS=MR","SCALING_FORMAT=MLN","FA_ADJUSTED=GAAP","Sort=A","Dates=H","DateFormat=P","Fill=—","Direction=H","UseDPDF=Y")</f>
        <v>115284</v>
      </c>
      <c r="AF10" s="13">
        <f>_xll.BDH("WMT US Equity","IS_COG_AND_SERVICES_SOLD","FQ2 2024","FQ2 2024","Currency=USD","Period=FQ","BEST_FPERIOD_OVERRIDE=FQ","FILING_STATUS=MR","SCALING_FORMAT=MLN","FA_ADJUSTED=GAAP","Sort=A","Dates=H","DateFormat=P","Fill=—","Direction=H","UseDPDF=Y")</f>
        <v>121850</v>
      </c>
      <c r="AG10" s="13">
        <f>_xll.BDH("WMT US Equity","IS_COG_AND_SERVICES_SOLD","FQ3 2024","FQ3 2024","Currency=USD","Period=FQ","BEST_FPERIOD_OVERRIDE=FQ","FILING_STATUS=MR","SCALING_FORMAT=MLN","FA_ADJUSTED=GAAP","Sort=A","Dates=H","DateFormat=P","Fill=—","Direction=H","UseDPDF=Y")</f>
        <v>121183</v>
      </c>
      <c r="AH10" s="13">
        <f>_xll.BDH("WMT US Equity","IS_COG_AND_SERVICES_SOLD","FQ4 2024","FQ4 2024","Currency=USD","Period=FQ","BEST_FPERIOD_OVERRIDE=FQ","FILING_STATUS=MR","SCALING_FORMAT=MLN","FA_ADJUSTED=GAAP","Sort=A","Dates=H","DateFormat=P","Fill=—","Direction=H","UseDPDF=Y")</f>
        <v>131825</v>
      </c>
      <c r="AI10" s="13">
        <f>_xll.BDH("WMT US Equity","IS_COG_AND_SERVICES_SOLD","FQ1 2025","FQ1 2025","Currency=USD","Period=FQ","BEST_FPERIOD_OVERRIDE=FQ","FILING_STATUS=MR","SCALING_FORMAT=MLN","FA_ADJUSTED=GAAP","Sort=A","Dates=H","DateFormat=P","Fill=—","Direction=H","UseDPDF=Y")</f>
        <v>121431</v>
      </c>
      <c r="AJ10" s="13">
        <f>_xll.BDH("WMT US Equity","IS_COG_AND_SERVICES_SOLD","FQ2 2025","FQ2 2025","Currency=USD","Period=FQ","BEST_FPERIOD_OVERRIDE=FQ","FILING_STATUS=MR","SCALING_FORMAT=MLN","FA_ADJUSTED=GAAP","Sort=A","Dates=H","DateFormat=P","Fill=—","Direction=H","UseDPDF=Y")</f>
        <v>126810</v>
      </c>
      <c r="AK10" s="13">
        <f>_xll.BDH("WMT US Equity","IS_COG_AND_SERVICES_SOLD","FQ3 2025","FQ3 2025","Currency=USD","Period=FQ","BEST_FPERIOD_OVERRIDE=FQ","FILING_STATUS=MR","SCALING_FORMAT=MLN","FA_ADJUSTED=GAAP","Sort=A","Dates=H","DateFormat=P","Fill=—","Direction=H","UseDPDF=Y")</f>
        <v>127340</v>
      </c>
      <c r="AL10" s="13">
        <f>_xll.BDH("WMT US Equity","IS_COG_AND_SERVICES_SOLD","FQ4 2025","FQ4 2025","Currency=USD","Period=FQ","BEST_FPERIOD_OVERRIDE=FQ","FILING_STATUS=MR","SCALING_FORMAT=MLN","FA_ADJUSTED=GAAP","Sort=A","Dates=H","DateFormat=P","Fill=—","Direction=H","UseDPDF=Y")</f>
        <v>136172</v>
      </c>
      <c r="AM10" s="13">
        <f>_xll.BDH("WMT US Equity","IS_COG_AND_SERVICES_SOLD","FQ1 2026","FQ1 2026","Currency=USD","Period=FQ","BEST_FPERIOD_OVERRIDE=FQ","FILING_STATUS=MR","SCALING_FORMAT=MLN","FA_ADJUSTED=GAAP","Sort=A","Dates=H","DateFormat=P","Fill=—","Direction=H","UseDPDF=Y")</f>
        <v>124303</v>
      </c>
      <c r="AN10" s="13">
        <f>_xll.BDH("WMT US Equity","IS_COG_AND_SERVICES_SOLD","FQ2 2026","FQ2 2026","Currency=USD","Period=FQ","BEST_FPERIOD_OVERRIDE=FQ","FILING_STATUS=MR","SCALING_FORMAT=MLN","FA_ADJUSTED=GAAP","Sort=A","Dates=H","DateFormat=P","Fill=—","Direction=H","UseDPDF=Y")</f>
        <v>132771</v>
      </c>
      <c r="AO10" s="13"/>
      <c r="AP10" s="13"/>
    </row>
    <row r="11" spans="1:42" x14ac:dyDescent="0.3">
      <c r="A11" s="6" t="s">
        <v>1</v>
      </c>
      <c r="B11" s="6" t="s">
        <v>92</v>
      </c>
      <c r="C11" s="16">
        <f>_xll.BDH("WMT US Equity","GROSS_PROFIT","FQ1 2017","FQ1 2017","Currency=USD","Period=FQ","BEST_FPERIOD_OVERRIDE=FQ","FILING_STATUS=MR","SCALING_FORMAT=MLN","FA_ADJUSTED=GAAP","Sort=A","Dates=H","DateFormat=P","Fill=—","Direction=H","UseDPDF=Y")</f>
        <v>29360</v>
      </c>
      <c r="D11" s="16">
        <f>_xll.BDH("WMT US Equity","GROSS_PROFIT","FQ2 2017","FQ2 2017","Currency=USD","Period=FQ","BEST_FPERIOD_OVERRIDE=FQ","FILING_STATUS=MR","SCALING_FORMAT=MLN","FA_ADJUSTED=GAAP","Sort=A","Dates=H","DateFormat=P","Fill=—","Direction=H","UseDPDF=Y")</f>
        <v>31369</v>
      </c>
      <c r="E11" s="16">
        <f>_xll.BDH("WMT US Equity","GROSS_PROFIT","FQ3 2017","FQ3 2017","Currency=USD","Period=FQ","BEST_FPERIOD_OVERRIDE=FQ","FILING_STATUS=MR","SCALING_FORMAT=MLN","FA_ADJUSTED=GAAP","Sort=A","Dates=H","DateFormat=P","Fill=—","Direction=H","UseDPDF=Y")</f>
        <v>30695</v>
      </c>
      <c r="F11" s="16">
        <f>_xll.BDH("WMT US Equity","GROSS_PROFIT","FQ4 2017","FQ4 2017","Currency=USD","Period=FQ","BEST_FPERIOD_OVERRIDE=FQ","FILING_STATUS=MR","SCALING_FORMAT=MLN","FA_ADJUSTED=GAAP","Sort=A","Dates=H","DateFormat=P","Fill=—","Direction=H","UseDPDF=Y")</f>
        <v>33193</v>
      </c>
      <c r="G11" s="16">
        <f>_xll.BDH("WMT US Equity","GROSS_PROFIT","FQ1 2018","FQ1 2018","Currency=USD","Period=FQ","BEST_FPERIOD_OVERRIDE=FQ","FILING_STATUS=MR","SCALING_FORMAT=MLN","FA_ADJUSTED=GAAP","Sort=A","Dates=H","DateFormat=P","Fill=—","Direction=H","UseDPDF=Y")</f>
        <v>29854</v>
      </c>
      <c r="H11" s="16">
        <f>_xll.BDH("WMT US Equity","GROSS_PROFIT","FQ2 2018","FQ2 2018","Currency=USD","Period=FQ","BEST_FPERIOD_OVERRIDE=FQ","FILING_STATUS=MR","SCALING_FORMAT=MLN","FA_ADJUSTED=GAAP","Sort=A","Dates=H","DateFormat=P","Fill=—","Direction=H","UseDPDF=Y")</f>
        <v>31834</v>
      </c>
      <c r="I11" s="16">
        <f>_xll.BDH("WMT US Equity","GROSS_PROFIT","FQ3 2018","FQ3 2018","Currency=USD","Period=FQ","BEST_FPERIOD_OVERRIDE=FQ","FILING_STATUS=MR","SCALING_FORMAT=MLN","FA_ADJUSTED=GAAP","Sort=A","Dates=H","DateFormat=P","Fill=—","Direction=H","UseDPDF=Y")</f>
        <v>31632</v>
      </c>
      <c r="J11" s="16">
        <f>_xll.BDH("WMT US Equity","GROSS_PROFIT","FQ4 2018","FQ4 2018","Currency=USD","Period=FQ","BEST_FPERIOD_OVERRIDE=FQ","FILING_STATUS=MR","SCALING_FORMAT=MLN","FA_ADJUSTED=GAAP","Sort=A","Dates=H","DateFormat=P","Fill=—","Direction=H","UseDPDF=Y")</f>
        <v>33627</v>
      </c>
      <c r="K11" s="16">
        <f>_xll.BDH("WMT US Equity","GROSS_PROFIT","FQ1 2019","FQ1 2019","Currency=USD","Period=FQ","BEST_FPERIOD_OVERRIDE=FQ","FILING_STATUS=MR","SCALING_FORMAT=MLN","FA_ADJUSTED=GAAP","Sort=A","Dates=H","DateFormat=P","Fill=—","Direction=H","UseDPDF=Y")</f>
        <v>30983</v>
      </c>
      <c r="L11" s="16">
        <f>_xll.BDH("WMT US Equity","GROSS_PROFIT","FQ2 2019","FQ2 2019","Currency=USD","Period=FQ","BEST_FPERIOD_OVERRIDE=FQ","FILING_STATUS=MR","SCALING_FORMAT=MLN","FA_ADJUSTED=GAAP","Sort=A","Dates=H","DateFormat=P","Fill=—","Direction=H","UseDPDF=Y")</f>
        <v>32457</v>
      </c>
      <c r="M11" s="16">
        <f>_xll.BDH("WMT US Equity","GROSS_PROFIT","FQ3 2019","FQ3 2019","Currency=USD","Period=FQ","BEST_FPERIOD_OVERRIDE=FQ","FILING_STATUS=MR","SCALING_FORMAT=MLN","FA_ADJUSTED=GAAP","Sort=A","Dates=H","DateFormat=P","Fill=—","Direction=H","UseDPDF=Y")</f>
        <v>31778</v>
      </c>
      <c r="N11" s="16">
        <f>_xll.BDH("WMT US Equity","GROSS_PROFIT","FQ4 2019","FQ4 2019","Currency=USD","Period=FQ","BEST_FPERIOD_OVERRIDE=FQ","FILING_STATUS=MR","SCALING_FORMAT=MLN","FA_ADJUSTED=GAAP","Sort=A","Dates=H","DateFormat=P","Fill=—","Direction=H","UseDPDF=Y")</f>
        <v>33886</v>
      </c>
      <c r="O11" s="16">
        <f>_xll.BDH("WMT US Equity","GROSS_PROFIT","FQ1 2020","FQ1 2020","Currency=USD","Period=FQ","BEST_FPERIOD_OVERRIDE=FQ","FILING_STATUS=MR","SCALING_FORMAT=MLN","FA_ADJUSTED=GAAP","Sort=A","Dates=H","DateFormat=P","Fill=—","Direction=H","UseDPDF=Y")</f>
        <v>30891</v>
      </c>
      <c r="P11" s="16">
        <f>_xll.BDH("WMT US Equity","GROSS_PROFIT","FQ2 2020","FQ2 2020","Currency=USD","Period=FQ","BEST_FPERIOD_OVERRIDE=FQ","FILING_STATUS=MR","SCALING_FORMAT=MLN","FA_ADJUSTED=GAAP","Sort=A","Dates=H","DateFormat=P","Fill=—","Direction=H","UseDPDF=Y")</f>
        <v>32454</v>
      </c>
      <c r="Q11" s="16">
        <f>_xll.BDH("WMT US Equity","GROSS_PROFIT","FQ3 2020","FQ3 2020","Currency=USD","Period=FQ","BEST_FPERIOD_OVERRIDE=FQ","FILING_STATUS=MR","SCALING_FORMAT=MLN","FA_ADJUSTED=GAAP","Sort=A","Dates=H","DateFormat=P","Fill=—","Direction=H","UseDPDF=Y")</f>
        <v>32091</v>
      </c>
      <c r="R11" s="16">
        <f>_xll.BDH("WMT US Equity","GROSS_PROFIT","FQ4 2020","FQ4 2020","Currency=USD","Period=FQ","BEST_FPERIOD_OVERRIDE=FQ","FILING_STATUS=MR","SCALING_FORMAT=MLN","FA_ADJUSTED=GAAP","Sort=A","Dates=H","DateFormat=P","Fill=—","Direction=H","UseDPDF=Y")</f>
        <v>33923</v>
      </c>
      <c r="S11" s="16">
        <f>_xll.BDH("WMT US Equity","GROSS_PROFIT","FQ1 2021","FQ1 2021","Currency=USD","Period=FQ","BEST_FPERIOD_OVERRIDE=FQ","FILING_STATUS=MR","SCALING_FORMAT=MLN","FA_ADJUSTED=GAAP","Sort=A","Dates=H","DateFormat=P","Fill=—","Direction=H","UseDPDF=Y")</f>
        <v>32596</v>
      </c>
      <c r="T11" s="16">
        <f>_xll.BDH("WMT US Equity","GROSS_PROFIT","FQ2 2021","FQ2 2021","Currency=USD","Period=FQ","BEST_FPERIOD_OVERRIDE=FQ","FILING_STATUS=MR","SCALING_FORMAT=MLN","FA_ADJUSTED=GAAP","Sort=A","Dates=H","DateFormat=P","Fill=—","Direction=H","UseDPDF=Y")</f>
        <v>35053</v>
      </c>
      <c r="U11" s="16">
        <f>_xll.BDH("WMT US Equity","GROSS_PROFIT","FQ3 2021","FQ3 2021","Currency=USD","Period=FQ","BEST_FPERIOD_OVERRIDE=FQ","FILING_STATUS=MR","SCALING_FORMAT=MLN","FA_ADJUSTED=GAAP","Sort=A","Dates=H","DateFormat=P","Fill=—","Direction=H","UseDPDF=Y")</f>
        <v>34369</v>
      </c>
      <c r="V11" s="16">
        <f>_xll.BDH("WMT US Equity","GROSS_PROFIT","FQ4 2021","FQ4 2021","Currency=USD","Period=FQ","BEST_FPERIOD_OVERRIDE=FQ","FILING_STATUS=MR","SCALING_FORMAT=MLN","FA_ADJUSTED=GAAP","Sort=A","Dates=H","DateFormat=P","Fill=—","Direction=H","UseDPDF=Y")</f>
        <v>36818</v>
      </c>
      <c r="W11" s="16">
        <f>_xll.BDH("WMT US Equity","GROSS_PROFIT","FQ1 2022","FQ1 2022","Currency=USD","Period=FQ","BEST_FPERIOD_OVERRIDE=FQ","FILING_STATUS=MR","SCALING_FORMAT=MLN","FA_ADJUSTED=GAAP","Sort=A","Dates=H","DateFormat=P","Fill=—","Direction=H","UseDPDF=Y")</f>
        <v>35038</v>
      </c>
      <c r="X11" s="16">
        <f>_xll.BDH("WMT US Equity","GROSS_PROFIT","FQ2 2022","FQ2 2022","Currency=USD","Period=FQ","BEST_FPERIOD_OVERRIDE=FQ","FILING_STATUS=MR","SCALING_FORMAT=MLN","FA_ADJUSTED=GAAP","Sort=A","Dates=H","DateFormat=P","Fill=—","Direction=H","UseDPDF=Y")</f>
        <v>35865</v>
      </c>
      <c r="Y11" s="16">
        <f>_xll.BDH("WMT US Equity","GROSS_PROFIT","FQ3 2022","FQ3 2022","Currency=USD","Period=FQ","BEST_FPERIOD_OVERRIDE=FQ","FILING_STATUS=MR","SCALING_FORMAT=MLN","FA_ADJUSTED=GAAP","Sort=A","Dates=H","DateFormat=P","Fill=—","Direction=H","UseDPDF=Y")</f>
        <v>35502</v>
      </c>
      <c r="Z11" s="16">
        <f>_xll.BDH("WMT US Equity","GROSS_PROFIT","FQ4 2022","FQ4 2022","Currency=USD","Period=FQ","BEST_FPERIOD_OVERRIDE=FQ","FILING_STATUS=MR","SCALING_FORMAT=MLN","FA_ADJUSTED=GAAP","Sort=A","Dates=H","DateFormat=P","Fill=—","Direction=H","UseDPDF=Y")</f>
        <v>37349</v>
      </c>
      <c r="AA11" s="16">
        <f>_xll.BDH("WMT US Equity","GROSS_PROFIT","FQ1 2023","FQ1 2023","Currency=USD","Period=FQ","BEST_FPERIOD_OVERRIDE=FQ","FILING_STATUS=MR","SCALING_FORMAT=MLN","FA_ADJUSTED=GAAP","Sort=A","Dates=H","DateFormat=P","Fill=—","Direction=H","UseDPDF=Y")</f>
        <v>34722</v>
      </c>
      <c r="AB11" s="16">
        <f>_xll.BDH("WMT US Equity","GROSS_PROFIT","FQ2 2023","FQ2 2023","Currency=USD","Period=FQ","BEST_FPERIOD_OVERRIDE=FQ","FILING_STATUS=MR","SCALING_FORMAT=MLN","FA_ADJUSTED=GAAP","Sort=A","Dates=H","DateFormat=P","Fill=—","Direction=H","UseDPDF=Y")</f>
        <v>37021</v>
      </c>
      <c r="AC11" s="16">
        <f>_xll.BDH("WMT US Equity","GROSS_PROFIT","FQ3 2023","FQ3 2023","Currency=USD","Period=FQ","BEST_FPERIOD_OVERRIDE=FQ","FILING_STATUS=MR","SCALING_FORMAT=MLN","FA_ADJUSTED=GAAP","Sort=A","Dates=H","DateFormat=P","Fill=—","Direction=H","UseDPDF=Y")</f>
        <v>37200</v>
      </c>
      <c r="AD11" s="16">
        <f>_xll.BDH("WMT US Equity","GROSS_PROFIT","FQ4 2023","FQ4 2023","Currency=USD","Period=FQ","BEST_FPERIOD_OVERRIDE=FQ","FILING_STATUS=MR","SCALING_FORMAT=MLN","FA_ADJUSTED=GAAP","Sort=A","Dates=H","DateFormat=P","Fill=—","Direction=H","UseDPDF=Y")</f>
        <v>38625</v>
      </c>
      <c r="AE11" s="16">
        <f>_xll.BDH("WMT US Equity","GROSS_PROFIT","FQ1 2024","FQ1 2024","Currency=USD","Period=FQ","BEST_FPERIOD_OVERRIDE=FQ","FILING_STATUS=MR","SCALING_FORMAT=MLN","FA_ADJUSTED=GAAP","Sort=A","Dates=H","DateFormat=P","Fill=—","Direction=H","UseDPDF=Y")</f>
        <v>37017</v>
      </c>
      <c r="AF11" s="16">
        <f>_xll.BDH("WMT US Equity","GROSS_PROFIT","FQ2 2024","FQ2 2024","Currency=USD","Period=FQ","BEST_FPERIOD_OVERRIDE=FQ","FILING_STATUS=MR","SCALING_FORMAT=MLN","FA_ADJUSTED=GAAP","Sort=A","Dates=H","DateFormat=P","Fill=—","Direction=H","UseDPDF=Y")</f>
        <v>39782</v>
      </c>
      <c r="AG11" s="16">
        <f>_xll.BDH("WMT US Equity","GROSS_PROFIT","FQ3 2024","FQ3 2024","Currency=USD","Period=FQ","BEST_FPERIOD_OVERRIDE=FQ","FILING_STATUS=MR","SCALING_FORMAT=MLN","FA_ADJUSTED=GAAP","Sort=A","Dates=H","DateFormat=P","Fill=—","Direction=H","UseDPDF=Y")</f>
        <v>39621</v>
      </c>
      <c r="AH11" s="16">
        <f>_xll.BDH("WMT US Equity","GROSS_PROFIT","FQ4 2024","FQ4 2024","Currency=USD","Period=FQ","BEST_FPERIOD_OVERRIDE=FQ","FILING_STATUS=MR","SCALING_FORMAT=MLN","FA_ADJUSTED=GAAP","Sort=A","Dates=H","DateFormat=P","Fill=—","Direction=H","UseDPDF=Y")</f>
        <v>41563</v>
      </c>
      <c r="AI11" s="16">
        <f>_xll.BDH("WMT US Equity","GROSS_PROFIT","FQ1 2025","FQ1 2025","Currency=USD","Period=FQ","BEST_FPERIOD_OVERRIDE=FQ","FILING_STATUS=MR","SCALING_FORMAT=MLN","FA_ADJUSTED=GAAP","Sort=A","Dates=H","DateFormat=P","Fill=—","Direction=H","UseDPDF=Y")</f>
        <v>40077</v>
      </c>
      <c r="AJ11" s="16">
        <f>_xll.BDH("WMT US Equity","GROSS_PROFIT","FQ2 2025","FQ2 2025","Currency=USD","Period=FQ","BEST_FPERIOD_OVERRIDE=FQ","FILING_STATUS=MR","SCALING_FORMAT=MLN","FA_ADJUSTED=GAAP","Sort=A","Dates=H","DateFormat=P","Fill=—","Direction=H","UseDPDF=Y")</f>
        <v>42525</v>
      </c>
      <c r="AK11" s="16">
        <f>_xll.BDH("WMT US Equity","GROSS_PROFIT","FQ3 2025","FQ3 2025","Currency=USD","Period=FQ","BEST_FPERIOD_OVERRIDE=FQ","FILING_STATUS=MR","SCALING_FORMAT=MLN","FA_ADJUSTED=GAAP","Sort=A","Dates=H","DateFormat=P","Fill=—","Direction=H","UseDPDF=Y")</f>
        <v>42248</v>
      </c>
      <c r="AL11" s="16">
        <f>_xll.BDH("WMT US Equity","GROSS_PROFIT","FQ4 2025","FQ4 2025","Currency=USD","Period=FQ","BEST_FPERIOD_OVERRIDE=FQ","FILING_STATUS=MR","SCALING_FORMAT=MLN","FA_ADJUSTED=GAAP","Sort=A","Dates=H","DateFormat=P","Fill=—","Direction=H","UseDPDF=Y")</f>
        <v>44382</v>
      </c>
      <c r="AM11" s="16">
        <f>_xll.BDH("WMT US Equity","GROSS_PROFIT","FQ1 2026","FQ1 2026","Currency=USD","Period=FQ","BEST_FPERIOD_OVERRIDE=FQ","FILING_STATUS=MR","SCALING_FORMAT=MLN","FA_ADJUSTED=GAAP","Sort=A","Dates=H","DateFormat=P","Fill=—","Direction=H","UseDPDF=Y")</f>
        <v>41306</v>
      </c>
      <c r="AN11" s="16">
        <f>_xll.BDH("WMT US Equity","GROSS_PROFIT","FQ2 2026","FQ2 2026","Currency=USD","Period=FQ","BEST_FPERIOD_OVERRIDE=FQ","FILING_STATUS=MR","SCALING_FORMAT=MLN","FA_ADJUSTED=GAAP","Sort=A","Dates=H","DateFormat=P","Fill=—","Direction=H","UseDPDF=Y")</f>
        <v>44631</v>
      </c>
      <c r="AO11" s="16">
        <v>43194.051317241399</v>
      </c>
      <c r="AP11" s="16">
        <v>45733.873934137897</v>
      </c>
    </row>
    <row r="12" spans="1:42" x14ac:dyDescent="0.3">
      <c r="A12" s="10" t="s">
        <v>171</v>
      </c>
      <c r="B12" s="10" t="s">
        <v>93</v>
      </c>
      <c r="C12" s="13">
        <f>_xll.BDH("WMT US Equity","IS_OTHER_OPER_INC","FQ1 2017","FQ1 2017","Currency=USD","Period=FQ","BEST_FPERIOD_OVERRIDE=FQ","FILING_STATUS=MR","SCALING_FORMAT=MLN","FA_ADJUSTED=GAAP","Sort=A","Dates=H","DateFormat=P","Fill=—","Direction=H","UseDPDF=Y")</f>
        <v>0</v>
      </c>
      <c r="D12" s="13">
        <f>_xll.BDH("WMT US Equity","IS_OTHER_OPER_INC","FQ2 2017","FQ2 2017","Currency=USD","Period=FQ","BEST_FPERIOD_OVERRIDE=FQ","FILING_STATUS=MR","SCALING_FORMAT=MLN","FA_ADJUSTED=GAAP","Sort=A","Dates=H","DateFormat=P","Fill=—","Direction=H","UseDPDF=Y")</f>
        <v>0</v>
      </c>
      <c r="E12" s="13">
        <f>_xll.BDH("WMT US Equity","IS_OTHER_OPER_INC","FQ3 2017","FQ3 2017","Currency=USD","Period=FQ","BEST_FPERIOD_OVERRIDE=FQ","FILING_STATUS=MR","SCALING_FORMAT=MLN","FA_ADJUSTED=GAAP","Sort=A","Dates=H","DateFormat=P","Fill=—","Direction=H","UseDPDF=Y")</f>
        <v>0</v>
      </c>
      <c r="F12" s="13">
        <f>_xll.BDH("WMT US Equity","IS_OTHER_OPER_INC","FQ4 2017","FQ4 2017","Currency=USD","Period=FQ","BEST_FPERIOD_OVERRIDE=FQ","FILING_STATUS=MR","SCALING_FORMAT=MLN","FA_ADJUSTED=GAAP","Sort=A","Dates=H","DateFormat=P","Fill=—","Direction=H","UseDPDF=Y")</f>
        <v>0</v>
      </c>
      <c r="G12" s="13">
        <f>_xll.BDH("WMT US Equity","IS_OTHER_OPER_INC","FQ1 2018","FQ1 2018","Currency=USD","Period=FQ","BEST_FPERIOD_OVERRIDE=FQ","FILING_STATUS=MR","SCALING_FORMAT=MLN","FA_ADJUSTED=GAAP","Sort=A","Dates=H","DateFormat=P","Fill=—","Direction=H","UseDPDF=Y")</f>
        <v>0</v>
      </c>
      <c r="H12" s="13">
        <f>_xll.BDH("WMT US Equity","IS_OTHER_OPER_INC","FQ2 2018","FQ2 2018","Currency=USD","Period=FQ","BEST_FPERIOD_OVERRIDE=FQ","FILING_STATUS=MR","SCALING_FORMAT=MLN","FA_ADJUSTED=GAAP","Sort=A","Dates=H","DateFormat=P","Fill=—","Direction=H","UseDPDF=Y")</f>
        <v>0</v>
      </c>
      <c r="I12" s="13">
        <f>_xll.BDH("WMT US Equity","IS_OTHER_OPER_INC","FQ3 2018","FQ3 2018","Currency=USD","Period=FQ","BEST_FPERIOD_OVERRIDE=FQ","FILING_STATUS=MR","SCALING_FORMAT=MLN","FA_ADJUSTED=GAAP","Sort=A","Dates=H","DateFormat=P","Fill=—","Direction=H","UseDPDF=Y")</f>
        <v>0</v>
      </c>
      <c r="J12" s="13">
        <f>_xll.BDH("WMT US Equity","IS_OTHER_OPER_INC","FQ4 2018","FQ4 2018","Currency=USD","Period=FQ","BEST_FPERIOD_OVERRIDE=FQ","FILING_STATUS=MR","SCALING_FORMAT=MLN","FA_ADJUSTED=GAAP","Sort=A","Dates=H","DateFormat=P","Fill=—","Direction=H","UseDPDF=Y")</f>
        <v>0</v>
      </c>
      <c r="K12" s="13">
        <f>_xll.BDH("WMT US Equity","IS_OTHER_OPER_INC","FQ1 2019","FQ1 2019","Currency=USD","Period=FQ","BEST_FPERIOD_OVERRIDE=FQ","FILING_STATUS=MR","SCALING_FORMAT=MLN","FA_ADJUSTED=GAAP","Sort=A","Dates=H","DateFormat=P","Fill=—","Direction=H","UseDPDF=Y")</f>
        <v>0</v>
      </c>
      <c r="L12" s="13">
        <f>_xll.BDH("WMT US Equity","IS_OTHER_OPER_INC","FQ2 2019","FQ2 2019","Currency=USD","Period=FQ","BEST_FPERIOD_OVERRIDE=FQ","FILING_STATUS=MR","SCALING_FORMAT=MLN","FA_ADJUSTED=GAAP","Sort=A","Dates=H","DateFormat=P","Fill=—","Direction=H","UseDPDF=Y")</f>
        <v>0</v>
      </c>
      <c r="M12" s="13">
        <f>_xll.BDH("WMT US Equity","IS_OTHER_OPER_INC","FQ3 2019","FQ3 2019","Currency=USD","Period=FQ","BEST_FPERIOD_OVERRIDE=FQ","FILING_STATUS=MR","SCALING_FORMAT=MLN","FA_ADJUSTED=GAAP","Sort=A","Dates=H","DateFormat=P","Fill=—","Direction=H","UseDPDF=Y")</f>
        <v>0</v>
      </c>
      <c r="N12" s="13">
        <f>_xll.BDH("WMT US Equity","IS_OTHER_OPER_INC","FQ4 2019","FQ4 2019","Currency=USD","Period=FQ","BEST_FPERIOD_OVERRIDE=FQ","FILING_STATUS=MR","SCALING_FORMAT=MLN","FA_ADJUSTED=GAAP","Sort=A","Dates=H","DateFormat=P","Fill=—","Direction=H","UseDPDF=Y")</f>
        <v>0</v>
      </c>
      <c r="O12" s="13">
        <f>_xll.BDH("WMT US Equity","IS_OTHER_OPER_INC","FQ1 2020","FQ1 2020","Currency=USD","Period=FQ","BEST_FPERIOD_OVERRIDE=FQ","FILING_STATUS=MR","SCALING_FORMAT=MLN","FA_ADJUSTED=GAAP","Sort=A","Dates=H","DateFormat=P","Fill=—","Direction=H","UseDPDF=Y")</f>
        <v>0</v>
      </c>
      <c r="P12" s="13">
        <f>_xll.BDH("WMT US Equity","IS_OTHER_OPER_INC","FQ2 2020","FQ2 2020","Currency=USD","Period=FQ","BEST_FPERIOD_OVERRIDE=FQ","FILING_STATUS=MR","SCALING_FORMAT=MLN","FA_ADJUSTED=GAAP","Sort=A","Dates=H","DateFormat=P","Fill=—","Direction=H","UseDPDF=Y")</f>
        <v>0</v>
      </c>
      <c r="Q12" s="13">
        <f>_xll.BDH("WMT US Equity","IS_OTHER_OPER_INC","FQ3 2020","FQ3 2020","Currency=USD","Period=FQ","BEST_FPERIOD_OVERRIDE=FQ","FILING_STATUS=MR","SCALING_FORMAT=MLN","FA_ADJUSTED=GAAP","Sort=A","Dates=H","DateFormat=P","Fill=—","Direction=H","UseDPDF=Y")</f>
        <v>0</v>
      </c>
      <c r="R12" s="13">
        <f>_xll.BDH("WMT US Equity","IS_OTHER_OPER_INC","FQ4 2020","FQ4 2020","Currency=USD","Period=FQ","BEST_FPERIOD_OVERRIDE=FQ","FILING_STATUS=MR","SCALING_FORMAT=MLN","FA_ADJUSTED=GAAP","Sort=A","Dates=H","DateFormat=P","Fill=—","Direction=H","UseDPDF=Y")</f>
        <v>0</v>
      </c>
      <c r="S12" s="13">
        <f>_xll.BDH("WMT US Equity","IS_OTHER_OPER_INC","FQ1 2021","FQ1 2021","Currency=USD","Period=FQ","BEST_FPERIOD_OVERRIDE=FQ","FILING_STATUS=MR","SCALING_FORMAT=MLN","FA_ADJUSTED=GAAP","Sort=A","Dates=H","DateFormat=P","Fill=—","Direction=H","UseDPDF=Y")</f>
        <v>0</v>
      </c>
      <c r="T12" s="13">
        <f>_xll.BDH("WMT US Equity","IS_OTHER_OPER_INC","FQ2 2021","FQ2 2021","Currency=USD","Period=FQ","BEST_FPERIOD_OVERRIDE=FQ","FILING_STATUS=MR","SCALING_FORMAT=MLN","FA_ADJUSTED=GAAP","Sort=A","Dates=H","DateFormat=P","Fill=—","Direction=H","UseDPDF=Y")</f>
        <v>0</v>
      </c>
      <c r="U12" s="13">
        <f>_xll.BDH("WMT US Equity","IS_OTHER_OPER_INC","FQ3 2021","FQ3 2021","Currency=USD","Period=FQ","BEST_FPERIOD_OVERRIDE=FQ","FILING_STATUS=MR","SCALING_FORMAT=MLN","FA_ADJUSTED=GAAP","Sort=A","Dates=H","DateFormat=P","Fill=—","Direction=H","UseDPDF=Y")</f>
        <v>0</v>
      </c>
      <c r="V12" s="13">
        <f>_xll.BDH("WMT US Equity","IS_OTHER_OPER_INC","FQ4 2021","FQ4 2021","Currency=USD","Period=FQ","BEST_FPERIOD_OVERRIDE=FQ","FILING_STATUS=MR","SCALING_FORMAT=MLN","FA_ADJUSTED=GAAP","Sort=A","Dates=H","DateFormat=P","Fill=—","Direction=H","UseDPDF=Y")</f>
        <v>0</v>
      </c>
      <c r="W12" s="13">
        <f>_xll.BDH("WMT US Equity","IS_OTHER_OPER_INC","FQ1 2022","FQ1 2022","Currency=USD","Period=FQ","BEST_FPERIOD_OVERRIDE=FQ","FILING_STATUS=MR","SCALING_FORMAT=MLN","FA_ADJUSTED=GAAP","Sort=A","Dates=H","DateFormat=P","Fill=—","Direction=H","UseDPDF=Y")</f>
        <v>0</v>
      </c>
      <c r="X12" s="13">
        <f>_xll.BDH("WMT US Equity","IS_OTHER_OPER_INC","FQ2 2022","FQ2 2022","Currency=USD","Period=FQ","BEST_FPERIOD_OVERRIDE=FQ","FILING_STATUS=MR","SCALING_FORMAT=MLN","FA_ADJUSTED=GAAP","Sort=A","Dates=H","DateFormat=P","Fill=—","Direction=H","UseDPDF=Y")</f>
        <v>0</v>
      </c>
      <c r="Y12" s="13">
        <f>_xll.BDH("WMT US Equity","IS_OTHER_OPER_INC","FQ3 2022","FQ3 2022","Currency=USD","Period=FQ","BEST_FPERIOD_OVERRIDE=FQ","FILING_STATUS=MR","SCALING_FORMAT=MLN","FA_ADJUSTED=GAAP","Sort=A","Dates=H","DateFormat=P","Fill=—","Direction=H","UseDPDF=Y")</f>
        <v>0</v>
      </c>
      <c r="Z12" s="13">
        <f>_xll.BDH("WMT US Equity","IS_OTHER_OPER_INC","FQ4 2022","FQ4 2022","Currency=USD","Period=FQ","BEST_FPERIOD_OVERRIDE=FQ","FILING_STATUS=MR","SCALING_FORMAT=MLN","FA_ADJUSTED=GAAP","Sort=A","Dates=H","DateFormat=P","Fill=—","Direction=H","UseDPDF=Y")</f>
        <v>0</v>
      </c>
      <c r="AA12" s="13">
        <f>_xll.BDH("WMT US Equity","IS_OTHER_OPER_INC","FQ1 2023","FQ1 2023","Currency=USD","Period=FQ","BEST_FPERIOD_OVERRIDE=FQ","FILING_STATUS=MR","SCALING_FORMAT=MLN","FA_ADJUSTED=GAAP","Sort=A","Dates=H","DateFormat=P","Fill=—","Direction=H","UseDPDF=Y")</f>
        <v>0</v>
      </c>
      <c r="AB12" s="13">
        <f>_xll.BDH("WMT US Equity","IS_OTHER_OPER_INC","FQ2 2023","FQ2 2023","Currency=USD","Period=FQ","BEST_FPERIOD_OVERRIDE=FQ","FILING_STATUS=MR","SCALING_FORMAT=MLN","FA_ADJUSTED=GAAP","Sort=A","Dates=H","DateFormat=P","Fill=—","Direction=H","UseDPDF=Y")</f>
        <v>0</v>
      </c>
      <c r="AC12" s="13">
        <f>_xll.BDH("WMT US Equity","IS_OTHER_OPER_INC","FQ3 2023","FQ3 2023","Currency=USD","Period=FQ","BEST_FPERIOD_OVERRIDE=FQ","FILING_STATUS=MR","SCALING_FORMAT=MLN","FA_ADJUSTED=GAAP","Sort=A","Dates=H","DateFormat=P","Fill=—","Direction=H","UseDPDF=Y")</f>
        <v>0</v>
      </c>
      <c r="AD12" s="13">
        <f>_xll.BDH("WMT US Equity","IS_OTHER_OPER_INC","FQ4 2023","FQ4 2023","Currency=USD","Period=FQ","BEST_FPERIOD_OVERRIDE=FQ","FILING_STATUS=MR","SCALING_FORMAT=MLN","FA_ADJUSTED=GAAP","Sort=A","Dates=H","DateFormat=P","Fill=—","Direction=H","UseDPDF=Y")</f>
        <v>0</v>
      </c>
      <c r="AE12" s="13">
        <f>_xll.BDH("WMT US Equity","IS_OTHER_OPER_INC","FQ1 2024","FQ1 2024","Currency=USD","Period=FQ","BEST_FPERIOD_OVERRIDE=FQ","FILING_STATUS=MR","SCALING_FORMAT=MLN","FA_ADJUSTED=GAAP","Sort=A","Dates=H","DateFormat=P","Fill=—","Direction=H","UseDPDF=Y")</f>
        <v>0</v>
      </c>
      <c r="AF12" s="13">
        <f>_xll.BDH("WMT US Equity","IS_OTHER_OPER_INC","FQ2 2024","FQ2 2024","Currency=USD","Period=FQ","BEST_FPERIOD_OVERRIDE=FQ","FILING_STATUS=MR","SCALING_FORMAT=MLN","FA_ADJUSTED=GAAP","Sort=A","Dates=H","DateFormat=P","Fill=—","Direction=H","UseDPDF=Y")</f>
        <v>0</v>
      </c>
      <c r="AG12" s="13">
        <f>_xll.BDH("WMT US Equity","IS_OTHER_OPER_INC","FQ3 2024","FQ3 2024","Currency=USD","Period=FQ","BEST_FPERIOD_OVERRIDE=FQ","FILING_STATUS=MR","SCALING_FORMAT=MLN","FA_ADJUSTED=GAAP","Sort=A","Dates=H","DateFormat=P","Fill=—","Direction=H","UseDPDF=Y")</f>
        <v>0</v>
      </c>
      <c r="AH12" s="13">
        <f>_xll.BDH("WMT US Equity","IS_OTHER_OPER_INC","FQ4 2024","FQ4 2024","Currency=USD","Period=FQ","BEST_FPERIOD_OVERRIDE=FQ","FILING_STATUS=MR","SCALING_FORMAT=MLN","FA_ADJUSTED=GAAP","Sort=A","Dates=H","DateFormat=P","Fill=—","Direction=H","UseDPDF=Y")</f>
        <v>0</v>
      </c>
      <c r="AI12" s="13">
        <f>_xll.BDH("WMT US Equity","IS_OTHER_OPER_INC","FQ1 2025","FQ1 2025","Currency=USD","Period=FQ","BEST_FPERIOD_OVERRIDE=FQ","FILING_STATUS=MR","SCALING_FORMAT=MLN","FA_ADJUSTED=GAAP","Sort=A","Dates=H","DateFormat=P","Fill=—","Direction=H","UseDPDF=Y")</f>
        <v>0</v>
      </c>
      <c r="AJ12" s="13">
        <f>_xll.BDH("WMT US Equity","IS_OTHER_OPER_INC","FQ2 2025","FQ2 2025","Currency=USD","Period=FQ","BEST_FPERIOD_OVERRIDE=FQ","FILING_STATUS=MR","SCALING_FORMAT=MLN","FA_ADJUSTED=GAAP","Sort=A","Dates=H","DateFormat=P","Fill=—","Direction=H","UseDPDF=Y")</f>
        <v>0</v>
      </c>
      <c r="AK12" s="13">
        <f>_xll.BDH("WMT US Equity","IS_OTHER_OPER_INC","FQ3 2025","FQ3 2025","Currency=USD","Period=FQ","BEST_FPERIOD_OVERRIDE=FQ","FILING_STATUS=MR","SCALING_FORMAT=MLN","FA_ADJUSTED=GAAP","Sort=A","Dates=H","DateFormat=P","Fill=—","Direction=H","UseDPDF=Y")</f>
        <v>0</v>
      </c>
      <c r="AL12" s="13">
        <f>_xll.BDH("WMT US Equity","IS_OTHER_OPER_INC","FQ4 2025","FQ4 2025","Currency=USD","Period=FQ","BEST_FPERIOD_OVERRIDE=FQ","FILING_STATUS=MR","SCALING_FORMAT=MLN","FA_ADJUSTED=GAAP","Sort=A","Dates=H","DateFormat=P","Fill=—","Direction=H","UseDPDF=Y")</f>
        <v>0</v>
      </c>
      <c r="AM12" s="13">
        <f>_xll.BDH("WMT US Equity","IS_OTHER_OPER_INC","FQ1 2026","FQ1 2026","Currency=USD","Period=FQ","BEST_FPERIOD_OVERRIDE=FQ","FILING_STATUS=MR","SCALING_FORMAT=MLN","FA_ADJUSTED=GAAP","Sort=A","Dates=H","DateFormat=P","Fill=—","Direction=H","UseDPDF=Y")</f>
        <v>0</v>
      </c>
      <c r="AN12" s="13">
        <f>_xll.BDH("WMT US Equity","IS_OTHER_OPER_INC","FQ2 2026","FQ2 2026","Currency=USD","Period=FQ","BEST_FPERIOD_OVERRIDE=FQ","FILING_STATUS=MR","SCALING_FORMAT=MLN","FA_ADJUSTED=GAAP","Sort=A","Dates=H","DateFormat=P","Fill=—","Direction=H","UseDPDF=Y")</f>
        <v>0</v>
      </c>
      <c r="AO12" s="13"/>
      <c r="AP12" s="13"/>
    </row>
    <row r="13" spans="1:42" x14ac:dyDescent="0.3">
      <c r="A13" s="10" t="s">
        <v>180</v>
      </c>
      <c r="B13" s="10" t="s">
        <v>94</v>
      </c>
      <c r="C13" s="13">
        <f>_xll.BDH("WMT US Equity","IS_OPERATING_EXPN","FQ1 2017","FQ1 2017","Currency=USD","Period=FQ","BEST_FPERIOD_OVERRIDE=FQ","FILING_STATUS=MR","SCALING_FORMAT=MLN","FA_ADJUSTED=GAAP","Sort=A","Dates=H","DateFormat=P","Fill=—","Direction=H","UseDPDF=Y")</f>
        <v>24085</v>
      </c>
      <c r="D13" s="13">
        <f>_xll.BDH("WMT US Equity","IS_OPERATING_EXPN","FQ2 2017","FQ2 2017","Currency=USD","Period=FQ","BEST_FPERIOD_OVERRIDE=FQ","FILING_STATUS=MR","SCALING_FORMAT=MLN","FA_ADJUSTED=GAAP","Sort=A","Dates=H","DateFormat=P","Fill=—","Direction=H","UseDPDF=Y")</f>
        <v>25204</v>
      </c>
      <c r="E13" s="13">
        <f>_xll.BDH("WMT US Equity","IS_OPERATING_EXPN","FQ3 2017","FQ3 2017","Currency=USD","Period=FQ","BEST_FPERIOD_OVERRIDE=FQ","FILING_STATUS=MR","SCALING_FORMAT=MLN","FA_ADJUSTED=GAAP","Sort=A","Dates=H","DateFormat=P","Fill=—","Direction=H","UseDPDF=Y")</f>
        <v>25576</v>
      </c>
      <c r="F13" s="13">
        <f>_xll.BDH("WMT US Equity","IS_OPERATING_EXPN","FQ4 2017","FQ4 2017","Currency=USD","Period=FQ","BEST_FPERIOD_OVERRIDE=FQ","FILING_STATUS=MR","SCALING_FORMAT=MLN","FA_ADJUSTED=GAAP","Sort=A","Dates=H","DateFormat=P","Fill=—","Direction=H","UseDPDF=Y")</f>
        <v>26988</v>
      </c>
      <c r="G13" s="13">
        <f>_xll.BDH("WMT US Equity","IS_OPERATING_EXPN","FQ1 2018","FQ1 2018","Currency=USD","Period=FQ","BEST_FPERIOD_OVERRIDE=FQ","FILING_STATUS=MR","SCALING_FORMAT=MLN","FA_ADJUSTED=GAAP","Sort=A","Dates=H","DateFormat=P","Fill=—","Direction=H","UseDPDF=Y")</f>
        <v>24617</v>
      </c>
      <c r="H13" s="13">
        <f>_xll.BDH("WMT US Equity","IS_OPERATING_EXPN","FQ2 2018","FQ2 2018","Currency=USD","Period=FQ","BEST_FPERIOD_OVERRIDE=FQ","FILING_STATUS=MR","SCALING_FORMAT=MLN","FA_ADJUSTED=GAAP","Sort=A","Dates=H","DateFormat=P","Fill=—","Direction=H","UseDPDF=Y")</f>
        <v>25865</v>
      </c>
      <c r="I13" s="13">
        <f>_xll.BDH("WMT US Equity","IS_OPERATING_EXPN","FQ3 2018","FQ3 2018","Currency=USD","Period=FQ","BEST_FPERIOD_OVERRIDE=FQ","FILING_STATUS=MR","SCALING_FORMAT=MLN","FA_ADJUSTED=GAAP","Sort=A","Dates=H","DateFormat=P","Fill=—","Direction=H","UseDPDF=Y")</f>
        <v>26868</v>
      </c>
      <c r="J13" s="13">
        <f>_xll.BDH("WMT US Equity","IS_OPERATING_EXPN","FQ4 2018","FQ4 2018","Currency=USD","Period=FQ","BEST_FPERIOD_OVERRIDE=FQ","FILING_STATUS=MR","SCALING_FORMAT=MLN","FA_ADJUSTED=GAAP","Sort=A","Dates=H","DateFormat=P","Fill=—","Direction=H","UseDPDF=Y")</f>
        <v>29160</v>
      </c>
      <c r="K13" s="13">
        <f>_xll.BDH("WMT US Equity","IS_OPERATING_EXPN","FQ1 2019","FQ1 2019","Currency=USD","Period=FQ","BEST_FPERIOD_OVERRIDE=FQ","FILING_STATUS=MR","SCALING_FORMAT=MLN","FA_ADJUSTED=GAAP","Sort=A","Dates=H","DateFormat=P","Fill=—","Direction=H","UseDPDF=Y")</f>
        <v>25829</v>
      </c>
      <c r="L13" s="13">
        <f>_xll.BDH("WMT US Equity","IS_OPERATING_EXPN","FQ2 2019","FQ2 2019","Currency=USD","Period=FQ","BEST_FPERIOD_OVERRIDE=FQ","FILING_STATUS=MR","SCALING_FORMAT=MLN","FA_ADJUSTED=GAAP","Sort=A","Dates=H","DateFormat=P","Fill=—","Direction=H","UseDPDF=Y")</f>
        <v>26707</v>
      </c>
      <c r="M13" s="13">
        <f>_xll.BDH("WMT US Equity","IS_OPERATING_EXPN","FQ3 2019","FQ3 2019","Currency=USD","Period=FQ","BEST_FPERIOD_OVERRIDE=FQ","FILING_STATUS=MR","SCALING_FORMAT=MLN","FA_ADJUSTED=GAAP","Sort=A","Dates=H","DateFormat=P","Fill=—","Direction=H","UseDPDF=Y")</f>
        <v>26792</v>
      </c>
      <c r="N13" s="13">
        <f>_xll.BDH("WMT US Equity","IS_OPERATING_EXPN","FQ4 2019","FQ4 2019","Currency=USD","Period=FQ","BEST_FPERIOD_OVERRIDE=FQ","FILING_STATUS=MR","SCALING_FORMAT=MLN","FA_ADJUSTED=GAAP","Sort=A","Dates=H","DateFormat=P","Fill=—","Direction=H","UseDPDF=Y")</f>
        <v>27819</v>
      </c>
      <c r="O13" s="13">
        <f>_xll.BDH("WMT US Equity","IS_OPERATING_EXPN","FQ1 2020","FQ1 2020","Currency=USD","Period=FQ","BEST_FPERIOD_OVERRIDE=FQ","FILING_STATUS=MR","SCALING_FORMAT=MLN","FA_ADJUSTED=GAAP","Sort=A","Dates=H","DateFormat=P","Fill=—","Direction=H","UseDPDF=Y")</f>
        <v>25946</v>
      </c>
      <c r="P13" s="13">
        <f>_xll.BDH("WMT US Equity","IS_OPERATING_EXPN","FQ2 2020","FQ2 2020","Currency=USD","Period=FQ","BEST_FPERIOD_OVERRIDE=FQ","FILING_STATUS=MR","SCALING_FORMAT=MLN","FA_ADJUSTED=GAAP","Sort=A","Dates=H","DateFormat=P","Fill=—","Direction=H","UseDPDF=Y")</f>
        <v>26871</v>
      </c>
      <c r="Q13" s="13">
        <f>_xll.BDH("WMT US Equity","IS_OPERATING_EXPN","FQ3 2020","FQ3 2020","Currency=USD","Period=FQ","BEST_FPERIOD_OVERRIDE=FQ","FILING_STATUS=MR","SCALING_FORMAT=MLN","FA_ADJUSTED=GAAP","Sort=A","Dates=H","DateFormat=P","Fill=—","Direction=H","UseDPDF=Y")</f>
        <v>27373</v>
      </c>
      <c r="R13" s="13">
        <f>_xll.BDH("WMT US Equity","IS_OPERATING_EXPN","FQ4 2020","FQ4 2020","Currency=USD","Period=FQ","BEST_FPERIOD_OVERRIDE=FQ","FILING_STATUS=MR","SCALING_FORMAT=MLN","FA_ADJUSTED=GAAP","Sort=A","Dates=H","DateFormat=P","Fill=—","Direction=H","UseDPDF=Y")</f>
        <v>28601</v>
      </c>
      <c r="S13" s="13">
        <f>_xll.BDH("WMT US Equity","IS_OPERATING_EXPN","FQ1 2021","FQ1 2021","Currency=USD","Period=FQ","BEST_FPERIOD_OVERRIDE=FQ","FILING_STATUS=MR","SCALING_FORMAT=MLN","FA_ADJUSTED=GAAP","Sort=A","Dates=H","DateFormat=P","Fill=—","Direction=H","UseDPDF=Y")</f>
        <v>27372</v>
      </c>
      <c r="T13" s="13">
        <f>_xll.BDH("WMT US Equity","IS_OPERATING_EXPN","FQ2 2021","FQ2 2021","Currency=USD","Period=FQ","BEST_FPERIOD_OVERRIDE=FQ","FILING_STATUS=MR","SCALING_FORMAT=MLN","FA_ADJUSTED=GAAP","Sort=A","Dates=H","DateFormat=P","Fill=—","Direction=H","UseDPDF=Y")</f>
        <v>28994</v>
      </c>
      <c r="U13" s="13">
        <f>_xll.BDH("WMT US Equity","IS_OPERATING_EXPN","FQ3 2021","FQ3 2021","Currency=USD","Period=FQ","BEST_FPERIOD_OVERRIDE=FQ","FILING_STATUS=MR","SCALING_FORMAT=MLN","FA_ADJUSTED=GAAP","Sort=A","Dates=H","DateFormat=P","Fill=—","Direction=H","UseDPDF=Y")</f>
        <v>28591</v>
      </c>
      <c r="V13" s="13">
        <f>_xll.BDH("WMT US Equity","IS_OPERATING_EXPN","FQ4 2021","FQ4 2021","Currency=USD","Period=FQ","BEST_FPERIOD_OVERRIDE=FQ","FILING_STATUS=MR","SCALING_FORMAT=MLN","FA_ADJUSTED=GAAP","Sort=A","Dates=H","DateFormat=P","Fill=—","Direction=H","UseDPDF=Y")</f>
        <v>31331</v>
      </c>
      <c r="W13" s="13">
        <f>_xll.BDH("WMT US Equity","IS_OPERATING_EXPN","FQ1 2022","FQ1 2022","Currency=USD","Period=FQ","BEST_FPERIOD_OVERRIDE=FQ","FILING_STATUS=MR","SCALING_FORMAT=MLN","FA_ADJUSTED=GAAP","Sort=A","Dates=H","DateFormat=P","Fill=—","Direction=H","UseDPDF=Y")</f>
        <v>28129</v>
      </c>
      <c r="X13" s="13">
        <f>_xll.BDH("WMT US Equity","IS_OPERATING_EXPN","FQ2 2022","FQ2 2022","Currency=USD","Period=FQ","BEST_FPERIOD_OVERRIDE=FQ","FILING_STATUS=MR","SCALING_FORMAT=MLN","FA_ADJUSTED=GAAP","Sort=A","Dates=H","DateFormat=P","Fill=—","Direction=H","UseDPDF=Y")</f>
        <v>28511</v>
      </c>
      <c r="Y13" s="13">
        <f>_xll.BDH("WMT US Equity","IS_OPERATING_EXPN","FQ3 2022","FQ3 2022","Currency=USD","Period=FQ","BEST_FPERIOD_OVERRIDE=FQ","FILING_STATUS=MR","SCALING_FORMAT=MLN","FA_ADJUSTED=GAAP","Sort=A","Dates=H","DateFormat=P","Fill=—","Direction=H","UseDPDF=Y")</f>
        <v>29710</v>
      </c>
      <c r="Z13" s="13">
        <f>_xll.BDH("WMT US Equity","IS_OPERATING_EXPN","FQ4 2022","FQ4 2022","Currency=USD","Period=FQ","BEST_FPERIOD_OVERRIDE=FQ","FILING_STATUS=MR","SCALING_FORMAT=MLN","FA_ADJUSTED=GAAP","Sort=A","Dates=H","DateFormat=P","Fill=—","Direction=H","UseDPDF=Y")</f>
        <v>31462</v>
      </c>
      <c r="AA13" s="13">
        <f>_xll.BDH("WMT US Equity","IS_OPERATING_EXPN","FQ1 2023","FQ1 2023","Currency=USD","Period=FQ","BEST_FPERIOD_OVERRIDE=FQ","FILING_STATUS=MR","SCALING_FORMAT=MLN","FA_ADJUSTED=GAAP","Sort=A","Dates=H","DateFormat=P","Fill=—","Direction=H","UseDPDF=Y")</f>
        <v>29404</v>
      </c>
      <c r="AB13" s="13">
        <f>_xll.BDH("WMT US Equity","IS_OPERATING_EXPN","FQ2 2023","FQ2 2023","Currency=USD","Period=FQ","BEST_FPERIOD_OVERRIDE=FQ","FILING_STATUS=MR","SCALING_FORMAT=MLN","FA_ADJUSTED=GAAP","Sort=A","Dates=H","DateFormat=P","Fill=—","Direction=H","UseDPDF=Y")</f>
        <v>30167</v>
      </c>
      <c r="AC13" s="13">
        <f>_xll.BDH("WMT US Equity","IS_OPERATING_EXPN","FQ3 2023","FQ3 2023","Currency=USD","Period=FQ","BEST_FPERIOD_OVERRIDE=FQ","FILING_STATUS=MR","SCALING_FORMAT=MLN","FA_ADJUSTED=GAAP","Sort=A","Dates=H","DateFormat=P","Fill=—","Direction=H","UseDPDF=Y")</f>
        <v>34505</v>
      </c>
      <c r="AD13" s="13">
        <f>_xll.BDH("WMT US Equity","IS_OPERATING_EXPN","FQ4 2023","FQ4 2023","Currency=USD","Period=FQ","BEST_FPERIOD_OVERRIDE=FQ","FILING_STATUS=MR","SCALING_FORMAT=MLN","FA_ADJUSTED=GAAP","Sort=A","Dates=H","DateFormat=P","Fill=—","Direction=H","UseDPDF=Y")</f>
        <v>33064</v>
      </c>
      <c r="AE13" s="13">
        <f>_xll.BDH("WMT US Equity","IS_OPERATING_EXPN","FQ1 2024","FQ1 2024","Currency=USD","Period=FQ","BEST_FPERIOD_OVERRIDE=FQ","FILING_STATUS=MR","SCALING_FORMAT=MLN","FA_ADJUSTED=GAAP","Sort=A","Dates=H","DateFormat=P","Fill=—","Direction=H","UseDPDF=Y")</f>
        <v>30777</v>
      </c>
      <c r="AF13" s="13">
        <f>_xll.BDH("WMT US Equity","IS_OPERATING_EXPN","FQ2 2024","FQ2 2024","Currency=USD","Period=FQ","BEST_FPERIOD_OVERRIDE=FQ","FILING_STATUS=MR","SCALING_FORMAT=MLN","FA_ADJUSTED=GAAP","Sort=A","Dates=H","DateFormat=P","Fill=—","Direction=H","UseDPDF=Y")</f>
        <v>32466</v>
      </c>
      <c r="AG13" s="13">
        <f>_xll.BDH("WMT US Equity","IS_OPERATING_EXPN","FQ3 2024","FQ3 2024","Currency=USD","Period=FQ","BEST_FPERIOD_OVERRIDE=FQ","FILING_STATUS=MR","SCALING_FORMAT=MLN","FA_ADJUSTED=GAAP","Sort=A","Dates=H","DateFormat=P","Fill=—","Direction=H","UseDPDF=Y")</f>
        <v>33419</v>
      </c>
      <c r="AH13" s="13">
        <f>_xll.BDH("WMT US Equity","IS_OPERATING_EXPN","FQ4 2024","FQ4 2024","Currency=USD","Period=FQ","BEST_FPERIOD_OVERRIDE=FQ","FILING_STATUS=MR","SCALING_FORMAT=MLN","FA_ADJUSTED=GAAP","Sort=A","Dates=H","DateFormat=P","Fill=—","Direction=H","UseDPDF=Y")</f>
        <v>34309</v>
      </c>
      <c r="AI13" s="13">
        <f>_xll.BDH("WMT US Equity","IS_OPERATING_EXPN","FQ1 2025","FQ1 2025","Currency=USD","Period=FQ","BEST_FPERIOD_OVERRIDE=FQ","FILING_STATUS=MR","SCALING_FORMAT=MLN","FA_ADJUSTED=GAAP","Sort=A","Dates=H","DateFormat=P","Fill=—","Direction=H","UseDPDF=Y")</f>
        <v>33236</v>
      </c>
      <c r="AJ13" s="13">
        <f>_xll.BDH("WMT US Equity","IS_OPERATING_EXPN","FQ2 2025","FQ2 2025","Currency=USD","Period=FQ","BEST_FPERIOD_OVERRIDE=FQ","FILING_STATUS=MR","SCALING_FORMAT=MLN","FA_ADJUSTED=GAAP","Sort=A","Dates=H","DateFormat=P","Fill=—","Direction=H","UseDPDF=Y")</f>
        <v>34585</v>
      </c>
      <c r="AK13" s="13">
        <f>_xll.BDH("WMT US Equity","IS_OPERATING_EXPN","FQ3 2025","FQ3 2025","Currency=USD","Period=FQ","BEST_FPERIOD_OVERRIDE=FQ","FILING_STATUS=MR","SCALING_FORMAT=MLN","FA_ADJUSTED=GAAP","Sort=A","Dates=H","DateFormat=P","Fill=—","Direction=H","UseDPDF=Y")</f>
        <v>35540</v>
      </c>
      <c r="AL13" s="13">
        <f>_xll.BDH("WMT US Equity","IS_OPERATING_EXPN","FQ4 2025","FQ4 2025","Currency=USD","Period=FQ","BEST_FPERIOD_OVERRIDE=FQ","FILING_STATUS=MR","SCALING_FORMAT=MLN","FA_ADJUSTED=GAAP","Sort=A","Dates=H","DateFormat=P","Fill=—","Direction=H","UseDPDF=Y")</f>
        <v>36523</v>
      </c>
      <c r="AM13" s="13">
        <f>_xll.BDH("WMT US Equity","IS_OPERATING_EXPN","FQ1 2026","FQ1 2026","Currency=USD","Period=FQ","BEST_FPERIOD_OVERRIDE=FQ","FILING_STATUS=MR","SCALING_FORMAT=MLN","FA_ADJUSTED=GAAP","Sort=A","Dates=H","DateFormat=P","Fill=—","Direction=H","UseDPDF=Y")</f>
        <v>34171</v>
      </c>
      <c r="AN13" s="13">
        <f>_xll.BDH("WMT US Equity","IS_OPERATING_EXPN","FQ2 2026","FQ2 2026","Currency=USD","Period=FQ","BEST_FPERIOD_OVERRIDE=FQ","FILING_STATUS=MR","SCALING_FORMAT=MLN","FA_ADJUSTED=GAAP","Sort=A","Dates=H","DateFormat=P","Fill=—","Direction=H","UseDPDF=Y")</f>
        <v>37345</v>
      </c>
      <c r="AO13" s="13"/>
      <c r="AP13" s="13"/>
    </row>
    <row r="14" spans="1:42" x14ac:dyDescent="0.3">
      <c r="A14" s="10" t="s">
        <v>172</v>
      </c>
      <c r="B14" s="10" t="s">
        <v>95</v>
      </c>
      <c r="C14" s="13">
        <f>_xll.BDH("WMT US Equity","IS_SGA_EXPENSE","FQ1 2017","FQ1 2017","Currency=USD","Period=FQ","BEST_FPERIOD_OVERRIDE=FQ","FILING_STATUS=MR","SCALING_FORMAT=MLN","FA_ADJUSTED=GAAP","Sort=A","Dates=H","DateFormat=P","Fill=—","Direction=H","UseDPDF=Y")</f>
        <v>24085</v>
      </c>
      <c r="D14" s="13">
        <f>_xll.BDH("WMT US Equity","IS_SGA_EXPENSE","FQ2 2017","FQ2 2017","Currency=USD","Period=FQ","BEST_FPERIOD_OVERRIDE=FQ","FILING_STATUS=MR","SCALING_FORMAT=MLN","FA_ADJUSTED=GAAP","Sort=A","Dates=H","DateFormat=P","Fill=—","Direction=H","UseDPDF=Y")</f>
        <v>25204</v>
      </c>
      <c r="E14" s="13">
        <f>_xll.BDH("WMT US Equity","IS_SGA_EXPENSE","FQ3 2017","FQ3 2017","Currency=USD","Period=FQ","BEST_FPERIOD_OVERRIDE=FQ","FILING_STATUS=MR","SCALING_FORMAT=MLN","FA_ADJUSTED=GAAP","Sort=A","Dates=H","DateFormat=P","Fill=—","Direction=H","UseDPDF=Y")</f>
        <v>25576</v>
      </c>
      <c r="F14" s="13">
        <f>_xll.BDH("WMT US Equity","IS_SGA_EXPENSE","FQ4 2017","FQ4 2017","Currency=USD","Period=FQ","BEST_FPERIOD_OVERRIDE=FQ","FILING_STATUS=MR","SCALING_FORMAT=MLN","FA_ADJUSTED=GAAP","Sort=A","Dates=H","DateFormat=P","Fill=—","Direction=H","UseDPDF=Y")</f>
        <v>26988</v>
      </c>
      <c r="G14" s="13">
        <f>_xll.BDH("WMT US Equity","IS_SGA_EXPENSE","FQ1 2018","FQ1 2018","Currency=USD","Period=FQ","BEST_FPERIOD_OVERRIDE=FQ","FILING_STATUS=MR","SCALING_FORMAT=MLN","FA_ADJUSTED=GAAP","Sort=A","Dates=H","DateFormat=P","Fill=—","Direction=H","UseDPDF=Y")</f>
        <v>24617</v>
      </c>
      <c r="H14" s="13">
        <f>_xll.BDH("WMT US Equity","IS_SGA_EXPENSE","FQ2 2018","FQ2 2018","Currency=USD","Period=FQ","BEST_FPERIOD_OVERRIDE=FQ","FILING_STATUS=MR","SCALING_FORMAT=MLN","FA_ADJUSTED=GAAP","Sort=A","Dates=H","DateFormat=P","Fill=—","Direction=H","UseDPDF=Y")</f>
        <v>25865</v>
      </c>
      <c r="I14" s="13">
        <f>_xll.BDH("WMT US Equity","IS_SGA_EXPENSE","FQ3 2018","FQ3 2018","Currency=USD","Period=FQ","BEST_FPERIOD_OVERRIDE=FQ","FILING_STATUS=MR","SCALING_FORMAT=MLN","FA_ADJUSTED=GAAP","Sort=A","Dates=H","DateFormat=P","Fill=—","Direction=H","UseDPDF=Y")</f>
        <v>26868</v>
      </c>
      <c r="J14" s="13">
        <f>_xll.BDH("WMT US Equity","IS_SGA_EXPENSE","FQ4 2018","FQ4 2018","Currency=USD","Period=FQ","BEST_FPERIOD_OVERRIDE=FQ","FILING_STATUS=MR","SCALING_FORMAT=MLN","FA_ADJUSTED=GAAP","Sort=A","Dates=H","DateFormat=P","Fill=—","Direction=H","UseDPDF=Y")</f>
        <v>29160</v>
      </c>
      <c r="K14" s="13">
        <f>_xll.BDH("WMT US Equity","IS_SGA_EXPENSE","FQ1 2019","FQ1 2019","Currency=USD","Period=FQ","BEST_FPERIOD_OVERRIDE=FQ","FILING_STATUS=MR","SCALING_FORMAT=MLN","FA_ADJUSTED=GAAP","Sort=A","Dates=H","DateFormat=P","Fill=—","Direction=H","UseDPDF=Y")</f>
        <v>25829</v>
      </c>
      <c r="L14" s="13">
        <f>_xll.BDH("WMT US Equity","IS_SGA_EXPENSE","FQ2 2019","FQ2 2019","Currency=USD","Period=FQ","BEST_FPERIOD_OVERRIDE=FQ","FILING_STATUS=MR","SCALING_FORMAT=MLN","FA_ADJUSTED=GAAP","Sort=A","Dates=H","DateFormat=P","Fill=—","Direction=H","UseDPDF=Y")</f>
        <v>26707</v>
      </c>
      <c r="M14" s="13">
        <f>_xll.BDH("WMT US Equity","IS_SGA_EXPENSE","FQ3 2019","FQ3 2019","Currency=USD","Period=FQ","BEST_FPERIOD_OVERRIDE=FQ","FILING_STATUS=MR","SCALING_FORMAT=MLN","FA_ADJUSTED=GAAP","Sort=A","Dates=H","DateFormat=P","Fill=—","Direction=H","UseDPDF=Y")</f>
        <v>26792</v>
      </c>
      <c r="N14" s="13">
        <f>_xll.BDH("WMT US Equity","IS_SGA_EXPENSE","FQ4 2019","FQ4 2019","Currency=USD","Period=FQ","BEST_FPERIOD_OVERRIDE=FQ","FILING_STATUS=MR","SCALING_FORMAT=MLN","FA_ADJUSTED=GAAP","Sort=A","Dates=H","DateFormat=P","Fill=—","Direction=H","UseDPDF=Y")</f>
        <v>27819</v>
      </c>
      <c r="O14" s="13">
        <f>_xll.BDH("WMT US Equity","IS_SGA_EXPENSE","FQ1 2020","FQ1 2020","Currency=USD","Period=FQ","BEST_FPERIOD_OVERRIDE=FQ","FILING_STATUS=MR","SCALING_FORMAT=MLN","FA_ADJUSTED=GAAP","Sort=A","Dates=H","DateFormat=P","Fill=—","Direction=H","UseDPDF=Y")</f>
        <v>25946</v>
      </c>
      <c r="P14" s="13">
        <f>_xll.BDH("WMT US Equity","IS_SGA_EXPENSE","FQ2 2020","FQ2 2020","Currency=USD","Period=FQ","BEST_FPERIOD_OVERRIDE=FQ","FILING_STATUS=MR","SCALING_FORMAT=MLN","FA_ADJUSTED=GAAP","Sort=A","Dates=H","DateFormat=P","Fill=—","Direction=H","UseDPDF=Y")</f>
        <v>26871</v>
      </c>
      <c r="Q14" s="13">
        <f>_xll.BDH("WMT US Equity","IS_SGA_EXPENSE","FQ3 2020","FQ3 2020","Currency=USD","Period=FQ","BEST_FPERIOD_OVERRIDE=FQ","FILING_STATUS=MR","SCALING_FORMAT=MLN","FA_ADJUSTED=GAAP","Sort=A","Dates=H","DateFormat=P","Fill=—","Direction=H","UseDPDF=Y")</f>
        <v>27373</v>
      </c>
      <c r="R14" s="13">
        <f>_xll.BDH("WMT US Equity","IS_SGA_EXPENSE","FQ4 2020","FQ4 2020","Currency=USD","Period=FQ","BEST_FPERIOD_OVERRIDE=FQ","FILING_STATUS=MR","SCALING_FORMAT=MLN","FA_ADJUSTED=GAAP","Sort=A","Dates=H","DateFormat=P","Fill=—","Direction=H","UseDPDF=Y")</f>
        <v>28601</v>
      </c>
      <c r="S14" s="13">
        <f>_xll.BDH("WMT US Equity","IS_SGA_EXPENSE","FQ1 2021","FQ1 2021","Currency=USD","Period=FQ","BEST_FPERIOD_OVERRIDE=FQ","FILING_STATUS=MR","SCALING_FORMAT=MLN","FA_ADJUSTED=GAAP","Sort=A","Dates=H","DateFormat=P","Fill=—","Direction=H","UseDPDF=Y")</f>
        <v>27372</v>
      </c>
      <c r="T14" s="13">
        <f>_xll.BDH("WMT US Equity","IS_SGA_EXPENSE","FQ2 2021","FQ2 2021","Currency=USD","Period=FQ","BEST_FPERIOD_OVERRIDE=FQ","FILING_STATUS=MR","SCALING_FORMAT=MLN","FA_ADJUSTED=GAAP","Sort=A","Dates=H","DateFormat=P","Fill=—","Direction=H","UseDPDF=Y")</f>
        <v>28994</v>
      </c>
      <c r="U14" s="13">
        <f>_xll.BDH("WMT US Equity","IS_SGA_EXPENSE","FQ3 2021","FQ3 2021","Currency=USD","Period=FQ","BEST_FPERIOD_OVERRIDE=FQ","FILING_STATUS=MR","SCALING_FORMAT=MLN","FA_ADJUSTED=GAAP","Sort=A","Dates=H","DateFormat=P","Fill=—","Direction=H","UseDPDF=Y")</f>
        <v>28591</v>
      </c>
      <c r="V14" s="13">
        <f>_xll.BDH("WMT US Equity","IS_SGA_EXPENSE","FQ4 2021","FQ4 2021","Currency=USD","Period=FQ","BEST_FPERIOD_OVERRIDE=FQ","FILING_STATUS=MR","SCALING_FORMAT=MLN","FA_ADJUSTED=GAAP","Sort=A","Dates=H","DateFormat=P","Fill=—","Direction=H","UseDPDF=Y")</f>
        <v>31331</v>
      </c>
      <c r="W14" s="13">
        <f>_xll.BDH("WMT US Equity","IS_SGA_EXPENSE","FQ1 2022","FQ1 2022","Currency=USD","Period=FQ","BEST_FPERIOD_OVERRIDE=FQ","FILING_STATUS=MR","SCALING_FORMAT=MLN","FA_ADJUSTED=GAAP","Sort=A","Dates=H","DateFormat=P","Fill=—","Direction=H","UseDPDF=Y")</f>
        <v>28129</v>
      </c>
      <c r="X14" s="13">
        <f>_xll.BDH("WMT US Equity","IS_SGA_EXPENSE","FQ2 2022","FQ2 2022","Currency=USD","Period=FQ","BEST_FPERIOD_OVERRIDE=FQ","FILING_STATUS=MR","SCALING_FORMAT=MLN","FA_ADJUSTED=GAAP","Sort=A","Dates=H","DateFormat=P","Fill=—","Direction=H","UseDPDF=Y")</f>
        <v>28511</v>
      </c>
      <c r="Y14" s="13">
        <f>_xll.BDH("WMT US Equity","IS_SGA_EXPENSE","FQ3 2022","FQ3 2022","Currency=USD","Period=FQ","BEST_FPERIOD_OVERRIDE=FQ","FILING_STATUS=MR","SCALING_FORMAT=MLN","FA_ADJUSTED=GAAP","Sort=A","Dates=H","DateFormat=P","Fill=—","Direction=H","UseDPDF=Y")</f>
        <v>29710</v>
      </c>
      <c r="Z14" s="13">
        <f>_xll.BDH("WMT US Equity","IS_SGA_EXPENSE","FQ4 2022","FQ4 2022","Currency=USD","Period=FQ","BEST_FPERIOD_OVERRIDE=FQ","FILING_STATUS=MR","SCALING_FORMAT=MLN","FA_ADJUSTED=GAAP","Sort=A","Dates=H","DateFormat=P","Fill=—","Direction=H","UseDPDF=Y")</f>
        <v>31462</v>
      </c>
      <c r="AA14" s="13">
        <f>_xll.BDH("WMT US Equity","IS_SGA_EXPENSE","FQ1 2023","FQ1 2023","Currency=USD","Period=FQ","BEST_FPERIOD_OVERRIDE=FQ","FILING_STATUS=MR","SCALING_FORMAT=MLN","FA_ADJUSTED=GAAP","Sort=A","Dates=H","DateFormat=P","Fill=—","Direction=H","UseDPDF=Y")</f>
        <v>29404</v>
      </c>
      <c r="AB14" s="13">
        <f>_xll.BDH("WMT US Equity","IS_SGA_EXPENSE","FQ2 2023","FQ2 2023","Currency=USD","Period=FQ","BEST_FPERIOD_OVERRIDE=FQ","FILING_STATUS=MR","SCALING_FORMAT=MLN","FA_ADJUSTED=GAAP","Sort=A","Dates=H","DateFormat=P","Fill=—","Direction=H","UseDPDF=Y")</f>
        <v>30167</v>
      </c>
      <c r="AC14" s="13">
        <f>_xll.BDH("WMT US Equity","IS_SGA_EXPENSE","FQ3 2023","FQ3 2023","Currency=USD","Period=FQ","BEST_FPERIOD_OVERRIDE=FQ","FILING_STATUS=MR","SCALING_FORMAT=MLN","FA_ADJUSTED=GAAP","Sort=A","Dates=H","DateFormat=P","Fill=—","Direction=H","UseDPDF=Y")</f>
        <v>34505</v>
      </c>
      <c r="AD14" s="13">
        <f>_xll.BDH("WMT US Equity","IS_SGA_EXPENSE","FQ4 2023","FQ4 2023","Currency=USD","Period=FQ","BEST_FPERIOD_OVERRIDE=FQ","FILING_STATUS=MR","SCALING_FORMAT=MLN","FA_ADJUSTED=GAAP","Sort=A","Dates=H","DateFormat=P","Fill=—","Direction=H","UseDPDF=Y")</f>
        <v>33064</v>
      </c>
      <c r="AE14" s="13">
        <f>_xll.BDH("WMT US Equity","IS_SGA_EXPENSE","FQ1 2024","FQ1 2024","Currency=USD","Period=FQ","BEST_FPERIOD_OVERRIDE=FQ","FILING_STATUS=MR","SCALING_FORMAT=MLN","FA_ADJUSTED=GAAP","Sort=A","Dates=H","DateFormat=P","Fill=—","Direction=H","UseDPDF=Y")</f>
        <v>30777</v>
      </c>
      <c r="AF14" s="13">
        <f>_xll.BDH("WMT US Equity","IS_SGA_EXPENSE","FQ2 2024","FQ2 2024","Currency=USD","Period=FQ","BEST_FPERIOD_OVERRIDE=FQ","FILING_STATUS=MR","SCALING_FORMAT=MLN","FA_ADJUSTED=GAAP","Sort=A","Dates=H","DateFormat=P","Fill=—","Direction=H","UseDPDF=Y")</f>
        <v>32466</v>
      </c>
      <c r="AG14" s="13">
        <f>_xll.BDH("WMT US Equity","IS_SGA_EXPENSE","FQ3 2024","FQ3 2024","Currency=USD","Period=FQ","BEST_FPERIOD_OVERRIDE=FQ","FILING_STATUS=MR","SCALING_FORMAT=MLN","FA_ADJUSTED=GAAP","Sort=A","Dates=H","DateFormat=P","Fill=—","Direction=H","UseDPDF=Y")</f>
        <v>33419</v>
      </c>
      <c r="AH14" s="13">
        <f>_xll.BDH("WMT US Equity","IS_SGA_EXPENSE","FQ4 2024","FQ4 2024","Currency=USD","Period=FQ","BEST_FPERIOD_OVERRIDE=FQ","FILING_STATUS=MR","SCALING_FORMAT=MLN","FA_ADJUSTED=GAAP","Sort=A","Dates=H","DateFormat=P","Fill=—","Direction=H","UseDPDF=Y")</f>
        <v>34309</v>
      </c>
      <c r="AI14" s="13">
        <f>_xll.BDH("WMT US Equity","IS_SGA_EXPENSE","FQ1 2025","FQ1 2025","Currency=USD","Period=FQ","BEST_FPERIOD_OVERRIDE=FQ","FILING_STATUS=MR","SCALING_FORMAT=MLN","FA_ADJUSTED=GAAP","Sort=A","Dates=H","DateFormat=P","Fill=—","Direction=H","UseDPDF=Y")</f>
        <v>33236</v>
      </c>
      <c r="AJ14" s="13">
        <f>_xll.BDH("WMT US Equity","IS_SGA_EXPENSE","FQ2 2025","FQ2 2025","Currency=USD","Period=FQ","BEST_FPERIOD_OVERRIDE=FQ","FILING_STATUS=MR","SCALING_FORMAT=MLN","FA_ADJUSTED=GAAP","Sort=A","Dates=H","DateFormat=P","Fill=—","Direction=H","UseDPDF=Y")</f>
        <v>34585</v>
      </c>
      <c r="AK14" s="13">
        <f>_xll.BDH("WMT US Equity","IS_SGA_EXPENSE","FQ3 2025","FQ3 2025","Currency=USD","Period=FQ","BEST_FPERIOD_OVERRIDE=FQ","FILING_STATUS=MR","SCALING_FORMAT=MLN","FA_ADJUSTED=GAAP","Sort=A","Dates=H","DateFormat=P","Fill=—","Direction=H","UseDPDF=Y")</f>
        <v>35540</v>
      </c>
      <c r="AL14" s="13">
        <f>_xll.BDH("WMT US Equity","IS_SGA_EXPENSE","FQ4 2025","FQ4 2025","Currency=USD","Period=FQ","BEST_FPERIOD_OVERRIDE=FQ","FILING_STATUS=MR","SCALING_FORMAT=MLN","FA_ADJUSTED=GAAP","Sort=A","Dates=H","DateFormat=P","Fill=—","Direction=H","UseDPDF=Y")</f>
        <v>36523</v>
      </c>
      <c r="AM14" s="13">
        <f>_xll.BDH("WMT US Equity","IS_SGA_EXPENSE","FQ1 2026","FQ1 2026","Currency=USD","Period=FQ","BEST_FPERIOD_OVERRIDE=FQ","FILING_STATUS=MR","SCALING_FORMAT=MLN","FA_ADJUSTED=GAAP","Sort=A","Dates=H","DateFormat=P","Fill=—","Direction=H","UseDPDF=Y")</f>
        <v>34171</v>
      </c>
      <c r="AN14" s="13">
        <f>_xll.BDH("WMT US Equity","IS_SGA_EXPENSE","FQ2 2026","FQ2 2026","Currency=USD","Period=FQ","BEST_FPERIOD_OVERRIDE=FQ","FILING_STATUS=MR","SCALING_FORMAT=MLN","FA_ADJUSTED=GAAP","Sort=A","Dates=H","DateFormat=P","Fill=—","Direction=H","UseDPDF=Y")</f>
        <v>37345</v>
      </c>
      <c r="AO14" s="13"/>
      <c r="AP14" s="13"/>
    </row>
    <row r="15" spans="1:42" x14ac:dyDescent="0.3">
      <c r="A15" s="10" t="s">
        <v>173</v>
      </c>
      <c r="B15" s="10" t="s">
        <v>96</v>
      </c>
      <c r="C15" s="13" t="str">
        <f>_xll.BDH("WMT US Equity","IS_OPER_EXPENSES_RD_GAAP","FQ1 2017","FQ1 2017","Currency=USD","Period=FQ","BEST_FPERIOD_OVERRIDE=FQ","FILING_STATUS=MR","SCALING_FORMAT=MLN","FA_ADJUSTED=GAAP","Sort=A","Dates=H","DateFormat=P","Fill=—","Direction=H","UseDPDF=Y")</f>
        <v>—</v>
      </c>
      <c r="D15" s="13" t="str">
        <f>_xll.BDH("WMT US Equity","IS_OPER_EXPENSES_RD_GAAP","FQ2 2017","FQ2 2017","Currency=USD","Period=FQ","BEST_FPERIOD_OVERRIDE=FQ","FILING_STATUS=MR","SCALING_FORMAT=MLN","FA_ADJUSTED=GAAP","Sort=A","Dates=H","DateFormat=P","Fill=—","Direction=H","UseDPDF=Y")</f>
        <v>—</v>
      </c>
      <c r="E15" s="13" t="str">
        <f>_xll.BDH("WMT US Equity","IS_OPER_EXPENSES_RD_GAAP","FQ3 2017","FQ3 2017","Currency=USD","Period=FQ","BEST_FPERIOD_OVERRIDE=FQ","FILING_STATUS=MR","SCALING_FORMAT=MLN","FA_ADJUSTED=GAAP","Sort=A","Dates=H","DateFormat=P","Fill=—","Direction=H","UseDPDF=Y")</f>
        <v>—</v>
      </c>
      <c r="F15" s="13" t="str">
        <f>_xll.BDH("WMT US Equity","IS_OPER_EXPENSES_RD_GAAP","FQ4 2017","FQ4 2017","Currency=USD","Period=FQ","BEST_FPERIOD_OVERRIDE=FQ","FILING_STATUS=MR","SCALING_FORMAT=MLN","FA_ADJUSTED=GAAP","Sort=A","Dates=H","DateFormat=P","Fill=—","Direction=H","UseDPDF=Y")</f>
        <v>—</v>
      </c>
      <c r="G15" s="13" t="str">
        <f>_xll.BDH("WMT US Equity","IS_OPER_EXPENSES_RD_GAAP","FQ1 2018","FQ1 2018","Currency=USD","Period=FQ","BEST_FPERIOD_OVERRIDE=FQ","FILING_STATUS=MR","SCALING_FORMAT=MLN","FA_ADJUSTED=GAAP","Sort=A","Dates=H","DateFormat=P","Fill=—","Direction=H","UseDPDF=Y")</f>
        <v>—</v>
      </c>
      <c r="H15" s="13" t="str">
        <f>_xll.BDH("WMT US Equity","IS_OPER_EXPENSES_RD_GAAP","FQ2 2018","FQ2 2018","Currency=USD","Period=FQ","BEST_FPERIOD_OVERRIDE=FQ","FILING_STATUS=MR","SCALING_FORMAT=MLN","FA_ADJUSTED=GAAP","Sort=A","Dates=H","DateFormat=P","Fill=—","Direction=H","UseDPDF=Y")</f>
        <v>—</v>
      </c>
      <c r="I15" s="13" t="str">
        <f>_xll.BDH("WMT US Equity","IS_OPER_EXPENSES_RD_GAAP","FQ3 2018","FQ3 2018","Currency=USD","Period=FQ","BEST_FPERIOD_OVERRIDE=FQ","FILING_STATUS=MR","SCALING_FORMAT=MLN","FA_ADJUSTED=GAAP","Sort=A","Dates=H","DateFormat=P","Fill=—","Direction=H","UseDPDF=Y")</f>
        <v>—</v>
      </c>
      <c r="J15" s="13" t="str">
        <f>_xll.BDH("WMT US Equity","IS_OPER_EXPENSES_RD_GAAP","FQ4 2018","FQ4 2018","Currency=USD","Period=FQ","BEST_FPERIOD_OVERRIDE=FQ","FILING_STATUS=MR","SCALING_FORMAT=MLN","FA_ADJUSTED=GAAP","Sort=A","Dates=H","DateFormat=P","Fill=—","Direction=H","UseDPDF=Y")</f>
        <v>—</v>
      </c>
      <c r="K15" s="13" t="str">
        <f>_xll.BDH("WMT US Equity","IS_OPER_EXPENSES_RD_GAAP","FQ1 2019","FQ1 2019","Currency=USD","Period=FQ","BEST_FPERIOD_OVERRIDE=FQ","FILING_STATUS=MR","SCALING_FORMAT=MLN","FA_ADJUSTED=GAAP","Sort=A","Dates=H","DateFormat=P","Fill=—","Direction=H","UseDPDF=Y")</f>
        <v>—</v>
      </c>
      <c r="L15" s="13" t="str">
        <f>_xll.BDH("WMT US Equity","IS_OPER_EXPENSES_RD_GAAP","FQ2 2019","FQ2 2019","Currency=USD","Period=FQ","BEST_FPERIOD_OVERRIDE=FQ","FILING_STATUS=MR","SCALING_FORMAT=MLN","FA_ADJUSTED=GAAP","Sort=A","Dates=H","DateFormat=P","Fill=—","Direction=H","UseDPDF=Y")</f>
        <v>—</v>
      </c>
      <c r="M15" s="13" t="str">
        <f>_xll.BDH("WMT US Equity","IS_OPER_EXPENSES_RD_GAAP","FQ3 2019","FQ3 2019","Currency=USD","Period=FQ","BEST_FPERIOD_OVERRIDE=FQ","FILING_STATUS=MR","SCALING_FORMAT=MLN","FA_ADJUSTED=GAAP","Sort=A","Dates=H","DateFormat=P","Fill=—","Direction=H","UseDPDF=Y")</f>
        <v>—</v>
      </c>
      <c r="N15" s="13" t="str">
        <f>_xll.BDH("WMT US Equity","IS_OPER_EXPENSES_RD_GAAP","FQ4 2019","FQ4 2019","Currency=USD","Period=FQ","BEST_FPERIOD_OVERRIDE=FQ","FILING_STATUS=MR","SCALING_FORMAT=MLN","FA_ADJUSTED=GAAP","Sort=A","Dates=H","DateFormat=P","Fill=—","Direction=H","UseDPDF=Y")</f>
        <v>—</v>
      </c>
      <c r="O15" s="13" t="str">
        <f>_xll.BDH("WMT US Equity","IS_OPER_EXPENSES_RD_GAAP","FQ1 2020","FQ1 2020","Currency=USD","Period=FQ","BEST_FPERIOD_OVERRIDE=FQ","FILING_STATUS=MR","SCALING_FORMAT=MLN","FA_ADJUSTED=GAAP","Sort=A","Dates=H","DateFormat=P","Fill=—","Direction=H","UseDPDF=Y")</f>
        <v>—</v>
      </c>
      <c r="P15" s="13" t="str">
        <f>_xll.BDH("WMT US Equity","IS_OPER_EXPENSES_RD_GAAP","FQ2 2020","FQ2 2020","Currency=USD","Period=FQ","BEST_FPERIOD_OVERRIDE=FQ","FILING_STATUS=MR","SCALING_FORMAT=MLN","FA_ADJUSTED=GAAP","Sort=A","Dates=H","DateFormat=P","Fill=—","Direction=H","UseDPDF=Y")</f>
        <v>—</v>
      </c>
      <c r="Q15" s="13" t="str">
        <f>_xll.BDH("WMT US Equity","IS_OPER_EXPENSES_RD_GAAP","FQ3 2020","FQ3 2020","Currency=USD","Period=FQ","BEST_FPERIOD_OVERRIDE=FQ","FILING_STATUS=MR","SCALING_FORMAT=MLN","FA_ADJUSTED=GAAP","Sort=A","Dates=H","DateFormat=P","Fill=—","Direction=H","UseDPDF=Y")</f>
        <v>—</v>
      </c>
      <c r="R15" s="13" t="str">
        <f>_xll.BDH("WMT US Equity","IS_OPER_EXPENSES_RD_GAAP","FQ4 2020","FQ4 2020","Currency=USD","Period=FQ","BEST_FPERIOD_OVERRIDE=FQ","FILING_STATUS=MR","SCALING_FORMAT=MLN","FA_ADJUSTED=GAAP","Sort=A","Dates=H","DateFormat=P","Fill=—","Direction=H","UseDPDF=Y")</f>
        <v>—</v>
      </c>
      <c r="S15" s="13" t="str">
        <f>_xll.BDH("WMT US Equity","IS_OPER_EXPENSES_RD_GAAP","FQ1 2021","FQ1 2021","Currency=USD","Period=FQ","BEST_FPERIOD_OVERRIDE=FQ","FILING_STATUS=MR","SCALING_FORMAT=MLN","FA_ADJUSTED=GAAP","Sort=A","Dates=H","DateFormat=P","Fill=—","Direction=H","UseDPDF=Y")</f>
        <v>—</v>
      </c>
      <c r="T15" s="13" t="str">
        <f>_xll.BDH("WMT US Equity","IS_OPER_EXPENSES_RD_GAAP","FQ2 2021","FQ2 2021","Currency=USD","Period=FQ","BEST_FPERIOD_OVERRIDE=FQ","FILING_STATUS=MR","SCALING_FORMAT=MLN","FA_ADJUSTED=GAAP","Sort=A","Dates=H","DateFormat=P","Fill=—","Direction=H","UseDPDF=Y")</f>
        <v>—</v>
      </c>
      <c r="U15" s="13" t="str">
        <f>_xll.BDH("WMT US Equity","IS_OPER_EXPENSES_RD_GAAP","FQ3 2021","FQ3 2021","Currency=USD","Period=FQ","BEST_FPERIOD_OVERRIDE=FQ","FILING_STATUS=MR","SCALING_FORMAT=MLN","FA_ADJUSTED=GAAP","Sort=A","Dates=H","DateFormat=P","Fill=—","Direction=H","UseDPDF=Y")</f>
        <v>—</v>
      </c>
      <c r="V15" s="13">
        <f>_xll.BDH("WMT US Equity","IS_OPER_EXPENSES_RD_GAAP","FQ4 2021","FQ4 2021","Currency=USD","Period=FQ","BEST_FPERIOD_OVERRIDE=FQ","FILING_STATUS=MR","SCALING_FORMAT=MLN","FA_ADJUSTED=GAAP","Sort=A","Dates=H","DateFormat=P","Fill=—","Direction=H","UseDPDF=Y")</f>
        <v>0</v>
      </c>
      <c r="W15" s="13" t="str">
        <f>_xll.BDH("WMT US Equity","IS_OPER_EXPENSES_RD_GAAP","FQ1 2022","FQ1 2022","Currency=USD","Period=FQ","BEST_FPERIOD_OVERRIDE=FQ","FILING_STATUS=MR","SCALING_FORMAT=MLN","FA_ADJUSTED=GAAP","Sort=A","Dates=H","DateFormat=P","Fill=—","Direction=H","UseDPDF=Y")</f>
        <v>—</v>
      </c>
      <c r="X15" s="13" t="str">
        <f>_xll.BDH("WMT US Equity","IS_OPER_EXPENSES_RD_GAAP","FQ2 2022","FQ2 2022","Currency=USD","Period=FQ","BEST_FPERIOD_OVERRIDE=FQ","FILING_STATUS=MR","SCALING_FORMAT=MLN","FA_ADJUSTED=GAAP","Sort=A","Dates=H","DateFormat=P","Fill=—","Direction=H","UseDPDF=Y")</f>
        <v>—</v>
      </c>
      <c r="Y15" s="13" t="str">
        <f>_xll.BDH("WMT US Equity","IS_OPER_EXPENSES_RD_GAAP","FQ3 2022","FQ3 2022","Currency=USD","Period=FQ","BEST_FPERIOD_OVERRIDE=FQ","FILING_STATUS=MR","SCALING_FORMAT=MLN","FA_ADJUSTED=GAAP","Sort=A","Dates=H","DateFormat=P","Fill=—","Direction=H","UseDPDF=Y")</f>
        <v>—</v>
      </c>
      <c r="Z15" s="13" t="str">
        <f>_xll.BDH("WMT US Equity","IS_OPER_EXPENSES_RD_GAAP","FQ4 2022","FQ4 2022","Currency=USD","Period=FQ","BEST_FPERIOD_OVERRIDE=FQ","FILING_STATUS=MR","SCALING_FORMAT=MLN","FA_ADJUSTED=GAAP","Sort=A","Dates=H","DateFormat=P","Fill=—","Direction=H","UseDPDF=Y")</f>
        <v>—</v>
      </c>
      <c r="AA15" s="13" t="str">
        <f>_xll.BDH("WMT US Equity","IS_OPER_EXPENSES_RD_GAAP","FQ1 2023","FQ1 2023","Currency=USD","Period=FQ","BEST_FPERIOD_OVERRIDE=FQ","FILING_STATUS=MR","SCALING_FORMAT=MLN","FA_ADJUSTED=GAAP","Sort=A","Dates=H","DateFormat=P","Fill=—","Direction=H","UseDPDF=Y")</f>
        <v>—</v>
      </c>
      <c r="AB15" s="13" t="str">
        <f>_xll.BDH("WMT US Equity","IS_OPER_EXPENSES_RD_GAAP","FQ2 2023","FQ2 2023","Currency=USD","Period=FQ","BEST_FPERIOD_OVERRIDE=FQ","FILING_STATUS=MR","SCALING_FORMAT=MLN","FA_ADJUSTED=GAAP","Sort=A","Dates=H","DateFormat=P","Fill=—","Direction=H","UseDPDF=Y")</f>
        <v>—</v>
      </c>
      <c r="AC15" s="13" t="str">
        <f>_xll.BDH("WMT US Equity","IS_OPER_EXPENSES_RD_GAAP","FQ3 2023","FQ3 2023","Currency=USD","Period=FQ","BEST_FPERIOD_OVERRIDE=FQ","FILING_STATUS=MR","SCALING_FORMAT=MLN","FA_ADJUSTED=GAAP","Sort=A","Dates=H","DateFormat=P","Fill=—","Direction=H","UseDPDF=Y")</f>
        <v>—</v>
      </c>
      <c r="AD15" s="13" t="str">
        <f>_xll.BDH("WMT US Equity","IS_OPER_EXPENSES_RD_GAAP","FQ4 2023","FQ4 2023","Currency=USD","Period=FQ","BEST_FPERIOD_OVERRIDE=FQ","FILING_STATUS=MR","SCALING_FORMAT=MLN","FA_ADJUSTED=GAAP","Sort=A","Dates=H","DateFormat=P","Fill=—","Direction=H","UseDPDF=Y")</f>
        <v>—</v>
      </c>
      <c r="AE15" s="13" t="str">
        <f>_xll.BDH("WMT US Equity","IS_OPER_EXPENSES_RD_GAAP","FQ1 2024","FQ1 2024","Currency=USD","Period=FQ","BEST_FPERIOD_OVERRIDE=FQ","FILING_STATUS=MR","SCALING_FORMAT=MLN","FA_ADJUSTED=GAAP","Sort=A","Dates=H","DateFormat=P","Fill=—","Direction=H","UseDPDF=Y")</f>
        <v>—</v>
      </c>
      <c r="AF15" s="13" t="str">
        <f>_xll.BDH("WMT US Equity","IS_OPER_EXPENSES_RD_GAAP","FQ2 2024","FQ2 2024","Currency=USD","Period=FQ","BEST_FPERIOD_OVERRIDE=FQ","FILING_STATUS=MR","SCALING_FORMAT=MLN","FA_ADJUSTED=GAAP","Sort=A","Dates=H","DateFormat=P","Fill=—","Direction=H","UseDPDF=Y")</f>
        <v>—</v>
      </c>
      <c r="AG15" s="13" t="str">
        <f>_xll.BDH("WMT US Equity","IS_OPER_EXPENSES_RD_GAAP","FQ3 2024","FQ3 2024","Currency=USD","Period=FQ","BEST_FPERIOD_OVERRIDE=FQ","FILING_STATUS=MR","SCALING_FORMAT=MLN","FA_ADJUSTED=GAAP","Sort=A","Dates=H","DateFormat=P","Fill=—","Direction=H","UseDPDF=Y")</f>
        <v>—</v>
      </c>
      <c r="AH15" s="13" t="str">
        <f>_xll.BDH("WMT US Equity","IS_OPER_EXPENSES_RD_GAAP","FQ4 2024","FQ4 2024","Currency=USD","Period=FQ","BEST_FPERIOD_OVERRIDE=FQ","FILING_STATUS=MR","SCALING_FORMAT=MLN","FA_ADJUSTED=GAAP","Sort=A","Dates=H","DateFormat=P","Fill=—","Direction=H","UseDPDF=Y")</f>
        <v>—</v>
      </c>
      <c r="AI15" s="13" t="str">
        <f>_xll.BDH("WMT US Equity","IS_OPER_EXPENSES_RD_GAAP","FQ1 2025","FQ1 2025","Currency=USD","Period=FQ","BEST_FPERIOD_OVERRIDE=FQ","FILING_STATUS=MR","SCALING_FORMAT=MLN","FA_ADJUSTED=GAAP","Sort=A","Dates=H","DateFormat=P","Fill=—","Direction=H","UseDPDF=Y")</f>
        <v>—</v>
      </c>
      <c r="AJ15" s="13" t="str">
        <f>_xll.BDH("WMT US Equity","IS_OPER_EXPENSES_RD_GAAP","FQ2 2025","FQ2 2025","Currency=USD","Period=FQ","BEST_FPERIOD_OVERRIDE=FQ","FILING_STATUS=MR","SCALING_FORMAT=MLN","FA_ADJUSTED=GAAP","Sort=A","Dates=H","DateFormat=P","Fill=—","Direction=H","UseDPDF=Y")</f>
        <v>—</v>
      </c>
      <c r="AK15" s="13" t="str">
        <f>_xll.BDH("WMT US Equity","IS_OPER_EXPENSES_RD_GAAP","FQ3 2025","FQ3 2025","Currency=USD","Period=FQ","BEST_FPERIOD_OVERRIDE=FQ","FILING_STATUS=MR","SCALING_FORMAT=MLN","FA_ADJUSTED=GAAP","Sort=A","Dates=H","DateFormat=P","Fill=—","Direction=H","UseDPDF=Y")</f>
        <v>—</v>
      </c>
      <c r="AL15" s="13" t="str">
        <f>_xll.BDH("WMT US Equity","IS_OPER_EXPENSES_RD_GAAP","FQ4 2025","FQ4 2025","Currency=USD","Period=FQ","BEST_FPERIOD_OVERRIDE=FQ","FILING_STATUS=MR","SCALING_FORMAT=MLN","FA_ADJUSTED=GAAP","Sort=A","Dates=H","DateFormat=P","Fill=—","Direction=H","UseDPDF=Y")</f>
        <v>—</v>
      </c>
      <c r="AM15" s="13" t="str">
        <f>_xll.BDH("WMT US Equity","IS_OPER_EXPENSES_RD_GAAP","FQ1 2026","FQ1 2026","Currency=USD","Period=FQ","BEST_FPERIOD_OVERRIDE=FQ","FILING_STATUS=MR","SCALING_FORMAT=MLN","FA_ADJUSTED=GAAP","Sort=A","Dates=H","DateFormat=P","Fill=—","Direction=H","UseDPDF=Y")</f>
        <v>—</v>
      </c>
      <c r="AN15" s="13" t="str">
        <f>_xll.BDH("WMT US Equity","IS_OPER_EXPENSES_RD_GAAP","FQ2 2026","FQ2 2026","Currency=USD","Period=FQ","BEST_FPERIOD_OVERRIDE=FQ","FILING_STATUS=MR","SCALING_FORMAT=MLN","FA_ADJUSTED=GAAP","Sort=A","Dates=H","DateFormat=P","Fill=—","Direction=H","UseDPDF=Y")</f>
        <v>—</v>
      </c>
      <c r="AO15" s="13"/>
      <c r="AP15" s="13"/>
    </row>
    <row r="16" spans="1:42" x14ac:dyDescent="0.3">
      <c r="A16" s="10" t="s">
        <v>174</v>
      </c>
      <c r="B16" s="10" t="s">
        <v>97</v>
      </c>
      <c r="C16" s="13">
        <f>_xll.BDH("WMT US Equity","OTHER_OPERATING_EXPENSES_RATIO","FQ1 2017","FQ1 2017","Currency=USD","Period=FQ","BEST_FPERIOD_OVERRIDE=FQ","FILING_STATUS=MR","SCALING_FORMAT=MLN","FA_ADJUSTED=GAAP","Sort=A","Dates=H","DateFormat=P","Fill=—","Direction=H","UseDPDF=Y")</f>
        <v>0</v>
      </c>
      <c r="D16" s="13">
        <f>_xll.BDH("WMT US Equity","OTHER_OPERATING_EXPENSES_RATIO","FQ2 2017","FQ2 2017","Currency=USD","Period=FQ","BEST_FPERIOD_OVERRIDE=FQ","FILING_STATUS=MR","SCALING_FORMAT=MLN","FA_ADJUSTED=GAAP","Sort=A","Dates=H","DateFormat=P","Fill=—","Direction=H","UseDPDF=Y")</f>
        <v>0</v>
      </c>
      <c r="E16" s="13">
        <f>_xll.BDH("WMT US Equity","OTHER_OPERATING_EXPENSES_RATIO","FQ3 2017","FQ3 2017","Currency=USD","Period=FQ","BEST_FPERIOD_OVERRIDE=FQ","FILING_STATUS=MR","SCALING_FORMAT=MLN","FA_ADJUSTED=GAAP","Sort=A","Dates=H","DateFormat=P","Fill=—","Direction=H","UseDPDF=Y")</f>
        <v>0</v>
      </c>
      <c r="F16" s="13">
        <f>_xll.BDH("WMT US Equity","OTHER_OPERATING_EXPENSES_RATIO","FQ4 2017","FQ4 2017","Currency=USD","Period=FQ","BEST_FPERIOD_OVERRIDE=FQ","FILING_STATUS=MR","SCALING_FORMAT=MLN","FA_ADJUSTED=GAAP","Sort=A","Dates=H","DateFormat=P","Fill=—","Direction=H","UseDPDF=Y")</f>
        <v>0</v>
      </c>
      <c r="G16" s="13">
        <f>_xll.BDH("WMT US Equity","OTHER_OPERATING_EXPENSES_RATIO","FQ1 2018","FQ1 2018","Currency=USD","Period=FQ","BEST_FPERIOD_OVERRIDE=FQ","FILING_STATUS=MR","SCALING_FORMAT=MLN","FA_ADJUSTED=GAAP","Sort=A","Dates=H","DateFormat=P","Fill=—","Direction=H","UseDPDF=Y")</f>
        <v>0</v>
      </c>
      <c r="H16" s="13">
        <f>_xll.BDH("WMT US Equity","OTHER_OPERATING_EXPENSES_RATIO","FQ2 2018","FQ2 2018","Currency=USD","Period=FQ","BEST_FPERIOD_OVERRIDE=FQ","FILING_STATUS=MR","SCALING_FORMAT=MLN","FA_ADJUSTED=GAAP","Sort=A","Dates=H","DateFormat=P","Fill=—","Direction=H","UseDPDF=Y")</f>
        <v>0</v>
      </c>
      <c r="I16" s="13">
        <f>_xll.BDH("WMT US Equity","OTHER_OPERATING_EXPENSES_RATIO","FQ3 2018","FQ3 2018","Currency=USD","Period=FQ","BEST_FPERIOD_OVERRIDE=FQ","FILING_STATUS=MR","SCALING_FORMAT=MLN","FA_ADJUSTED=GAAP","Sort=A","Dates=H","DateFormat=P","Fill=—","Direction=H","UseDPDF=Y")</f>
        <v>0</v>
      </c>
      <c r="J16" s="13">
        <f>_xll.BDH("WMT US Equity","OTHER_OPERATING_EXPENSES_RATIO","FQ4 2018","FQ4 2018","Currency=USD","Period=FQ","BEST_FPERIOD_OVERRIDE=FQ","FILING_STATUS=MR","SCALING_FORMAT=MLN","FA_ADJUSTED=GAAP","Sort=A","Dates=H","DateFormat=P","Fill=—","Direction=H","UseDPDF=Y")</f>
        <v>0</v>
      </c>
      <c r="K16" s="13">
        <f>_xll.BDH("WMT US Equity","OTHER_OPERATING_EXPENSES_RATIO","FQ1 2019","FQ1 2019","Currency=USD","Period=FQ","BEST_FPERIOD_OVERRIDE=FQ","FILING_STATUS=MR","SCALING_FORMAT=MLN","FA_ADJUSTED=GAAP","Sort=A","Dates=H","DateFormat=P","Fill=—","Direction=H","UseDPDF=Y")</f>
        <v>0</v>
      </c>
      <c r="L16" s="13">
        <f>_xll.BDH("WMT US Equity","OTHER_OPERATING_EXPENSES_RATIO","FQ2 2019","FQ2 2019","Currency=USD","Period=FQ","BEST_FPERIOD_OVERRIDE=FQ","FILING_STATUS=MR","SCALING_FORMAT=MLN","FA_ADJUSTED=GAAP","Sort=A","Dates=H","DateFormat=P","Fill=—","Direction=H","UseDPDF=Y")</f>
        <v>0</v>
      </c>
      <c r="M16" s="13">
        <f>_xll.BDH("WMT US Equity","OTHER_OPERATING_EXPENSES_RATIO","FQ3 2019","FQ3 2019","Currency=USD","Period=FQ","BEST_FPERIOD_OVERRIDE=FQ","FILING_STATUS=MR","SCALING_FORMAT=MLN","FA_ADJUSTED=GAAP","Sort=A","Dates=H","DateFormat=P","Fill=—","Direction=H","UseDPDF=Y")</f>
        <v>0</v>
      </c>
      <c r="N16" s="13">
        <f>_xll.BDH("WMT US Equity","OTHER_OPERATING_EXPENSES_RATIO","FQ4 2019","FQ4 2019","Currency=USD","Period=FQ","BEST_FPERIOD_OVERRIDE=FQ","FILING_STATUS=MR","SCALING_FORMAT=MLN","FA_ADJUSTED=GAAP","Sort=A","Dates=H","DateFormat=P","Fill=—","Direction=H","UseDPDF=Y")</f>
        <v>0</v>
      </c>
      <c r="O16" s="13">
        <f>_xll.BDH("WMT US Equity","OTHER_OPERATING_EXPENSES_RATIO","FQ1 2020","FQ1 2020","Currency=USD","Period=FQ","BEST_FPERIOD_OVERRIDE=FQ","FILING_STATUS=MR","SCALING_FORMAT=MLN","FA_ADJUSTED=GAAP","Sort=A","Dates=H","DateFormat=P","Fill=—","Direction=H","UseDPDF=Y")</f>
        <v>0</v>
      </c>
      <c r="P16" s="13">
        <f>_xll.BDH("WMT US Equity","OTHER_OPERATING_EXPENSES_RATIO","FQ2 2020","FQ2 2020","Currency=USD","Period=FQ","BEST_FPERIOD_OVERRIDE=FQ","FILING_STATUS=MR","SCALING_FORMAT=MLN","FA_ADJUSTED=GAAP","Sort=A","Dates=H","DateFormat=P","Fill=—","Direction=H","UseDPDF=Y")</f>
        <v>0</v>
      </c>
      <c r="Q16" s="13">
        <f>_xll.BDH("WMT US Equity","OTHER_OPERATING_EXPENSES_RATIO","FQ3 2020","FQ3 2020","Currency=USD","Period=FQ","BEST_FPERIOD_OVERRIDE=FQ","FILING_STATUS=MR","SCALING_FORMAT=MLN","FA_ADJUSTED=GAAP","Sort=A","Dates=H","DateFormat=P","Fill=—","Direction=H","UseDPDF=Y")</f>
        <v>0</v>
      </c>
      <c r="R16" s="13">
        <f>_xll.BDH("WMT US Equity","OTHER_OPERATING_EXPENSES_RATIO","FQ4 2020","FQ4 2020","Currency=USD","Period=FQ","BEST_FPERIOD_OVERRIDE=FQ","FILING_STATUS=MR","SCALING_FORMAT=MLN","FA_ADJUSTED=GAAP","Sort=A","Dates=H","DateFormat=P","Fill=—","Direction=H","UseDPDF=Y")</f>
        <v>0</v>
      </c>
      <c r="S16" s="13">
        <f>_xll.BDH("WMT US Equity","OTHER_OPERATING_EXPENSES_RATIO","FQ1 2021","FQ1 2021","Currency=USD","Period=FQ","BEST_FPERIOD_OVERRIDE=FQ","FILING_STATUS=MR","SCALING_FORMAT=MLN","FA_ADJUSTED=GAAP","Sort=A","Dates=H","DateFormat=P","Fill=—","Direction=H","UseDPDF=Y")</f>
        <v>0</v>
      </c>
      <c r="T16" s="13">
        <f>_xll.BDH("WMT US Equity","OTHER_OPERATING_EXPENSES_RATIO","FQ2 2021","FQ2 2021","Currency=USD","Period=FQ","BEST_FPERIOD_OVERRIDE=FQ","FILING_STATUS=MR","SCALING_FORMAT=MLN","FA_ADJUSTED=GAAP","Sort=A","Dates=H","DateFormat=P","Fill=—","Direction=H","UseDPDF=Y")</f>
        <v>0</v>
      </c>
      <c r="U16" s="13">
        <f>_xll.BDH("WMT US Equity","OTHER_OPERATING_EXPENSES_RATIO","FQ3 2021","FQ3 2021","Currency=USD","Period=FQ","BEST_FPERIOD_OVERRIDE=FQ","FILING_STATUS=MR","SCALING_FORMAT=MLN","FA_ADJUSTED=GAAP","Sort=A","Dates=H","DateFormat=P","Fill=—","Direction=H","UseDPDF=Y")</f>
        <v>0</v>
      </c>
      <c r="V16" s="13">
        <f>_xll.BDH("WMT US Equity","OTHER_OPERATING_EXPENSES_RATIO","FQ4 2021","FQ4 2021","Currency=USD","Period=FQ","BEST_FPERIOD_OVERRIDE=FQ","FILING_STATUS=MR","SCALING_FORMAT=MLN","FA_ADJUSTED=GAAP","Sort=A","Dates=H","DateFormat=P","Fill=—","Direction=H","UseDPDF=Y")</f>
        <v>0</v>
      </c>
      <c r="W16" s="13">
        <f>_xll.BDH("WMT US Equity","OTHER_OPERATING_EXPENSES_RATIO","FQ1 2022","FQ1 2022","Currency=USD","Period=FQ","BEST_FPERIOD_OVERRIDE=FQ","FILING_STATUS=MR","SCALING_FORMAT=MLN","FA_ADJUSTED=GAAP","Sort=A","Dates=H","DateFormat=P","Fill=—","Direction=H","UseDPDF=Y")</f>
        <v>0</v>
      </c>
      <c r="X16" s="13">
        <f>_xll.BDH("WMT US Equity","OTHER_OPERATING_EXPENSES_RATIO","FQ2 2022","FQ2 2022","Currency=USD","Period=FQ","BEST_FPERIOD_OVERRIDE=FQ","FILING_STATUS=MR","SCALING_FORMAT=MLN","FA_ADJUSTED=GAAP","Sort=A","Dates=H","DateFormat=P","Fill=—","Direction=H","UseDPDF=Y")</f>
        <v>0</v>
      </c>
      <c r="Y16" s="13">
        <f>_xll.BDH("WMT US Equity","OTHER_OPERATING_EXPENSES_RATIO","FQ3 2022","FQ3 2022","Currency=USD","Period=FQ","BEST_FPERIOD_OVERRIDE=FQ","FILING_STATUS=MR","SCALING_FORMAT=MLN","FA_ADJUSTED=GAAP","Sort=A","Dates=H","DateFormat=P","Fill=—","Direction=H","UseDPDF=Y")</f>
        <v>0</v>
      </c>
      <c r="Z16" s="13">
        <f>_xll.BDH("WMT US Equity","OTHER_OPERATING_EXPENSES_RATIO","FQ4 2022","FQ4 2022","Currency=USD","Period=FQ","BEST_FPERIOD_OVERRIDE=FQ","FILING_STATUS=MR","SCALING_FORMAT=MLN","FA_ADJUSTED=GAAP","Sort=A","Dates=H","DateFormat=P","Fill=—","Direction=H","UseDPDF=Y")</f>
        <v>0</v>
      </c>
      <c r="AA16" s="13">
        <f>_xll.BDH("WMT US Equity","OTHER_OPERATING_EXPENSES_RATIO","FQ1 2023","FQ1 2023","Currency=USD","Period=FQ","BEST_FPERIOD_OVERRIDE=FQ","FILING_STATUS=MR","SCALING_FORMAT=MLN","FA_ADJUSTED=GAAP","Sort=A","Dates=H","DateFormat=P","Fill=—","Direction=H","UseDPDF=Y")</f>
        <v>0</v>
      </c>
      <c r="AB16" s="13">
        <f>_xll.BDH("WMT US Equity","OTHER_OPERATING_EXPENSES_RATIO","FQ2 2023","FQ2 2023","Currency=USD","Period=FQ","BEST_FPERIOD_OVERRIDE=FQ","FILING_STATUS=MR","SCALING_FORMAT=MLN","FA_ADJUSTED=GAAP","Sort=A","Dates=H","DateFormat=P","Fill=—","Direction=H","UseDPDF=Y")</f>
        <v>0</v>
      </c>
      <c r="AC16" s="13">
        <f>_xll.BDH("WMT US Equity","OTHER_OPERATING_EXPENSES_RATIO","FQ3 2023","FQ3 2023","Currency=USD","Period=FQ","BEST_FPERIOD_OVERRIDE=FQ","FILING_STATUS=MR","SCALING_FORMAT=MLN","FA_ADJUSTED=GAAP","Sort=A","Dates=H","DateFormat=P","Fill=—","Direction=H","UseDPDF=Y")</f>
        <v>0</v>
      </c>
      <c r="AD16" s="13">
        <f>_xll.BDH("WMT US Equity","OTHER_OPERATING_EXPENSES_RATIO","FQ4 2023","FQ4 2023","Currency=USD","Period=FQ","BEST_FPERIOD_OVERRIDE=FQ","FILING_STATUS=MR","SCALING_FORMAT=MLN","FA_ADJUSTED=GAAP","Sort=A","Dates=H","DateFormat=P","Fill=—","Direction=H","UseDPDF=Y")</f>
        <v>0</v>
      </c>
      <c r="AE16" s="13">
        <f>_xll.BDH("WMT US Equity","OTHER_OPERATING_EXPENSES_RATIO","FQ1 2024","FQ1 2024","Currency=USD","Period=FQ","BEST_FPERIOD_OVERRIDE=FQ","FILING_STATUS=MR","SCALING_FORMAT=MLN","FA_ADJUSTED=GAAP","Sort=A","Dates=H","DateFormat=P","Fill=—","Direction=H","UseDPDF=Y")</f>
        <v>0</v>
      </c>
      <c r="AF16" s="13">
        <f>_xll.BDH("WMT US Equity","OTHER_OPERATING_EXPENSES_RATIO","FQ2 2024","FQ2 2024","Currency=USD","Period=FQ","BEST_FPERIOD_OVERRIDE=FQ","FILING_STATUS=MR","SCALING_FORMAT=MLN","FA_ADJUSTED=GAAP","Sort=A","Dates=H","DateFormat=P","Fill=—","Direction=H","UseDPDF=Y")</f>
        <v>0</v>
      </c>
      <c r="AG16" s="13">
        <f>_xll.BDH("WMT US Equity","OTHER_OPERATING_EXPENSES_RATIO","FQ3 2024","FQ3 2024","Currency=USD","Period=FQ","BEST_FPERIOD_OVERRIDE=FQ","FILING_STATUS=MR","SCALING_FORMAT=MLN","FA_ADJUSTED=GAAP","Sort=A","Dates=H","DateFormat=P","Fill=—","Direction=H","UseDPDF=Y")</f>
        <v>0</v>
      </c>
      <c r="AH16" s="13">
        <f>_xll.BDH("WMT US Equity","OTHER_OPERATING_EXPENSES_RATIO","FQ4 2024","FQ4 2024","Currency=USD","Period=FQ","BEST_FPERIOD_OVERRIDE=FQ","FILING_STATUS=MR","SCALING_FORMAT=MLN","FA_ADJUSTED=GAAP","Sort=A","Dates=H","DateFormat=P","Fill=—","Direction=H","UseDPDF=Y")</f>
        <v>0</v>
      </c>
      <c r="AI16" s="13">
        <f>_xll.BDH("WMT US Equity","OTHER_OPERATING_EXPENSES_RATIO","FQ1 2025","FQ1 2025","Currency=USD","Period=FQ","BEST_FPERIOD_OVERRIDE=FQ","FILING_STATUS=MR","SCALING_FORMAT=MLN","FA_ADJUSTED=GAAP","Sort=A","Dates=H","DateFormat=P","Fill=—","Direction=H","UseDPDF=Y")</f>
        <v>0</v>
      </c>
      <c r="AJ16" s="13">
        <f>_xll.BDH("WMT US Equity","OTHER_OPERATING_EXPENSES_RATIO","FQ2 2025","FQ2 2025","Currency=USD","Period=FQ","BEST_FPERIOD_OVERRIDE=FQ","FILING_STATUS=MR","SCALING_FORMAT=MLN","FA_ADJUSTED=GAAP","Sort=A","Dates=H","DateFormat=P","Fill=—","Direction=H","UseDPDF=Y")</f>
        <v>0</v>
      </c>
      <c r="AK16" s="13">
        <f>_xll.BDH("WMT US Equity","OTHER_OPERATING_EXPENSES_RATIO","FQ3 2025","FQ3 2025","Currency=USD","Period=FQ","BEST_FPERIOD_OVERRIDE=FQ","FILING_STATUS=MR","SCALING_FORMAT=MLN","FA_ADJUSTED=GAAP","Sort=A","Dates=H","DateFormat=P","Fill=—","Direction=H","UseDPDF=Y")</f>
        <v>0</v>
      </c>
      <c r="AL16" s="13">
        <f>_xll.BDH("WMT US Equity","OTHER_OPERATING_EXPENSES_RATIO","FQ4 2025","FQ4 2025","Currency=USD","Period=FQ","BEST_FPERIOD_OVERRIDE=FQ","FILING_STATUS=MR","SCALING_FORMAT=MLN","FA_ADJUSTED=GAAP","Sort=A","Dates=H","DateFormat=P","Fill=—","Direction=H","UseDPDF=Y")</f>
        <v>0</v>
      </c>
      <c r="AM16" s="13">
        <f>_xll.BDH("WMT US Equity","OTHER_OPERATING_EXPENSES_RATIO","FQ1 2026","FQ1 2026","Currency=USD","Period=FQ","BEST_FPERIOD_OVERRIDE=FQ","FILING_STATUS=MR","SCALING_FORMAT=MLN","FA_ADJUSTED=GAAP","Sort=A","Dates=H","DateFormat=P","Fill=—","Direction=H","UseDPDF=Y")</f>
        <v>0</v>
      </c>
      <c r="AN16" s="13">
        <f>_xll.BDH("WMT US Equity","OTHER_OPERATING_EXPENSES_RATIO","FQ2 2026","FQ2 2026","Currency=USD","Period=FQ","BEST_FPERIOD_OVERRIDE=FQ","FILING_STATUS=MR","SCALING_FORMAT=MLN","FA_ADJUSTED=GAAP","Sort=A","Dates=H","DateFormat=P","Fill=—","Direction=H","UseDPDF=Y")</f>
        <v>0</v>
      </c>
      <c r="AO16" s="13"/>
      <c r="AP16" s="13"/>
    </row>
    <row r="17" spans="1:42" x14ac:dyDescent="0.3">
      <c r="A17" s="6" t="s">
        <v>98</v>
      </c>
      <c r="B17" s="6" t="s">
        <v>99</v>
      </c>
      <c r="C17" s="16">
        <f>_xll.BDH("WMT US Equity","IS_OPER_INC","FQ1 2017","FQ1 2017","Currency=USD","Period=FQ","BEST_FPERIOD_OVERRIDE=FQ","FILING_STATUS=MR","SCALING_FORMAT=MLN","FA_ADJUSTED=GAAP","Sort=A","Dates=H","DateFormat=P","Fill=—","Direction=H","UseDPDF=Y")</f>
        <v>5275</v>
      </c>
      <c r="D17" s="16">
        <f>_xll.BDH("WMT US Equity","IS_OPER_INC","FQ2 2017","FQ2 2017","Currency=USD","Period=FQ","BEST_FPERIOD_OVERRIDE=FQ","FILING_STATUS=MR","SCALING_FORMAT=MLN","FA_ADJUSTED=GAAP","Sort=A","Dates=H","DateFormat=P","Fill=—","Direction=H","UseDPDF=Y")</f>
        <v>6165</v>
      </c>
      <c r="E17" s="16">
        <f>_xll.BDH("WMT US Equity","IS_OPER_INC","FQ3 2017","FQ3 2017","Currency=USD","Period=FQ","BEST_FPERIOD_OVERRIDE=FQ","FILING_STATUS=MR","SCALING_FORMAT=MLN","FA_ADJUSTED=GAAP","Sort=A","Dates=H","DateFormat=P","Fill=—","Direction=H","UseDPDF=Y")</f>
        <v>5119</v>
      </c>
      <c r="F17" s="16">
        <f>_xll.BDH("WMT US Equity","IS_OPER_INC","FQ4 2017","FQ4 2017","Currency=USD","Period=FQ","BEST_FPERIOD_OVERRIDE=FQ","FILING_STATUS=MR","SCALING_FORMAT=MLN","FA_ADJUSTED=GAAP","Sort=A","Dates=H","DateFormat=P","Fill=—","Direction=H","UseDPDF=Y")</f>
        <v>6205</v>
      </c>
      <c r="G17" s="16">
        <f>_xll.BDH("WMT US Equity","IS_OPER_INC","FQ1 2018","FQ1 2018","Currency=USD","Period=FQ","BEST_FPERIOD_OVERRIDE=FQ","FILING_STATUS=MR","SCALING_FORMAT=MLN","FA_ADJUSTED=GAAP","Sort=A","Dates=H","DateFormat=P","Fill=—","Direction=H","UseDPDF=Y")</f>
        <v>5237</v>
      </c>
      <c r="H17" s="16">
        <f>_xll.BDH("WMT US Equity","IS_OPER_INC","FQ2 2018","FQ2 2018","Currency=USD","Period=FQ","BEST_FPERIOD_OVERRIDE=FQ","FILING_STATUS=MR","SCALING_FORMAT=MLN","FA_ADJUSTED=GAAP","Sort=A","Dates=H","DateFormat=P","Fill=—","Direction=H","UseDPDF=Y")</f>
        <v>5969</v>
      </c>
      <c r="I17" s="16">
        <f>_xll.BDH("WMT US Equity","IS_OPER_INC","FQ3 2018","FQ3 2018","Currency=USD","Period=FQ","BEST_FPERIOD_OVERRIDE=FQ","FILING_STATUS=MR","SCALING_FORMAT=MLN","FA_ADJUSTED=GAAP","Sort=A","Dates=H","DateFormat=P","Fill=—","Direction=H","UseDPDF=Y")</f>
        <v>4764</v>
      </c>
      <c r="J17" s="16">
        <f>_xll.BDH("WMT US Equity","IS_OPER_INC","FQ4 2018","FQ4 2018","Currency=USD","Period=FQ","BEST_FPERIOD_OVERRIDE=FQ","FILING_STATUS=MR","SCALING_FORMAT=MLN","FA_ADJUSTED=GAAP","Sort=A","Dates=H","DateFormat=P","Fill=—","Direction=H","UseDPDF=Y")</f>
        <v>4467</v>
      </c>
      <c r="K17" s="16">
        <f>_xll.BDH("WMT US Equity","IS_OPER_INC","FQ1 2019","FQ1 2019","Currency=USD","Period=FQ","BEST_FPERIOD_OVERRIDE=FQ","FILING_STATUS=MR","SCALING_FORMAT=MLN","FA_ADJUSTED=GAAP","Sort=A","Dates=H","DateFormat=P","Fill=—","Direction=H","UseDPDF=Y")</f>
        <v>5154</v>
      </c>
      <c r="L17" s="16">
        <f>_xll.BDH("WMT US Equity","IS_OPER_INC","FQ2 2019","FQ2 2019","Currency=USD","Period=FQ","BEST_FPERIOD_OVERRIDE=FQ","FILING_STATUS=MR","SCALING_FORMAT=MLN","FA_ADJUSTED=GAAP","Sort=A","Dates=H","DateFormat=P","Fill=—","Direction=H","UseDPDF=Y")</f>
        <v>5750</v>
      </c>
      <c r="M17" s="16">
        <f>_xll.BDH("WMT US Equity","IS_OPER_INC","FQ3 2019","FQ3 2019","Currency=USD","Period=FQ","BEST_FPERIOD_OVERRIDE=FQ","FILING_STATUS=MR","SCALING_FORMAT=MLN","FA_ADJUSTED=GAAP","Sort=A","Dates=H","DateFormat=P","Fill=—","Direction=H","UseDPDF=Y")</f>
        <v>4986</v>
      </c>
      <c r="N17" s="16">
        <f>_xll.BDH("WMT US Equity","IS_OPER_INC","FQ4 2019","FQ4 2019","Currency=USD","Period=FQ","BEST_FPERIOD_OVERRIDE=FQ","FILING_STATUS=MR","SCALING_FORMAT=MLN","FA_ADJUSTED=GAAP","Sort=A","Dates=H","DateFormat=P","Fill=—","Direction=H","UseDPDF=Y")</f>
        <v>6067</v>
      </c>
      <c r="O17" s="16">
        <f>_xll.BDH("WMT US Equity","IS_OPER_INC","FQ1 2020","FQ1 2020","Currency=USD","Period=FQ","BEST_FPERIOD_OVERRIDE=FQ","FILING_STATUS=MR","SCALING_FORMAT=MLN","FA_ADJUSTED=GAAP","Sort=A","Dates=H","DateFormat=P","Fill=—","Direction=H","UseDPDF=Y")</f>
        <v>4945</v>
      </c>
      <c r="P17" s="16">
        <f>_xll.BDH("WMT US Equity","IS_OPER_INC","FQ2 2020","FQ2 2020","Currency=USD","Period=FQ","BEST_FPERIOD_OVERRIDE=FQ","FILING_STATUS=MR","SCALING_FORMAT=MLN","FA_ADJUSTED=GAAP","Sort=A","Dates=H","DateFormat=P","Fill=—","Direction=H","UseDPDF=Y")</f>
        <v>5583</v>
      </c>
      <c r="Q17" s="16">
        <f>_xll.BDH("WMT US Equity","IS_OPER_INC","FQ3 2020","FQ3 2020","Currency=USD","Period=FQ","BEST_FPERIOD_OVERRIDE=FQ","FILING_STATUS=MR","SCALING_FORMAT=MLN","FA_ADJUSTED=GAAP","Sort=A","Dates=H","DateFormat=P","Fill=—","Direction=H","UseDPDF=Y")</f>
        <v>4718</v>
      </c>
      <c r="R17" s="16">
        <f>_xll.BDH("WMT US Equity","IS_OPER_INC","FQ4 2020","FQ4 2020","Currency=USD","Period=FQ","BEST_FPERIOD_OVERRIDE=FQ","FILING_STATUS=MR","SCALING_FORMAT=MLN","FA_ADJUSTED=GAAP","Sort=A","Dates=H","DateFormat=P","Fill=—","Direction=H","UseDPDF=Y")</f>
        <v>5322</v>
      </c>
      <c r="S17" s="16">
        <f>_xll.BDH("WMT US Equity","IS_OPER_INC","FQ1 2021","FQ1 2021","Currency=USD","Period=FQ","BEST_FPERIOD_OVERRIDE=FQ","FILING_STATUS=MR","SCALING_FORMAT=MLN","FA_ADJUSTED=GAAP","Sort=A","Dates=H","DateFormat=P","Fill=—","Direction=H","UseDPDF=Y")</f>
        <v>5224</v>
      </c>
      <c r="T17" s="16">
        <f>_xll.BDH("WMT US Equity","IS_OPER_INC","FQ2 2021","FQ2 2021","Currency=USD","Period=FQ","BEST_FPERIOD_OVERRIDE=FQ","FILING_STATUS=MR","SCALING_FORMAT=MLN","FA_ADJUSTED=GAAP","Sort=A","Dates=H","DateFormat=P","Fill=—","Direction=H","UseDPDF=Y")</f>
        <v>6059</v>
      </c>
      <c r="U17" s="16">
        <f>_xll.BDH("WMT US Equity","IS_OPER_INC","FQ3 2021","FQ3 2021","Currency=USD","Period=FQ","BEST_FPERIOD_OVERRIDE=FQ","FILING_STATUS=MR","SCALING_FORMAT=MLN","FA_ADJUSTED=GAAP","Sort=A","Dates=H","DateFormat=P","Fill=—","Direction=H","UseDPDF=Y")</f>
        <v>5778</v>
      </c>
      <c r="V17" s="16">
        <f>_xll.BDH("WMT US Equity","IS_OPER_INC","FQ4 2021","FQ4 2021","Currency=USD","Period=FQ","BEST_FPERIOD_OVERRIDE=FQ","FILING_STATUS=MR","SCALING_FORMAT=MLN","FA_ADJUSTED=GAAP","Sort=A","Dates=H","DateFormat=P","Fill=—","Direction=H","UseDPDF=Y")</f>
        <v>5487</v>
      </c>
      <c r="W17" s="16">
        <f>_xll.BDH("WMT US Equity","IS_OPER_INC","FQ1 2022","FQ1 2022","Currency=USD","Period=FQ","BEST_FPERIOD_OVERRIDE=FQ","FILING_STATUS=MR","SCALING_FORMAT=MLN","FA_ADJUSTED=GAAP","Sort=A","Dates=H","DateFormat=P","Fill=—","Direction=H","UseDPDF=Y")</f>
        <v>6909</v>
      </c>
      <c r="X17" s="16">
        <f>_xll.BDH("WMT US Equity","IS_OPER_INC","FQ2 2022","FQ2 2022","Currency=USD","Period=FQ","BEST_FPERIOD_OVERRIDE=FQ","FILING_STATUS=MR","SCALING_FORMAT=MLN","FA_ADJUSTED=GAAP","Sort=A","Dates=H","DateFormat=P","Fill=—","Direction=H","UseDPDF=Y")</f>
        <v>7354</v>
      </c>
      <c r="Y17" s="16">
        <f>_xll.BDH("WMT US Equity","IS_OPER_INC","FQ3 2022","FQ3 2022","Currency=USD","Period=FQ","BEST_FPERIOD_OVERRIDE=FQ","FILING_STATUS=MR","SCALING_FORMAT=MLN","FA_ADJUSTED=GAAP","Sort=A","Dates=H","DateFormat=P","Fill=—","Direction=H","UseDPDF=Y")</f>
        <v>5792</v>
      </c>
      <c r="Z17" s="16">
        <f>_xll.BDH("WMT US Equity","IS_OPER_INC","FQ4 2022","FQ4 2022","Currency=USD","Period=FQ","BEST_FPERIOD_OVERRIDE=FQ","FILING_STATUS=MR","SCALING_FORMAT=MLN","FA_ADJUSTED=GAAP","Sort=A","Dates=H","DateFormat=P","Fill=—","Direction=H","UseDPDF=Y")</f>
        <v>5887</v>
      </c>
      <c r="AA17" s="16">
        <f>_xll.BDH("WMT US Equity","IS_OPER_INC","FQ1 2023","FQ1 2023","Currency=USD","Period=FQ","BEST_FPERIOD_OVERRIDE=FQ","FILING_STATUS=MR","SCALING_FORMAT=MLN","FA_ADJUSTED=GAAP","Sort=A","Dates=H","DateFormat=P","Fill=—","Direction=H","UseDPDF=Y")</f>
        <v>5318</v>
      </c>
      <c r="AB17" s="16">
        <f>_xll.BDH("WMT US Equity","IS_OPER_INC","FQ2 2023","FQ2 2023","Currency=USD","Period=FQ","BEST_FPERIOD_OVERRIDE=FQ","FILING_STATUS=MR","SCALING_FORMAT=MLN","FA_ADJUSTED=GAAP","Sort=A","Dates=H","DateFormat=P","Fill=—","Direction=H","UseDPDF=Y")</f>
        <v>6854</v>
      </c>
      <c r="AC17" s="16">
        <f>_xll.BDH("WMT US Equity","IS_OPER_INC","FQ3 2023","FQ3 2023","Currency=USD","Period=FQ","BEST_FPERIOD_OVERRIDE=FQ","FILING_STATUS=MR","SCALING_FORMAT=MLN","FA_ADJUSTED=GAAP","Sort=A","Dates=H","DateFormat=P","Fill=—","Direction=H","UseDPDF=Y")</f>
        <v>2695</v>
      </c>
      <c r="AD17" s="16">
        <f>_xll.BDH("WMT US Equity","IS_OPER_INC","FQ4 2023","FQ4 2023","Currency=USD","Period=FQ","BEST_FPERIOD_OVERRIDE=FQ","FILING_STATUS=MR","SCALING_FORMAT=MLN","FA_ADJUSTED=GAAP","Sort=A","Dates=H","DateFormat=P","Fill=—","Direction=H","UseDPDF=Y")</f>
        <v>5561</v>
      </c>
      <c r="AE17" s="16">
        <f>_xll.BDH("WMT US Equity","IS_OPER_INC","FQ1 2024","FQ1 2024","Currency=USD","Period=FQ","BEST_FPERIOD_OVERRIDE=FQ","FILING_STATUS=MR","SCALING_FORMAT=MLN","FA_ADJUSTED=GAAP","Sort=A","Dates=H","DateFormat=P","Fill=—","Direction=H","UseDPDF=Y")</f>
        <v>6240</v>
      </c>
      <c r="AF17" s="16">
        <f>_xll.BDH("WMT US Equity","IS_OPER_INC","FQ2 2024","FQ2 2024","Currency=USD","Period=FQ","BEST_FPERIOD_OVERRIDE=FQ","FILING_STATUS=MR","SCALING_FORMAT=MLN","FA_ADJUSTED=GAAP","Sort=A","Dates=H","DateFormat=P","Fill=—","Direction=H","UseDPDF=Y")</f>
        <v>7316</v>
      </c>
      <c r="AG17" s="16">
        <f>_xll.BDH("WMT US Equity","IS_OPER_INC","FQ3 2024","FQ3 2024","Currency=USD","Period=FQ","BEST_FPERIOD_OVERRIDE=FQ","FILING_STATUS=MR","SCALING_FORMAT=MLN","FA_ADJUSTED=GAAP","Sort=A","Dates=H","DateFormat=P","Fill=—","Direction=H","UseDPDF=Y")</f>
        <v>6202</v>
      </c>
      <c r="AH17" s="16">
        <f>_xll.BDH("WMT US Equity","IS_OPER_INC","FQ4 2024","FQ4 2024","Currency=USD","Period=FQ","BEST_FPERIOD_OVERRIDE=FQ","FILING_STATUS=MR","SCALING_FORMAT=MLN","FA_ADJUSTED=GAAP","Sort=A","Dates=H","DateFormat=P","Fill=—","Direction=H","UseDPDF=Y")</f>
        <v>7254</v>
      </c>
      <c r="AI17" s="16">
        <f>_xll.BDH("WMT US Equity","IS_OPER_INC","FQ1 2025","FQ1 2025","Currency=USD","Period=FQ","BEST_FPERIOD_OVERRIDE=FQ","FILING_STATUS=MR","SCALING_FORMAT=MLN","FA_ADJUSTED=GAAP","Sort=A","Dates=H","DateFormat=P","Fill=—","Direction=H","UseDPDF=Y")</f>
        <v>6841</v>
      </c>
      <c r="AJ17" s="16">
        <f>_xll.BDH("WMT US Equity","IS_OPER_INC","FQ2 2025","FQ2 2025","Currency=USD","Period=FQ","BEST_FPERIOD_OVERRIDE=FQ","FILING_STATUS=MR","SCALING_FORMAT=MLN","FA_ADJUSTED=GAAP","Sort=A","Dates=H","DateFormat=P","Fill=—","Direction=H","UseDPDF=Y")</f>
        <v>7940</v>
      </c>
      <c r="AK17" s="16">
        <f>_xll.BDH("WMT US Equity","IS_OPER_INC","FQ3 2025","FQ3 2025","Currency=USD","Period=FQ","BEST_FPERIOD_OVERRIDE=FQ","FILING_STATUS=MR","SCALING_FORMAT=MLN","FA_ADJUSTED=GAAP","Sort=A","Dates=H","DateFormat=P","Fill=—","Direction=H","UseDPDF=Y")</f>
        <v>6708</v>
      </c>
      <c r="AL17" s="16">
        <f>_xll.BDH("WMT US Equity","IS_OPER_INC","FQ4 2025","FQ4 2025","Currency=USD","Period=FQ","BEST_FPERIOD_OVERRIDE=FQ","FILING_STATUS=MR","SCALING_FORMAT=MLN","FA_ADJUSTED=GAAP","Sort=A","Dates=H","DateFormat=P","Fill=—","Direction=H","UseDPDF=Y")</f>
        <v>7859</v>
      </c>
      <c r="AM17" s="16">
        <f>_xll.BDH("WMT US Equity","IS_OPER_INC","FQ1 2026","FQ1 2026","Currency=USD","Period=FQ","BEST_FPERIOD_OVERRIDE=FQ","FILING_STATUS=MR","SCALING_FORMAT=MLN","FA_ADJUSTED=GAAP","Sort=A","Dates=H","DateFormat=P","Fill=—","Direction=H","UseDPDF=Y")</f>
        <v>7135</v>
      </c>
      <c r="AN17" s="16">
        <f>_xll.BDH("WMT US Equity","IS_OPER_INC","FQ2 2026","FQ2 2026","Currency=USD","Period=FQ","BEST_FPERIOD_OVERRIDE=FQ","FILING_STATUS=MR","SCALING_FORMAT=MLN","FA_ADJUSTED=GAAP","Sort=A","Dates=H","DateFormat=P","Fill=—","Direction=H","UseDPDF=Y")</f>
        <v>7286</v>
      </c>
      <c r="AO17" s="16">
        <v>7149.893</v>
      </c>
      <c r="AP17" s="16">
        <v>8584.893</v>
      </c>
    </row>
    <row r="18" spans="1:42" x14ac:dyDescent="0.3">
      <c r="A18" s="10" t="s">
        <v>181</v>
      </c>
      <c r="B18" s="10" t="s">
        <v>100</v>
      </c>
      <c r="C18" s="13">
        <f>_xll.BDH("WMT US Equity","NONOP_INCOME_LOSS","FQ1 2017","FQ1 2017","Currency=USD","Period=FQ","BEST_FPERIOD_OVERRIDE=FQ","FILING_STATUS=MR","SCALING_FORMAT=MLN","FA_ADJUSTED=GAAP","Sort=A","Dates=H","DateFormat=P","Fill=—","Direction=H","UseDPDF=Y")</f>
        <v>561</v>
      </c>
      <c r="D18" s="13">
        <f>_xll.BDH("WMT US Equity","NONOP_INCOME_LOSS","FQ2 2017","FQ2 2017","Currency=USD","Period=FQ","BEST_FPERIOD_OVERRIDE=FQ","FILING_STATUS=MR","SCALING_FORMAT=MLN","FA_ADJUSTED=GAAP","Sort=A","Dates=H","DateFormat=P","Fill=—","Direction=H","UseDPDF=Y")</f>
        <v>566</v>
      </c>
      <c r="E18" s="13">
        <f>_xll.BDH("WMT US Equity","NONOP_INCOME_LOSS","FQ3 2017","FQ3 2017","Currency=USD","Period=FQ","BEST_FPERIOD_OVERRIDE=FQ","FILING_STATUS=MR","SCALING_FORMAT=MLN","FA_ADJUSTED=GAAP","Sort=A","Dates=H","DateFormat=P","Fill=—","Direction=H","UseDPDF=Y")</f>
        <v>585</v>
      </c>
      <c r="F18" s="13">
        <f>_xll.BDH("WMT US Equity","NONOP_INCOME_LOSS","FQ4 2017","FQ4 2017","Currency=USD","Period=FQ","BEST_FPERIOD_OVERRIDE=FQ","FILING_STATUS=MR","SCALING_FORMAT=MLN","FA_ADJUSTED=GAAP","Sort=A","Dates=H","DateFormat=P","Fill=—","Direction=H","UseDPDF=Y")</f>
        <v>555</v>
      </c>
      <c r="G18" s="13">
        <f>_xll.BDH("WMT US Equity","NONOP_INCOME_LOSS","FQ1 2018","FQ1 2018","Currency=USD","Period=FQ","BEST_FPERIOD_OVERRIDE=FQ","FILING_STATUS=MR","SCALING_FORMAT=MLN","FA_ADJUSTED=GAAP","Sort=A","Dates=H","DateFormat=P","Fill=—","Direction=H","UseDPDF=Y")</f>
        <v>563</v>
      </c>
      <c r="H18" s="13">
        <f>_xll.BDH("WMT US Equity","NONOP_INCOME_LOSS","FQ2 2018","FQ2 2018","Currency=USD","Period=FQ","BEST_FPERIOD_OVERRIDE=FQ","FILING_STATUS=MR","SCALING_FORMAT=MLN","FA_ADJUSTED=GAAP","Sort=A","Dates=H","DateFormat=P","Fill=—","Direction=H","UseDPDF=Y")</f>
        <v>1363</v>
      </c>
      <c r="I18" s="13">
        <f>_xll.BDH("WMT US Equity","NONOP_INCOME_LOSS","FQ3 2018","FQ3 2018","Currency=USD","Period=FQ","BEST_FPERIOD_OVERRIDE=FQ","FILING_STATUS=MR","SCALING_FORMAT=MLN","FA_ADJUSTED=GAAP","Sort=A","Dates=H","DateFormat=P","Fill=—","Direction=H","UseDPDF=Y")</f>
        <v>1885</v>
      </c>
      <c r="J18" s="13">
        <f>_xll.BDH("WMT US Equity","NONOP_INCOME_LOSS","FQ4 2018","FQ4 2018","Currency=USD","Period=FQ","BEST_FPERIOD_OVERRIDE=FQ","FILING_STATUS=MR","SCALING_FORMAT=MLN","FA_ADJUSTED=GAAP","Sort=A","Dates=H","DateFormat=P","Fill=—","Direction=H","UseDPDF=Y")</f>
        <v>1503</v>
      </c>
      <c r="K18" s="13">
        <f>_xll.BDH("WMT US Equity","NONOP_INCOME_LOSS","FQ1 2019","FQ1 2019","Currency=USD","Period=FQ","BEST_FPERIOD_OVERRIDE=FQ","FILING_STATUS=MR","SCALING_FORMAT=MLN","FA_ADJUSTED=GAAP","Sort=A","Dates=H","DateFormat=P","Fill=—","Direction=H","UseDPDF=Y")</f>
        <v>2332</v>
      </c>
      <c r="L18" s="13">
        <f>_xll.BDH("WMT US Equity","NONOP_INCOME_LOSS","FQ2 2019","FQ2 2019","Currency=USD","Period=FQ","BEST_FPERIOD_OVERRIDE=FQ","FILING_STATUS=MR","SCALING_FORMAT=MLN","FA_ADJUSTED=GAAP","Sort=A","Dates=H","DateFormat=P","Fill=—","Direction=H","UseDPDF=Y")</f>
        <v>5352</v>
      </c>
      <c r="M18" s="13">
        <f>_xll.BDH("WMT US Equity","NONOP_INCOME_LOSS","FQ3 2019","FQ3 2019","Currency=USD","Period=FQ","BEST_FPERIOD_OVERRIDE=FQ","FILING_STATUS=MR","SCALING_FORMAT=MLN","FA_ADJUSTED=GAAP","Sort=A","Dates=H","DateFormat=P","Fill=—","Direction=H","UseDPDF=Y")</f>
        <v>2410</v>
      </c>
      <c r="N18" s="13">
        <f>_xll.BDH("WMT US Equity","NONOP_INCOME_LOSS","FQ4 2019","FQ4 2019","Currency=USD","Period=FQ","BEST_FPERIOD_OVERRIDE=FQ","FILING_STATUS=MR","SCALING_FORMAT=MLN","FA_ADJUSTED=GAAP","Sort=A","Dates=H","DateFormat=P","Fill=—","Direction=H","UseDPDF=Y")</f>
        <v>403</v>
      </c>
      <c r="O18" s="13">
        <f>_xll.BDH("WMT US Equity","NONOP_INCOME_LOSS","FQ1 2020","FQ1 2020","Currency=USD","Period=FQ","BEST_FPERIOD_OVERRIDE=FQ","FILING_STATUS=MR","SCALING_FORMAT=MLN","FA_ADJUSTED=GAAP","Sort=A","Dates=H","DateFormat=P","Fill=—","Direction=H","UseDPDF=Y")</f>
        <v>-212</v>
      </c>
      <c r="P18" s="13">
        <f>_xll.BDH("WMT US Equity","NONOP_INCOME_LOSS","FQ2 2020","FQ2 2020","Currency=USD","Period=FQ","BEST_FPERIOD_OVERRIDE=FQ","FILING_STATUS=MR","SCALING_FORMAT=MLN","FA_ADJUSTED=GAAP","Sort=A","Dates=H","DateFormat=P","Fill=—","Direction=H","UseDPDF=Y")</f>
        <v>670</v>
      </c>
      <c r="Q18" s="13">
        <f>_xll.BDH("WMT US Equity","NONOP_INCOME_LOSS","FQ3 2020","FQ3 2020","Currency=USD","Period=FQ","BEST_FPERIOD_OVERRIDE=FQ","FILING_STATUS=MR","SCALING_FORMAT=MLN","FA_ADJUSTED=GAAP","Sort=A","Dates=H","DateFormat=P","Fill=—","Direction=H","UseDPDF=Y")</f>
        <v>345</v>
      </c>
      <c r="R18" s="13">
        <f>_xll.BDH("WMT US Equity","NONOP_INCOME_LOSS","FQ4 2020","FQ4 2020","Currency=USD","Period=FQ","BEST_FPERIOD_OVERRIDE=FQ","FILING_STATUS=MR","SCALING_FORMAT=MLN","FA_ADJUSTED=GAAP","Sort=A","Dates=H","DateFormat=P","Fill=—","Direction=H","UseDPDF=Y")</f>
        <v>-351</v>
      </c>
      <c r="S18" s="13">
        <f>_xll.BDH("WMT US Equity","NONOP_INCOME_LOSS","FQ1 2021","FQ1 2021","Currency=USD","Period=FQ","BEST_FPERIOD_OVERRIDE=FQ","FILING_STATUS=MR","SCALING_FORMAT=MLN","FA_ADJUSTED=GAAP","Sort=A","Dates=H","DateFormat=P","Fill=—","Direction=H","UseDPDF=Y")</f>
        <v>-172</v>
      </c>
      <c r="T18" s="13">
        <f>_xll.BDH("WMT US Equity","NONOP_INCOME_LOSS","FQ2 2021","FQ2 2021","Currency=USD","Period=FQ","BEST_FPERIOD_OVERRIDE=FQ","FILING_STATUS=MR","SCALING_FORMAT=MLN","FA_ADJUSTED=GAAP","Sort=A","Dates=H","DateFormat=P","Fill=—","Direction=H","UseDPDF=Y")</f>
        <v>-2587</v>
      </c>
      <c r="U18" s="13">
        <f>_xll.BDH("WMT US Equity","NONOP_INCOME_LOSS","FQ3 2021","FQ3 2021","Currency=USD","Period=FQ","BEST_FPERIOD_OVERRIDE=FQ","FILING_STATUS=MR","SCALING_FORMAT=MLN","FA_ADJUSTED=GAAP","Sort=A","Dates=H","DateFormat=P","Fill=—","Direction=H","UseDPDF=Y")</f>
        <v>-1337</v>
      </c>
      <c r="V18" s="13">
        <f>_xll.BDH("WMT US Equity","NONOP_INCOME_LOSS","FQ4 2021","FQ4 2021","Currency=USD","Period=FQ","BEST_FPERIOD_OVERRIDE=FQ","FILING_STATUS=MR","SCALING_FORMAT=MLN","FA_ADJUSTED=GAAP","Sort=A","Dates=H","DateFormat=P","Fill=—","Direction=H","UseDPDF=Y")</f>
        <v>6080</v>
      </c>
      <c r="W18" s="13">
        <f>_xll.BDH("WMT US Equity","NONOP_INCOME_LOSS","FQ1 2022","FQ1 2022","Currency=USD","Period=FQ","BEST_FPERIOD_OVERRIDE=FQ","FILING_STATUS=MR","SCALING_FORMAT=MLN","FA_ADJUSTED=GAAP","Sort=A","Dates=H","DateFormat=P","Fill=—","Direction=H","UseDPDF=Y")</f>
        <v>3065</v>
      </c>
      <c r="X18" s="13">
        <f>_xll.BDH("WMT US Equity","NONOP_INCOME_LOSS","FQ2 2022","FQ2 2022","Currency=USD","Period=FQ","BEST_FPERIOD_OVERRIDE=FQ","FILING_STATUS=MR","SCALING_FORMAT=MLN","FA_ADJUSTED=GAAP","Sort=A","Dates=H","DateFormat=P","Fill=—","Direction=H","UseDPDF=Y")</f>
        <v>1431</v>
      </c>
      <c r="Y18" s="13">
        <f>_xll.BDH("WMT US Equity","NONOP_INCOME_LOSS","FQ3 2022","FQ3 2022","Currency=USD","Period=FQ","BEST_FPERIOD_OVERRIDE=FQ","FILING_STATUS=MR","SCALING_FORMAT=MLN","FA_ADJUSTED=GAAP","Sort=A","Dates=H","DateFormat=P","Fill=—","Direction=H","UseDPDF=Y")</f>
        <v>1645</v>
      </c>
      <c r="Z18" s="13">
        <f>_xll.BDH("WMT US Equity","NONOP_INCOME_LOSS","FQ4 2022","FQ4 2022","Currency=USD","Period=FQ","BEST_FPERIOD_OVERRIDE=FQ","FILING_STATUS=MR","SCALING_FORMAT=MLN","FA_ADJUSTED=GAAP","Sort=A","Dates=H","DateFormat=P","Fill=—","Direction=H","UseDPDF=Y")</f>
        <v>1105</v>
      </c>
      <c r="AA18" s="13">
        <f>_xll.BDH("WMT US Equity","NONOP_INCOME_LOSS","FQ1 2023","FQ1 2023","Currency=USD","Period=FQ","BEST_FPERIOD_OVERRIDE=FQ","FILING_STATUS=MR","SCALING_FORMAT=MLN","FA_ADJUSTED=GAAP","Sort=A","Dates=H","DateFormat=P","Fill=—","Direction=H","UseDPDF=Y")</f>
        <v>2417</v>
      </c>
      <c r="AB18" s="13">
        <f>_xll.BDH("WMT US Equity","NONOP_INCOME_LOSS","FQ2 2023","FQ2 2023","Currency=USD","Period=FQ","BEST_FPERIOD_OVERRIDE=FQ","FILING_STATUS=MR","SCALING_FORMAT=MLN","FA_ADJUSTED=GAAP","Sort=A","Dates=H","DateFormat=P","Fill=—","Direction=H","UseDPDF=Y")</f>
        <v>210</v>
      </c>
      <c r="AC18" s="13">
        <f>_xll.BDH("WMT US Equity","NONOP_INCOME_LOSS","FQ3 2023","FQ3 2023","Currency=USD","Period=FQ","BEST_FPERIOD_OVERRIDE=FQ","FILING_STATUS=MR","SCALING_FORMAT=MLN","FA_ADJUSTED=GAAP","Sort=A","Dates=H","DateFormat=P","Fill=—","Direction=H","UseDPDF=Y")</f>
        <v>4126</v>
      </c>
      <c r="AD18" s="13">
        <f>_xll.BDH("WMT US Equity","NONOP_INCOME_LOSS","FQ4 2023","FQ4 2023","Currency=USD","Period=FQ","BEST_FPERIOD_OVERRIDE=FQ","FILING_STATUS=MR","SCALING_FORMAT=MLN","FA_ADJUSTED=GAAP","Sort=A","Dates=H","DateFormat=P","Fill=—","Direction=H","UseDPDF=Y")</f>
        <v>-3341</v>
      </c>
      <c r="AE18" s="13">
        <f>_xll.BDH("WMT US Equity","NONOP_INCOME_LOSS","FQ1 2024","FQ1 2024","Currency=USD","Period=FQ","BEST_FPERIOD_OVERRIDE=FQ","FILING_STATUS=MR","SCALING_FORMAT=MLN","FA_ADJUSTED=GAAP","Sort=A","Dates=H","DateFormat=P","Fill=—","Direction=H","UseDPDF=Y")</f>
        <v>3552</v>
      </c>
      <c r="AF18" s="13">
        <f>_xll.BDH("WMT US Equity","NONOP_INCOME_LOSS","FQ2 2024","FQ2 2024","Currency=USD","Period=FQ","BEST_FPERIOD_OVERRIDE=FQ","FILING_STATUS=MR","SCALING_FORMAT=MLN","FA_ADJUSTED=GAAP","Sort=A","Dates=H","DateFormat=P","Fill=—","Direction=H","UseDPDF=Y")</f>
        <v>-3411</v>
      </c>
      <c r="AG18" s="13">
        <f>_xll.BDH("WMT US Equity","NONOP_INCOME_LOSS","FQ3 2024","FQ3 2024","Currency=USD","Period=FQ","BEST_FPERIOD_OVERRIDE=FQ","FILING_STATUS=MR","SCALING_FORMAT=MLN","FA_ADJUSTED=GAAP","Sort=A","Dates=H","DateFormat=P","Fill=—","Direction=H","UseDPDF=Y")</f>
        <v>5287</v>
      </c>
      <c r="AH18" s="13">
        <f>_xll.BDH("WMT US Equity","NONOP_INCOME_LOSS","FQ4 2024","FQ4 2024","Currency=USD","Period=FQ","BEST_FPERIOD_OVERRIDE=FQ","FILING_STATUS=MR","SCALING_FORMAT=MLN","FA_ADJUSTED=GAAP","Sort=A","Dates=H","DateFormat=P","Fill=—","Direction=H","UseDPDF=Y")</f>
        <v>-264</v>
      </c>
      <c r="AI18" s="13">
        <f>_xll.BDH("WMT US Equity","NONOP_INCOME_LOSS","FQ1 2025","FQ1 2025","Currency=USD","Period=FQ","BEST_FPERIOD_OVERRIDE=FQ","FILING_STATUS=MR","SCALING_FORMAT=MLN","FA_ADJUSTED=GAAP","Sort=A","Dates=H","DateFormat=P","Fill=—","Direction=H","UseDPDF=Y")</f>
        <v>-194</v>
      </c>
      <c r="AJ18" s="13">
        <f>_xll.BDH("WMT US Equity","NONOP_INCOME_LOSS","FQ2 2025","FQ2 2025","Currency=USD","Period=FQ","BEST_FPERIOD_OVERRIDE=FQ","FILING_STATUS=MR","SCALING_FORMAT=MLN","FA_ADJUSTED=GAAP","Sort=A","Dates=H","DateFormat=P","Fill=—","Direction=H","UseDPDF=Y")</f>
        <v>1727</v>
      </c>
      <c r="AK18" s="13">
        <f>_xll.BDH("WMT US Equity","NONOP_INCOME_LOSS","FQ3 2025","FQ3 2025","Currency=USD","Period=FQ","BEST_FPERIOD_OVERRIDE=FQ","FILING_STATUS=MR","SCALING_FORMAT=MLN","FA_ADJUSTED=GAAP","Sort=A","Dates=H","DateFormat=P","Fill=—","Direction=H","UseDPDF=Y")</f>
        <v>610</v>
      </c>
      <c r="AL18" s="13">
        <f>_xll.BDH("WMT US Equity","NONOP_INCOME_LOSS","FQ4 2025","FQ4 2025","Currency=USD","Period=FQ","BEST_FPERIOD_OVERRIDE=FQ","FILING_STATUS=MR","SCALING_FORMAT=MLN","FA_ADJUSTED=GAAP","Sort=A","Dates=H","DateFormat=P","Fill=—","Direction=H","UseDPDF=Y")</f>
        <v>896</v>
      </c>
      <c r="AM18" s="13">
        <f>_xll.BDH("WMT US Equity","NONOP_INCOME_LOSS","FQ1 2026","FQ1 2026","Currency=USD","Period=FQ","BEST_FPERIOD_OVERRIDE=FQ","FILING_STATUS=MR","SCALING_FORMAT=MLN","FA_ADJUSTED=GAAP","Sort=A","Dates=H","DateFormat=P","Fill=—","Direction=H","UseDPDF=Y")</f>
        <v>1141</v>
      </c>
      <c r="AN18" s="13">
        <f>_xll.BDH("WMT US Equity","NONOP_INCOME_LOSS","FQ2 2026","FQ2 2026","Currency=USD","Period=FQ","BEST_FPERIOD_OVERRIDE=FQ","FILING_STATUS=MR","SCALING_FORMAT=MLN","FA_ADJUSTED=GAAP","Sort=A","Dates=H","DateFormat=P","Fill=—","Direction=H","UseDPDF=Y")</f>
        <v>-2033</v>
      </c>
      <c r="AO18" s="13"/>
      <c r="AP18" s="13"/>
    </row>
    <row r="19" spans="1:42" x14ac:dyDescent="0.3">
      <c r="A19" s="10" t="s">
        <v>175</v>
      </c>
      <c r="B19" s="10" t="s">
        <v>101</v>
      </c>
      <c r="C19" s="13">
        <f>_xll.BDH("WMT US Equity","IS_NET_INTEREST_EXPENSE","FQ1 2017","FQ1 2017","Currency=USD","Period=FQ","BEST_FPERIOD_OVERRIDE=FQ","FILING_STATUS=MR","SCALING_FORMAT=MLN","FA_ADJUSTED=GAAP","Sort=A","Dates=H","DateFormat=P","Fill=—","Direction=H","UseDPDF=Y")</f>
        <v>475</v>
      </c>
      <c r="D19" s="13">
        <f>_xll.BDH("WMT US Equity","IS_NET_INTEREST_EXPENSE","FQ2 2017","FQ2 2017","Currency=USD","Period=FQ","BEST_FPERIOD_OVERRIDE=FQ","FILING_STATUS=MR","SCALING_FORMAT=MLN","FA_ADJUSTED=GAAP","Sort=A","Dates=H","DateFormat=P","Fill=—","Direction=H","UseDPDF=Y")</f>
        <v>487</v>
      </c>
      <c r="E19" s="13">
        <f>_xll.BDH("WMT US Equity","IS_NET_INTEREST_EXPENSE","FQ3 2017","FQ3 2017","Currency=USD","Period=FQ","BEST_FPERIOD_OVERRIDE=FQ","FILING_STATUS=MR","SCALING_FORMAT=MLN","FA_ADJUSTED=GAAP","Sort=A","Dates=H","DateFormat=P","Fill=—","Direction=H","UseDPDF=Y")</f>
        <v>504</v>
      </c>
      <c r="F19" s="13">
        <f>_xll.BDH("WMT US Equity","IS_NET_INTEREST_EXPENSE","FQ4 2017","FQ4 2017","Currency=USD","Period=FQ","BEST_FPERIOD_OVERRIDE=FQ","FILING_STATUS=MR","SCALING_FORMAT=MLN","FA_ADJUSTED=GAAP","Sort=A","Dates=H","DateFormat=P","Fill=—","Direction=H","UseDPDF=Y")</f>
        <v>478</v>
      </c>
      <c r="G19" s="13">
        <f>_xll.BDH("WMT US Equity","IS_NET_INTEREST_EXPENSE","FQ1 2018","FQ1 2018","Currency=USD","Period=FQ","BEST_FPERIOD_OVERRIDE=FQ","FILING_STATUS=MR","SCALING_FORMAT=MLN","FA_ADJUSTED=GAAP","Sort=A","Dates=H","DateFormat=P","Fill=—","Direction=H","UseDPDF=Y")</f>
        <v>471</v>
      </c>
      <c r="H19" s="13">
        <f>_xll.BDH("WMT US Equity","IS_NET_INTEREST_EXPENSE","FQ2 2018","FQ2 2018","Currency=USD","Period=FQ","BEST_FPERIOD_OVERRIDE=FQ","FILING_STATUS=MR","SCALING_FORMAT=MLN","FA_ADJUSTED=GAAP","Sort=A","Dates=H","DateFormat=P","Fill=—","Direction=H","UseDPDF=Y")</f>
        <v>484</v>
      </c>
      <c r="I19" s="13">
        <f>_xll.BDH("WMT US Equity","IS_NET_INTEREST_EXPENSE","FQ3 2018","FQ3 2018","Currency=USD","Period=FQ","BEST_FPERIOD_OVERRIDE=FQ","FILING_STATUS=MR","SCALING_FORMAT=MLN","FA_ADJUSTED=GAAP","Sort=A","Dates=H","DateFormat=P","Fill=—","Direction=H","UseDPDF=Y")</f>
        <v>460</v>
      </c>
      <c r="J19" s="13">
        <f>_xll.BDH("WMT US Equity","IS_NET_INTEREST_EXPENSE","FQ4 2018","FQ4 2018","Currency=USD","Period=FQ","BEST_FPERIOD_OVERRIDE=FQ","FILING_STATUS=MR","SCALING_FORMAT=MLN","FA_ADJUSTED=GAAP","Sort=A","Dates=H","DateFormat=P","Fill=—","Direction=H","UseDPDF=Y")</f>
        <v>411</v>
      </c>
      <c r="K19" s="13">
        <f>_xll.BDH("WMT US Equity","IS_NET_INTEREST_EXPENSE","FQ1 2019","FQ1 2019","Currency=USD","Period=FQ","BEST_FPERIOD_OVERRIDE=FQ","FILING_STATUS=MR","SCALING_FORMAT=MLN","FA_ADJUSTED=GAAP","Sort=A","Dates=H","DateFormat=P","Fill=—","Direction=H","UseDPDF=Y")</f>
        <v>394</v>
      </c>
      <c r="L19" s="13">
        <f>_xll.BDH("WMT US Equity","IS_NET_INTEREST_EXPENSE","FQ2 2019","FQ2 2019","Currency=USD","Period=FQ","BEST_FPERIOD_OVERRIDE=FQ","FILING_STATUS=MR","SCALING_FORMAT=MLN","FA_ADJUSTED=GAAP","Sort=A","Dates=H","DateFormat=P","Fill=—","Direction=H","UseDPDF=Y")</f>
        <v>409</v>
      </c>
      <c r="M19" s="13">
        <f>_xll.BDH("WMT US Equity","IS_NET_INTEREST_EXPENSE","FQ3 2019","FQ3 2019","Currency=USD","Period=FQ","BEST_FPERIOD_OVERRIDE=FQ","FILING_STATUS=MR","SCALING_FORMAT=MLN","FA_ADJUSTED=GAAP","Sort=A","Dates=H","DateFormat=P","Fill=—","Direction=H","UseDPDF=Y")</f>
        <v>442</v>
      </c>
      <c r="N19" s="13">
        <f>_xll.BDH("WMT US Equity","IS_NET_INTEREST_EXPENSE","FQ4 2019","FQ4 2019","Currency=USD","Period=FQ","BEST_FPERIOD_OVERRIDE=FQ","FILING_STATUS=MR","SCALING_FORMAT=MLN","FA_ADJUSTED=GAAP","Sort=A","Dates=H","DateFormat=P","Fill=—","Direction=H","UseDPDF=Y")</f>
        <v>513</v>
      </c>
      <c r="O19" s="13">
        <f>_xll.BDH("WMT US Equity","IS_NET_INTEREST_EXPENSE","FQ1 2020","FQ1 2020","Currency=USD","Period=FQ","BEST_FPERIOD_OVERRIDE=FQ","FILING_STATUS=MR","SCALING_FORMAT=MLN","FA_ADJUSTED=GAAP","Sort=A","Dates=H","DateFormat=P","Fill=—","Direction=H","UseDPDF=Y")</f>
        <v>540</v>
      </c>
      <c r="P19" s="13">
        <f>_xll.BDH("WMT US Equity","IS_NET_INTEREST_EXPENSE","FQ2 2020","FQ2 2020","Currency=USD","Period=FQ","BEST_FPERIOD_OVERRIDE=FQ","FILING_STATUS=MR","SCALING_FORMAT=MLN","FA_ADJUSTED=GAAP","Sort=A","Dates=H","DateFormat=P","Fill=—","Direction=H","UseDPDF=Y")</f>
        <v>502</v>
      </c>
      <c r="Q19" s="13">
        <f>_xll.BDH("WMT US Equity","IS_NET_INTEREST_EXPENSE","FQ3 2020","FQ3 2020","Currency=USD","Period=FQ","BEST_FPERIOD_OVERRIDE=FQ","FILING_STATUS=MR","SCALING_FORMAT=MLN","FA_ADJUSTED=GAAP","Sort=A","Dates=H","DateFormat=P","Fill=—","Direction=H","UseDPDF=Y")</f>
        <v>503</v>
      </c>
      <c r="R19" s="13">
        <f>_xll.BDH("WMT US Equity","IS_NET_INTEREST_EXPENSE","FQ4 2020","FQ4 2020","Currency=USD","Period=FQ","BEST_FPERIOD_OVERRIDE=FQ","FILING_STATUS=MR","SCALING_FORMAT=MLN","FA_ADJUSTED=GAAP","Sort=A","Dates=H","DateFormat=P","Fill=—","Direction=H","UseDPDF=Y")</f>
        <v>528</v>
      </c>
      <c r="S19" s="13">
        <f>_xll.BDH("WMT US Equity","IS_NET_INTEREST_EXPENSE","FQ1 2021","FQ1 2021","Currency=USD","Period=FQ","BEST_FPERIOD_OVERRIDE=FQ","FILING_STATUS=MR","SCALING_FORMAT=MLN","FA_ADJUSTED=GAAP","Sort=A","Dates=H","DateFormat=P","Fill=—","Direction=H","UseDPDF=Y")</f>
        <v>467</v>
      </c>
      <c r="T19" s="13">
        <f>_xll.BDH("WMT US Equity","IS_NET_INTEREST_EXPENSE","FQ2 2021","FQ2 2021","Currency=USD","Period=FQ","BEST_FPERIOD_OVERRIDE=FQ","FILING_STATUS=MR","SCALING_FORMAT=MLN","FA_ADJUSTED=GAAP","Sort=A","Dates=H","DateFormat=P","Fill=—","Direction=H","UseDPDF=Y")</f>
        <v>554</v>
      </c>
      <c r="U19" s="13">
        <f>_xll.BDH("WMT US Equity","IS_NET_INTEREST_EXPENSE","FQ3 2021","FQ3 2021","Currency=USD","Period=FQ","BEST_FPERIOD_OVERRIDE=FQ","FILING_STATUS=MR","SCALING_FORMAT=MLN","FA_ADJUSTED=GAAP","Sort=A","Dates=H","DateFormat=P","Fill=—","Direction=H","UseDPDF=Y")</f>
        <v>430</v>
      </c>
      <c r="V19" s="13">
        <f>_xll.BDH("WMT US Equity","IS_NET_INTEREST_EXPENSE","FQ4 2021","FQ4 2021","Currency=USD","Period=FQ","BEST_FPERIOD_OVERRIDE=FQ","FILING_STATUS=MR","SCALING_FORMAT=MLN","FA_ADJUSTED=GAAP","Sort=A","Dates=H","DateFormat=P","Fill=—","Direction=H","UseDPDF=Y")</f>
        <v>404</v>
      </c>
      <c r="W19" s="13">
        <f>_xll.BDH("WMT US Equity","IS_NET_INTEREST_EXPENSE","FQ1 2022","FQ1 2022","Currency=USD","Period=FQ","BEST_FPERIOD_OVERRIDE=FQ","FILING_STATUS=MR","SCALING_FORMAT=MLN","FA_ADJUSTED=GAAP","Sort=A","Dates=H","DateFormat=P","Fill=—","Direction=H","UseDPDF=Y")</f>
        <v>451</v>
      </c>
      <c r="X19" s="13">
        <f>_xll.BDH("WMT US Equity","IS_NET_INTEREST_EXPENSE","FQ2 2022","FQ2 2022","Currency=USD","Period=FQ","BEST_FPERIOD_OVERRIDE=FQ","FILING_STATUS=MR","SCALING_FORMAT=MLN","FA_ADJUSTED=GAAP","Sort=A","Dates=H","DateFormat=P","Fill=—","Direction=H","UseDPDF=Y")</f>
        <v>400</v>
      </c>
      <c r="Y19" s="13">
        <f>_xll.BDH("WMT US Equity","IS_NET_INTEREST_EXPENSE","FQ3 2022","FQ3 2022","Currency=USD","Period=FQ","BEST_FPERIOD_OVERRIDE=FQ","FILING_STATUS=MR","SCALING_FORMAT=MLN","FA_ADJUSTED=GAAP","Sort=A","Dates=H","DateFormat=P","Fill=—","Direction=H","UseDPDF=Y")</f>
        <v>364</v>
      </c>
      <c r="Z19" s="13">
        <f>_xll.BDH("WMT US Equity","IS_NET_INTEREST_EXPENSE","FQ4 2022","FQ4 2022","Currency=USD","Period=FQ","BEST_FPERIOD_OVERRIDE=FQ","FILING_STATUS=MR","SCALING_FORMAT=MLN","FA_ADJUSTED=GAAP","Sort=A","Dates=H","DateFormat=P","Fill=—","Direction=H","UseDPDF=Y")</f>
        <v>301</v>
      </c>
      <c r="AA19" s="13">
        <f>_xll.BDH("WMT US Equity","IS_NET_INTEREST_EXPENSE","FQ1 2023","FQ1 2023","Currency=USD","Period=FQ","BEST_FPERIOD_OVERRIDE=FQ","FILING_STATUS=MR","SCALING_FORMAT=MLN","FA_ADJUSTED=GAAP","Sort=A","Dates=H","DateFormat=P","Fill=—","Direction=H","UseDPDF=Y")</f>
        <v>336</v>
      </c>
      <c r="AB19" s="13">
        <f>_xll.BDH("WMT US Equity","IS_NET_INTEREST_EXPENSE","FQ2 2023","FQ2 2023","Currency=USD","Period=FQ","BEST_FPERIOD_OVERRIDE=FQ","FILING_STATUS=MR","SCALING_FORMAT=MLN","FA_ADJUSTED=GAAP","Sort=A","Dates=H","DateFormat=P","Fill=—","Direction=H","UseDPDF=Y")</f>
        <v>364</v>
      </c>
      <c r="AC19" s="13">
        <f>_xll.BDH("WMT US Equity","IS_NET_INTEREST_EXPENSE","FQ3 2023","FQ3 2023","Currency=USD","Period=FQ","BEST_FPERIOD_OVERRIDE=FQ","FILING_STATUS=MR","SCALING_FORMAT=MLN","FA_ADJUSTED=GAAP","Sort=A","Dates=H","DateFormat=P","Fill=—","Direction=H","UseDPDF=Y")</f>
        <v>415</v>
      </c>
      <c r="AD19" s="13">
        <f>_xll.BDH("WMT US Equity","IS_NET_INTEREST_EXPENSE","FQ4 2023","FQ4 2023","Currency=USD","Period=FQ","BEST_FPERIOD_OVERRIDE=FQ","FILING_STATUS=MR","SCALING_FORMAT=MLN","FA_ADJUSTED=GAAP","Sort=A","Dates=H","DateFormat=P","Fill=—","Direction=H","UseDPDF=Y")</f>
        <v>418</v>
      </c>
      <c r="AE19" s="13">
        <f>_xll.BDH("WMT US Equity","IS_NET_INTEREST_EXPENSE","FQ1 2024","FQ1 2024","Currency=USD","Period=FQ","BEST_FPERIOD_OVERRIDE=FQ","FILING_STATUS=MR","SCALING_FORMAT=MLN","FA_ADJUSTED=GAAP","Sort=A","Dates=H","DateFormat=P","Fill=—","Direction=H","UseDPDF=Y")</f>
        <v>461</v>
      </c>
      <c r="AF19" s="13">
        <f>_xll.BDH("WMT US Equity","IS_NET_INTEREST_EXPENSE","FQ2 2024","FQ2 2024","Currency=USD","Period=FQ","BEST_FPERIOD_OVERRIDE=FQ","FILING_STATUS=MR","SCALING_FORMAT=MLN","FA_ADJUSTED=GAAP","Sort=A","Dates=H","DateFormat=P","Fill=—","Direction=H","UseDPDF=Y")</f>
        <v>395</v>
      </c>
      <c r="AG19" s="13">
        <f>_xll.BDH("WMT US Equity","IS_NET_INTEREST_EXPENSE","FQ3 2024","FQ3 2024","Currency=USD","Period=FQ","BEST_FPERIOD_OVERRIDE=FQ","FILING_STATUS=MR","SCALING_FORMAT=MLN","FA_ADJUSTED=GAAP","Sort=A","Dates=H","DateFormat=P","Fill=—","Direction=H","UseDPDF=Y")</f>
        <v>427</v>
      </c>
      <c r="AH19" s="13">
        <f>_xll.BDH("WMT US Equity","IS_NET_INTEREST_EXPENSE","FQ4 2024","FQ4 2024","Currency=USD","Period=FQ","BEST_FPERIOD_OVERRIDE=FQ","FILING_STATUS=MR","SCALING_FORMAT=MLN","FA_ADJUSTED=GAAP","Sort=A","Dates=H","DateFormat=P","Fill=—","Direction=H","UseDPDF=Y")</f>
        <v>430</v>
      </c>
      <c r="AI19" s="13">
        <f>_xll.BDH("WMT US Equity","IS_NET_INTEREST_EXPENSE","FQ1 2025","FQ1 2025","Currency=USD","Period=FQ","BEST_FPERIOD_OVERRIDE=FQ","FILING_STATUS=MR","SCALING_FORMAT=MLN","FA_ADJUSTED=GAAP","Sort=A","Dates=H","DateFormat=P","Fill=—","Direction=H","UseDPDF=Y")</f>
        <v>483</v>
      </c>
      <c r="AJ19" s="13">
        <f>_xll.BDH("WMT US Equity","IS_NET_INTEREST_EXPENSE","FQ2 2025","FQ2 2025","Currency=USD","Period=FQ","BEST_FPERIOD_OVERRIDE=FQ","FILING_STATUS=MR","SCALING_FORMAT=MLN","FA_ADJUSTED=GAAP","Sort=A","Dates=H","DateFormat=P","Fill=—","Direction=H","UseDPDF=Y")</f>
        <v>443</v>
      </c>
      <c r="AK19" s="13">
        <f>_xll.BDH("WMT US Equity","IS_NET_INTEREST_EXPENSE","FQ3 2025","FQ3 2025","Currency=USD","Period=FQ","BEST_FPERIOD_OVERRIDE=FQ","FILING_STATUS=MR","SCALING_FORMAT=MLN","FA_ADJUSTED=GAAP","Sort=A","Dates=H","DateFormat=P","Fill=—","Direction=H","UseDPDF=Y")</f>
        <v>356</v>
      </c>
      <c r="AL19" s="13">
        <f>_xll.BDH("WMT US Equity","IS_NET_INTEREST_EXPENSE","FQ4 2025","FQ4 2025","Currency=USD","Period=FQ","BEST_FPERIOD_OVERRIDE=FQ","FILING_STATUS=MR","SCALING_FORMAT=MLN","FA_ADJUSTED=GAAP","Sort=A","Dates=H","DateFormat=P","Fill=—","Direction=H","UseDPDF=Y")</f>
        <v>484</v>
      </c>
      <c r="AM19" s="13">
        <f>_xll.BDH("WMT US Equity","IS_NET_INTEREST_EXPENSE","FQ1 2026","FQ1 2026","Currency=USD","Period=FQ","BEST_FPERIOD_OVERRIDE=FQ","FILING_STATUS=MR","SCALING_FORMAT=MLN","FA_ADJUSTED=GAAP","Sort=A","Dates=H","DateFormat=P","Fill=—","Direction=H","UseDPDF=Y")</f>
        <v>426</v>
      </c>
      <c r="AN19" s="13">
        <f>_xll.BDH("WMT US Equity","IS_NET_INTEREST_EXPENSE","FQ2 2026","FQ2 2026","Currency=USD","Period=FQ","BEST_FPERIOD_OVERRIDE=FQ","FILING_STATUS=MR","SCALING_FORMAT=MLN","FA_ADJUSTED=GAAP","Sort=A","Dates=H","DateFormat=P","Fill=—","Direction=H","UseDPDF=Y")</f>
        <v>557</v>
      </c>
      <c r="AO19" s="13"/>
      <c r="AP19" s="13"/>
    </row>
    <row r="20" spans="1:42" x14ac:dyDescent="0.3">
      <c r="A20" s="11" t="s">
        <v>176</v>
      </c>
      <c r="B20" s="11" t="s">
        <v>102</v>
      </c>
      <c r="C20" s="18">
        <f>_xll.BDH("WMT US Equity","IS_INT_EXPENSE","FQ1 2017","FQ1 2017","Currency=USD","Period=FQ","BEST_FPERIOD_OVERRIDE=FQ","FILING_STATUS=MR","SCALING_FORMAT=MLN","FA_ADJUSTED=GAAP","Sort=A","Dates=H","DateFormat=P","Fill=—","Direction=H","UseDPDF=Y")</f>
        <v>499</v>
      </c>
      <c r="D20" s="18">
        <f>_xll.BDH("WMT US Equity","IS_INT_EXPENSE","FQ2 2017","FQ2 2017","Currency=USD","Period=FQ","BEST_FPERIOD_OVERRIDE=FQ","FILING_STATUS=MR","SCALING_FORMAT=MLN","FA_ADJUSTED=GAAP","Sort=A","Dates=H","DateFormat=P","Fill=—","Direction=H","UseDPDF=Y")</f>
        <v>509</v>
      </c>
      <c r="E20" s="18">
        <f>_xll.BDH("WMT US Equity","IS_INT_EXPENSE","FQ3 2017","FQ3 2017","Currency=USD","Period=FQ","BEST_FPERIOD_OVERRIDE=FQ","FILING_STATUS=MR","SCALING_FORMAT=MLN","FA_ADJUSTED=GAAP","Sort=A","Dates=H","DateFormat=P","Fill=—","Direction=H","UseDPDF=Y")</f>
        <v>528</v>
      </c>
      <c r="F20" s="18">
        <f>_xll.BDH("WMT US Equity","IS_INT_EXPENSE","FQ4 2017","FQ4 2017","Currency=USD","Period=FQ","BEST_FPERIOD_OVERRIDE=FQ","FILING_STATUS=MR","SCALING_FORMAT=MLN","FA_ADJUSTED=GAAP","Sort=A","Dates=H","DateFormat=P","Fill=—","Direction=H","UseDPDF=Y")</f>
        <v>508</v>
      </c>
      <c r="G20" s="18">
        <f>_xll.BDH("WMT US Equity","IS_INT_EXPENSE","FQ1 2018","FQ1 2018","Currency=USD","Period=FQ","BEST_FPERIOD_OVERRIDE=FQ","FILING_STATUS=MR","SCALING_FORMAT=MLN","FA_ADJUSTED=GAAP","Sort=A","Dates=H","DateFormat=P","Fill=—","Direction=H","UseDPDF=Y")</f>
        <v>506</v>
      </c>
      <c r="H20" s="18">
        <f>_xll.BDH("WMT US Equity","IS_INT_EXPENSE","FQ2 2018","FQ2 2018","Currency=USD","Period=FQ","BEST_FPERIOD_OVERRIDE=FQ","FILING_STATUS=MR","SCALING_FORMAT=MLN","FA_ADJUSTED=GAAP","Sort=A","Dates=H","DateFormat=P","Fill=—","Direction=H","UseDPDF=Y")</f>
        <v>522</v>
      </c>
      <c r="I20" s="18">
        <f>_xll.BDH("WMT US Equity","IS_INT_EXPENSE","FQ3 2018","FQ3 2018","Currency=USD","Period=FQ","BEST_FPERIOD_OVERRIDE=FQ","FILING_STATUS=MR","SCALING_FORMAT=MLN","FA_ADJUSTED=GAAP","Sort=A","Dates=H","DateFormat=P","Fill=—","Direction=H","UseDPDF=Y")</f>
        <v>502</v>
      </c>
      <c r="J20" s="18">
        <f>_xll.BDH("WMT US Equity","IS_INT_EXPENSE","FQ4 2018","FQ4 2018","Currency=USD","Period=FQ","BEST_FPERIOD_OVERRIDE=FQ","FILING_STATUS=MR","SCALING_FORMAT=MLN","FA_ADJUSTED=GAAP","Sort=A","Dates=H","DateFormat=P","Fill=—","Direction=H","UseDPDF=Y")</f>
        <v>448</v>
      </c>
      <c r="K20" s="18">
        <f>_xll.BDH("WMT US Equity","IS_INT_EXPENSE","FQ1 2019","FQ1 2019","Currency=USD","Period=FQ","BEST_FPERIOD_OVERRIDE=FQ","FILING_STATUS=MR","SCALING_FORMAT=MLN","FA_ADJUSTED=GAAP","Sort=A","Dates=H","DateFormat=P","Fill=—","Direction=H","UseDPDF=Y")</f>
        <v>437</v>
      </c>
      <c r="L20" s="18">
        <f>_xll.BDH("WMT US Equity","IS_INT_EXPENSE","FQ2 2019","FQ2 2019","Currency=USD","Period=FQ","BEST_FPERIOD_OVERRIDE=FQ","FILING_STATUS=MR","SCALING_FORMAT=MLN","FA_ADJUSTED=GAAP","Sort=A","Dates=H","DateFormat=P","Fill=—","Direction=H","UseDPDF=Y")</f>
        <v>460</v>
      </c>
      <c r="M20" s="18">
        <f>_xll.BDH("WMT US Equity","IS_INT_EXPENSE","FQ3 2019","FQ3 2019","Currency=USD","Period=FQ","BEST_FPERIOD_OVERRIDE=FQ","FILING_STATUS=MR","SCALING_FORMAT=MLN","FA_ADJUSTED=GAAP","Sort=A","Dates=H","DateFormat=P","Fill=—","Direction=H","UseDPDF=Y")</f>
        <v>501</v>
      </c>
      <c r="N20" s="18">
        <f>_xll.BDH("WMT US Equity","IS_INT_EXPENSE","FQ4 2019","FQ4 2019","Currency=USD","Period=FQ","BEST_FPERIOD_OVERRIDE=FQ","FILING_STATUS=MR","SCALING_FORMAT=MLN","FA_ADJUSTED=GAAP","Sort=A","Dates=H","DateFormat=P","Fill=—","Direction=H","UseDPDF=Y")</f>
        <v>577</v>
      </c>
      <c r="O20" s="18">
        <f>_xll.BDH("WMT US Equity","IS_INT_EXPENSE","FQ1 2020","FQ1 2020","Currency=USD","Period=FQ","BEST_FPERIOD_OVERRIDE=FQ","FILING_STATUS=MR","SCALING_FORMAT=MLN","FA_ADJUSTED=GAAP","Sort=A","Dates=H","DateFormat=P","Fill=—","Direction=H","UseDPDF=Y")</f>
        <v>588</v>
      </c>
      <c r="P20" s="18">
        <f>_xll.BDH("WMT US Equity","IS_INT_EXPENSE","FQ2 2020","FQ2 2020","Currency=USD","Period=FQ","BEST_FPERIOD_OVERRIDE=FQ","FILING_STATUS=MR","SCALING_FORMAT=MLN","FA_ADJUSTED=GAAP","Sort=A","Dates=H","DateFormat=P","Fill=—","Direction=H","UseDPDF=Y")</f>
        <v>558</v>
      </c>
      <c r="Q20" s="18">
        <f>_xll.BDH("WMT US Equity","IS_INT_EXPENSE","FQ3 2020","FQ3 2020","Currency=USD","Period=FQ","BEST_FPERIOD_OVERRIDE=FQ","FILING_STATUS=MR","SCALING_FORMAT=MLN","FA_ADJUSTED=GAAP","Sort=A","Dates=H","DateFormat=P","Fill=—","Direction=H","UseDPDF=Y")</f>
        <v>547</v>
      </c>
      <c r="R20" s="18">
        <f>_xll.BDH("WMT US Equity","IS_INT_EXPENSE","FQ4 2020","FQ4 2020","Currency=USD","Period=FQ","BEST_FPERIOD_OVERRIDE=FQ","FILING_STATUS=MR","SCALING_FORMAT=MLN","FA_ADJUSTED=GAAP","Sort=A","Dates=H","DateFormat=P","Fill=—","Direction=H","UseDPDF=Y")</f>
        <v>569</v>
      </c>
      <c r="S20" s="18">
        <f>_xll.BDH("WMT US Equity","IS_INT_EXPENSE","FQ1 2021","FQ1 2021","Currency=USD","Period=FQ","BEST_FPERIOD_OVERRIDE=FQ","FILING_STATUS=MR","SCALING_FORMAT=MLN","FA_ADJUSTED=GAAP","Sort=A","Dates=H","DateFormat=P","Fill=—","Direction=H","UseDPDF=Y")</f>
        <v>510</v>
      </c>
      <c r="T20" s="18">
        <f>_xll.BDH("WMT US Equity","IS_INT_EXPENSE","FQ2 2021","FQ2 2021","Currency=USD","Period=FQ","BEST_FPERIOD_OVERRIDE=FQ","FILING_STATUS=MR","SCALING_FORMAT=MLN","FA_ADJUSTED=GAAP","Sort=A","Dates=H","DateFormat=P","Fill=—","Direction=H","UseDPDF=Y")</f>
        <v>577</v>
      </c>
      <c r="U20" s="18">
        <f>_xll.BDH("WMT US Equity","IS_INT_EXPENSE","FQ3 2021","FQ3 2021","Currency=USD","Period=FQ","BEST_FPERIOD_OVERRIDE=FQ","FILING_STATUS=MR","SCALING_FORMAT=MLN","FA_ADJUSTED=GAAP","Sort=A","Dates=H","DateFormat=P","Fill=—","Direction=H","UseDPDF=Y")</f>
        <v>455</v>
      </c>
      <c r="V20" s="18">
        <f>_xll.BDH("WMT US Equity","IS_INT_EXPENSE","FQ4 2021","FQ4 2021","Currency=USD","Period=FQ","BEST_FPERIOD_OVERRIDE=FQ","FILING_STATUS=MR","SCALING_FORMAT=MLN","FA_ADJUSTED=GAAP","Sort=A","Dates=H","DateFormat=P","Fill=—","Direction=H","UseDPDF=Y")</f>
        <v>434</v>
      </c>
      <c r="W20" s="18">
        <f>_xll.BDH("WMT US Equity","IS_INT_EXPENSE","FQ1 2022","FQ1 2022","Currency=USD","Period=FQ","BEST_FPERIOD_OVERRIDE=FQ","FILING_STATUS=MR","SCALING_FORMAT=MLN","FA_ADJUSTED=GAAP","Sort=A","Dates=H","DateFormat=P","Fill=—","Direction=H","UseDPDF=Y")</f>
        <v>481</v>
      </c>
      <c r="X20" s="18">
        <f>_xll.BDH("WMT US Equity","IS_INT_EXPENSE","FQ2 2022","FQ2 2022","Currency=USD","Period=FQ","BEST_FPERIOD_OVERRIDE=FQ","FILING_STATUS=MR","SCALING_FORMAT=MLN","FA_ADJUSTED=GAAP","Sort=A","Dates=H","DateFormat=P","Fill=—","Direction=H","UseDPDF=Y")</f>
        <v>437</v>
      </c>
      <c r="Y20" s="18">
        <f>_xll.BDH("WMT US Equity","IS_INT_EXPENSE","FQ3 2022","FQ3 2022","Currency=USD","Period=FQ","BEST_FPERIOD_OVERRIDE=FQ","FILING_STATUS=MR","SCALING_FORMAT=MLN","FA_ADJUSTED=GAAP","Sort=A","Dates=H","DateFormat=P","Fill=—","Direction=H","UseDPDF=Y")</f>
        <v>408</v>
      </c>
      <c r="Z20" s="18">
        <f>_xll.BDH("WMT US Equity","IS_INT_EXPENSE","FQ4 2022","FQ4 2022","Currency=USD","Period=FQ","BEST_FPERIOD_OVERRIDE=FQ","FILING_STATUS=MR","SCALING_FORMAT=MLN","FA_ADJUSTED=GAAP","Sort=A","Dates=H","DateFormat=P","Fill=—","Direction=H","UseDPDF=Y")</f>
        <v>348</v>
      </c>
      <c r="AA20" s="18">
        <f>_xll.BDH("WMT US Equity","IS_INT_EXPENSE","FQ1 2023","FQ1 2023","Currency=USD","Period=FQ","BEST_FPERIOD_OVERRIDE=FQ","FILING_STATUS=MR","SCALING_FORMAT=MLN","FA_ADJUSTED=GAAP","Sort=A","Dates=H","DateFormat=P","Fill=—","Direction=H","UseDPDF=Y")</f>
        <v>372</v>
      </c>
      <c r="AB20" s="18">
        <f>_xll.BDH("WMT US Equity","IS_INT_EXPENSE","FQ2 2023","FQ2 2023","Currency=USD","Period=FQ","BEST_FPERIOD_OVERRIDE=FQ","FILING_STATUS=MR","SCALING_FORMAT=MLN","FA_ADJUSTED=GAAP","Sort=A","Dates=H","DateFormat=P","Fill=—","Direction=H","UseDPDF=Y")</f>
        <v>395</v>
      </c>
      <c r="AC20" s="18">
        <f>_xll.BDH("WMT US Equity","IS_INT_EXPENSE","FQ3 2023","FQ3 2023","Currency=USD","Period=FQ","BEST_FPERIOD_OVERRIDE=FQ","FILING_STATUS=MR","SCALING_FORMAT=MLN","FA_ADJUSTED=GAAP","Sort=A","Dates=H","DateFormat=P","Fill=—","Direction=H","UseDPDF=Y")</f>
        <v>499</v>
      </c>
      <c r="AD20" s="18">
        <f>_xll.BDH("WMT US Equity","IS_INT_EXPENSE","FQ4 2023","FQ4 2023","Currency=USD","Period=FQ","BEST_FPERIOD_OVERRIDE=FQ","FILING_STATUS=MR","SCALING_FORMAT=MLN","FA_ADJUSTED=GAAP","Sort=A","Dates=H","DateFormat=P","Fill=—","Direction=H","UseDPDF=Y")</f>
        <v>521</v>
      </c>
      <c r="AE20" s="18">
        <f>_xll.BDH("WMT US Equity","IS_INT_EXPENSE","FQ1 2024","FQ1 2024","Currency=USD","Period=FQ","BEST_FPERIOD_OVERRIDE=FQ","FILING_STATUS=MR","SCALING_FORMAT=MLN","FA_ADJUSTED=GAAP","Sort=A","Dates=H","DateFormat=P","Fill=—","Direction=H","UseDPDF=Y")</f>
        <v>568</v>
      </c>
      <c r="AF20" s="18">
        <f>_xll.BDH("WMT US Equity","IS_INT_EXPENSE","FQ2 2024","FQ2 2024","Currency=USD","Period=FQ","BEST_FPERIOD_OVERRIDE=FQ","FILING_STATUS=MR","SCALING_FORMAT=MLN","FA_ADJUSTED=GAAP","Sort=A","Dates=H","DateFormat=P","Fill=—","Direction=H","UseDPDF=Y")</f>
        <v>543</v>
      </c>
      <c r="AG20" s="18">
        <f>_xll.BDH("WMT US Equity","IS_INT_EXPENSE","FQ3 2024","FQ3 2024","Currency=USD","Period=FQ","BEST_FPERIOD_OVERRIDE=FQ","FILING_STATUS=MR","SCALING_FORMAT=MLN","FA_ADJUSTED=GAAP","Sort=A","Dates=H","DateFormat=P","Fill=—","Direction=H","UseDPDF=Y")</f>
        <v>572</v>
      </c>
      <c r="AH20" s="18">
        <f>_xll.BDH("WMT US Equity","IS_INT_EXPENSE","FQ4 2024","FQ4 2024","Currency=USD","Period=FQ","BEST_FPERIOD_OVERRIDE=FQ","FILING_STATUS=MR","SCALING_FORMAT=MLN","FA_ADJUSTED=GAAP","Sort=A","Dates=H","DateFormat=P","Fill=—","Direction=H","UseDPDF=Y")</f>
        <v>576</v>
      </c>
      <c r="AI20" s="18">
        <f>_xll.BDH("WMT US Equity","IS_INT_EXPENSE","FQ1 2025","FQ1 2025","Currency=USD","Period=FQ","BEST_FPERIOD_OVERRIDE=FQ","FILING_STATUS=MR","SCALING_FORMAT=MLN","FA_ADJUSTED=GAAP","Sort=A","Dates=H","DateFormat=P","Fill=—","Direction=H","UseDPDF=Y")</f>
        <v>597</v>
      </c>
      <c r="AJ20" s="18">
        <f>_xll.BDH("WMT US Equity","IS_INT_EXPENSE","FQ2 2025","FQ2 2025","Currency=USD","Period=FQ","BEST_FPERIOD_OVERRIDE=FQ","FILING_STATUS=MR","SCALING_FORMAT=MLN","FA_ADJUSTED=GAAP","Sort=A","Dates=H","DateFormat=P","Fill=—","Direction=H","UseDPDF=Y")</f>
        <v>557</v>
      </c>
      <c r="AK20" s="18">
        <f>_xll.BDH("WMT US Equity","IS_INT_EXPENSE","FQ3 2025","FQ3 2025","Currency=USD","Period=FQ","BEST_FPERIOD_OVERRIDE=FQ","FILING_STATUS=MR","SCALING_FORMAT=MLN","FA_ADJUSTED=GAAP","Sort=A","Dates=H","DateFormat=P","Fill=—","Direction=H","UseDPDF=Y")</f>
        <v>496</v>
      </c>
      <c r="AL20" s="18">
        <f>_xll.BDH("WMT US Equity","IS_INT_EXPENSE","FQ4 2025","FQ4 2025","Currency=USD","Period=FQ","BEST_FPERIOD_OVERRIDE=FQ","FILING_STATUS=MR","SCALING_FORMAT=MLN","FA_ADJUSTED=GAAP","Sort=A","Dates=H","DateFormat=P","Fill=—","Direction=H","UseDPDF=Y")</f>
        <v>599</v>
      </c>
      <c r="AM20" s="18">
        <f>_xll.BDH("WMT US Equity","IS_INT_EXPENSE","FQ1 2026","FQ1 2026","Currency=USD","Period=FQ","BEST_FPERIOD_OVERRIDE=FQ","FILING_STATUS=MR","SCALING_FORMAT=MLN","FA_ADJUSTED=GAAP","Sort=A","Dates=H","DateFormat=P","Fill=—","Direction=H","UseDPDF=Y")</f>
        <v>519</v>
      </c>
      <c r="AN20" s="18">
        <f>_xll.BDH("WMT US Equity","IS_INT_EXPENSE","FQ2 2026","FQ2 2026","Currency=USD","Period=FQ","BEST_FPERIOD_OVERRIDE=FQ","FILING_STATUS=MR","SCALING_FORMAT=MLN","FA_ADJUSTED=GAAP","Sort=A","Dates=H","DateFormat=P","Fill=—","Direction=H","UseDPDF=Y")</f>
        <v>651</v>
      </c>
      <c r="AO20" s="18"/>
      <c r="AP20" s="18"/>
    </row>
    <row r="21" spans="1:42" x14ac:dyDescent="0.3">
      <c r="A21" s="11" t="s">
        <v>182</v>
      </c>
      <c r="B21" s="11" t="s">
        <v>103</v>
      </c>
      <c r="C21" s="18">
        <f>_xll.BDH("WMT US Equity","IS_INT_INC","FQ1 2017","FQ1 2017","Currency=USD","Period=FQ","BEST_FPERIOD_OVERRIDE=FQ","FILING_STATUS=MR","SCALING_FORMAT=MLN","FA_ADJUSTED=GAAP","Sort=A","Dates=H","DateFormat=P","Fill=—","Direction=H","UseDPDF=Y")</f>
        <v>24</v>
      </c>
      <c r="D21" s="18">
        <f>_xll.BDH("WMT US Equity","IS_INT_INC","FQ2 2017","FQ2 2017","Currency=USD","Period=FQ","BEST_FPERIOD_OVERRIDE=FQ","FILING_STATUS=MR","SCALING_FORMAT=MLN","FA_ADJUSTED=GAAP","Sort=A","Dates=H","DateFormat=P","Fill=—","Direction=H","UseDPDF=Y")</f>
        <v>22</v>
      </c>
      <c r="E21" s="18">
        <f>_xll.BDH("WMT US Equity","IS_INT_INC","FQ3 2017","FQ3 2017","Currency=USD","Period=FQ","BEST_FPERIOD_OVERRIDE=FQ","FILING_STATUS=MR","SCALING_FORMAT=MLN","FA_ADJUSTED=GAAP","Sort=A","Dates=H","DateFormat=P","Fill=—","Direction=H","UseDPDF=Y")</f>
        <v>24</v>
      </c>
      <c r="F21" s="18">
        <f>_xll.BDH("WMT US Equity","IS_INT_INC","FQ4 2017","FQ4 2017","Currency=USD","Period=FQ","BEST_FPERIOD_OVERRIDE=FQ","FILING_STATUS=MR","SCALING_FORMAT=MLN","FA_ADJUSTED=GAAP","Sort=A","Dates=H","DateFormat=P","Fill=—","Direction=H","UseDPDF=Y")</f>
        <v>30</v>
      </c>
      <c r="G21" s="18">
        <f>_xll.BDH("WMT US Equity","IS_INT_INC","FQ1 2018","FQ1 2018","Currency=USD","Period=FQ","BEST_FPERIOD_OVERRIDE=FQ","FILING_STATUS=MR","SCALING_FORMAT=MLN","FA_ADJUSTED=GAAP","Sort=A","Dates=H","DateFormat=P","Fill=—","Direction=H","UseDPDF=Y")</f>
        <v>35</v>
      </c>
      <c r="H21" s="18">
        <f>_xll.BDH("WMT US Equity","IS_INT_INC","FQ2 2018","FQ2 2018","Currency=USD","Period=FQ","BEST_FPERIOD_OVERRIDE=FQ","FILING_STATUS=MR","SCALING_FORMAT=MLN","FA_ADJUSTED=GAAP","Sort=A","Dates=H","DateFormat=P","Fill=—","Direction=H","UseDPDF=Y")</f>
        <v>38</v>
      </c>
      <c r="I21" s="18">
        <f>_xll.BDH("WMT US Equity","IS_INT_INC","FQ3 2018","FQ3 2018","Currency=USD","Period=FQ","BEST_FPERIOD_OVERRIDE=FQ","FILING_STATUS=MR","SCALING_FORMAT=MLN","FA_ADJUSTED=GAAP","Sort=A","Dates=H","DateFormat=P","Fill=—","Direction=H","UseDPDF=Y")</f>
        <v>42</v>
      </c>
      <c r="J21" s="18">
        <f>_xll.BDH("WMT US Equity","IS_INT_INC","FQ4 2018","FQ4 2018","Currency=USD","Period=FQ","BEST_FPERIOD_OVERRIDE=FQ","FILING_STATUS=MR","SCALING_FORMAT=MLN","FA_ADJUSTED=GAAP","Sort=A","Dates=H","DateFormat=P","Fill=—","Direction=H","UseDPDF=Y")</f>
        <v>37</v>
      </c>
      <c r="K21" s="18">
        <f>_xll.BDH("WMT US Equity","IS_INT_INC","FQ1 2019","FQ1 2019","Currency=USD","Period=FQ","BEST_FPERIOD_OVERRIDE=FQ","FILING_STATUS=MR","SCALING_FORMAT=MLN","FA_ADJUSTED=GAAP","Sort=A","Dates=H","DateFormat=P","Fill=—","Direction=H","UseDPDF=Y")</f>
        <v>43</v>
      </c>
      <c r="L21" s="18">
        <f>_xll.BDH("WMT US Equity","IS_INT_INC","FQ2 2019","FQ2 2019","Currency=USD","Period=FQ","BEST_FPERIOD_OVERRIDE=FQ","FILING_STATUS=MR","SCALING_FORMAT=MLN","FA_ADJUSTED=GAAP","Sort=A","Dates=H","DateFormat=P","Fill=—","Direction=H","UseDPDF=Y")</f>
        <v>51</v>
      </c>
      <c r="M21" s="18">
        <f>_xll.BDH("WMT US Equity","IS_INT_INC","FQ3 2019","FQ3 2019","Currency=USD","Period=FQ","BEST_FPERIOD_OVERRIDE=FQ","FILING_STATUS=MR","SCALING_FORMAT=MLN","FA_ADJUSTED=GAAP","Sort=A","Dates=H","DateFormat=P","Fill=—","Direction=H","UseDPDF=Y")</f>
        <v>59</v>
      </c>
      <c r="N21" s="18">
        <f>_xll.BDH("WMT US Equity","IS_INT_INC","FQ4 2019","FQ4 2019","Currency=USD","Period=FQ","BEST_FPERIOD_OVERRIDE=FQ","FILING_STATUS=MR","SCALING_FORMAT=MLN","FA_ADJUSTED=GAAP","Sort=A","Dates=H","DateFormat=P","Fill=—","Direction=H","UseDPDF=Y")</f>
        <v>64</v>
      </c>
      <c r="O21" s="18">
        <f>_xll.BDH("WMT US Equity","IS_INT_INC","FQ1 2020","FQ1 2020","Currency=USD","Period=FQ","BEST_FPERIOD_OVERRIDE=FQ","FILING_STATUS=MR","SCALING_FORMAT=MLN","FA_ADJUSTED=GAAP","Sort=A","Dates=H","DateFormat=P","Fill=—","Direction=H","UseDPDF=Y")</f>
        <v>48</v>
      </c>
      <c r="P21" s="18">
        <f>_xll.BDH("WMT US Equity","IS_INT_INC","FQ2 2020","FQ2 2020","Currency=USD","Period=FQ","BEST_FPERIOD_OVERRIDE=FQ","FILING_STATUS=MR","SCALING_FORMAT=MLN","FA_ADJUSTED=GAAP","Sort=A","Dates=H","DateFormat=P","Fill=—","Direction=H","UseDPDF=Y")</f>
        <v>56</v>
      </c>
      <c r="Q21" s="18">
        <f>_xll.BDH("WMT US Equity","IS_INT_INC","FQ3 2020","FQ3 2020","Currency=USD","Period=FQ","BEST_FPERIOD_OVERRIDE=FQ","FILING_STATUS=MR","SCALING_FORMAT=MLN","FA_ADJUSTED=GAAP","Sort=A","Dates=H","DateFormat=P","Fill=—","Direction=H","UseDPDF=Y")</f>
        <v>44</v>
      </c>
      <c r="R21" s="18">
        <f>_xll.BDH("WMT US Equity","IS_INT_INC","FQ4 2020","FQ4 2020","Currency=USD","Period=FQ","BEST_FPERIOD_OVERRIDE=FQ","FILING_STATUS=MR","SCALING_FORMAT=MLN","FA_ADJUSTED=GAAP","Sort=A","Dates=H","DateFormat=P","Fill=—","Direction=H","UseDPDF=Y")</f>
        <v>41</v>
      </c>
      <c r="S21" s="18">
        <f>_xll.BDH("WMT US Equity","IS_INT_INC","FQ1 2021","FQ1 2021","Currency=USD","Period=FQ","BEST_FPERIOD_OVERRIDE=FQ","FILING_STATUS=MR","SCALING_FORMAT=MLN","FA_ADJUSTED=GAAP","Sort=A","Dates=H","DateFormat=P","Fill=—","Direction=H","UseDPDF=Y")</f>
        <v>43</v>
      </c>
      <c r="T21" s="18">
        <f>_xll.BDH("WMT US Equity","IS_INT_INC","FQ2 2021","FQ2 2021","Currency=USD","Period=FQ","BEST_FPERIOD_OVERRIDE=FQ","FILING_STATUS=MR","SCALING_FORMAT=MLN","FA_ADJUSTED=GAAP","Sort=A","Dates=H","DateFormat=P","Fill=—","Direction=H","UseDPDF=Y")</f>
        <v>23</v>
      </c>
      <c r="U21" s="18">
        <f>_xll.BDH("WMT US Equity","IS_INT_INC","FQ3 2021","FQ3 2021","Currency=USD","Period=FQ","BEST_FPERIOD_OVERRIDE=FQ","FILING_STATUS=MR","SCALING_FORMAT=MLN","FA_ADJUSTED=GAAP","Sort=A","Dates=H","DateFormat=P","Fill=—","Direction=H","UseDPDF=Y")</f>
        <v>25</v>
      </c>
      <c r="V21" s="18">
        <f>_xll.BDH("WMT US Equity","IS_INT_INC","FQ4 2021","FQ4 2021","Currency=USD","Period=FQ","BEST_FPERIOD_OVERRIDE=FQ","FILING_STATUS=MR","SCALING_FORMAT=MLN","FA_ADJUSTED=GAAP","Sort=A","Dates=H","DateFormat=P","Fill=—","Direction=H","UseDPDF=Y")</f>
        <v>30</v>
      </c>
      <c r="W21" s="18">
        <f>_xll.BDH("WMT US Equity","IS_INT_INC","FQ1 2022","FQ1 2022","Currency=USD","Period=FQ","BEST_FPERIOD_OVERRIDE=FQ","FILING_STATUS=MR","SCALING_FORMAT=MLN","FA_ADJUSTED=GAAP","Sort=A","Dates=H","DateFormat=P","Fill=—","Direction=H","UseDPDF=Y")</f>
        <v>30</v>
      </c>
      <c r="X21" s="18">
        <f>_xll.BDH("WMT US Equity","IS_INT_INC","FQ2 2022","FQ2 2022","Currency=USD","Period=FQ","BEST_FPERIOD_OVERRIDE=FQ","FILING_STATUS=MR","SCALING_FORMAT=MLN","FA_ADJUSTED=GAAP","Sort=A","Dates=H","DateFormat=P","Fill=—","Direction=H","UseDPDF=Y")</f>
        <v>37</v>
      </c>
      <c r="Y21" s="18">
        <f>_xll.BDH("WMT US Equity","IS_INT_INC","FQ3 2022","FQ3 2022","Currency=USD","Period=FQ","BEST_FPERIOD_OVERRIDE=FQ","FILING_STATUS=MR","SCALING_FORMAT=MLN","FA_ADJUSTED=GAAP","Sort=A","Dates=H","DateFormat=P","Fill=—","Direction=H","UseDPDF=Y")</f>
        <v>44</v>
      </c>
      <c r="Z21" s="18">
        <f>_xll.BDH("WMT US Equity","IS_INT_INC","FQ4 2022","FQ4 2022","Currency=USD","Period=FQ","BEST_FPERIOD_OVERRIDE=FQ","FILING_STATUS=MR","SCALING_FORMAT=MLN","FA_ADJUSTED=GAAP","Sort=A","Dates=H","DateFormat=P","Fill=—","Direction=H","UseDPDF=Y")</f>
        <v>47</v>
      </c>
      <c r="AA21" s="18">
        <f>_xll.BDH("WMT US Equity","IS_INT_INC","FQ1 2023","FQ1 2023","Currency=USD","Period=FQ","BEST_FPERIOD_OVERRIDE=FQ","FILING_STATUS=MR","SCALING_FORMAT=MLN","FA_ADJUSTED=GAAP","Sort=A","Dates=H","DateFormat=P","Fill=—","Direction=H","UseDPDF=Y")</f>
        <v>36</v>
      </c>
      <c r="AB21" s="18">
        <f>_xll.BDH("WMT US Equity","IS_INT_INC","FQ2 2023","FQ2 2023","Currency=USD","Period=FQ","BEST_FPERIOD_OVERRIDE=FQ","FILING_STATUS=MR","SCALING_FORMAT=MLN","FA_ADJUSTED=GAAP","Sort=A","Dates=H","DateFormat=P","Fill=—","Direction=H","UseDPDF=Y")</f>
        <v>31</v>
      </c>
      <c r="AC21" s="18">
        <f>_xll.BDH("WMT US Equity","IS_INT_INC","FQ3 2023","FQ3 2023","Currency=USD","Period=FQ","BEST_FPERIOD_OVERRIDE=FQ","FILING_STATUS=MR","SCALING_FORMAT=MLN","FA_ADJUSTED=GAAP","Sort=A","Dates=H","DateFormat=P","Fill=—","Direction=H","UseDPDF=Y")</f>
        <v>84</v>
      </c>
      <c r="AD21" s="18">
        <f>_xll.BDH("WMT US Equity","IS_INT_INC","FQ4 2023","FQ4 2023","Currency=USD","Period=FQ","BEST_FPERIOD_OVERRIDE=FQ","FILING_STATUS=MR","SCALING_FORMAT=MLN","FA_ADJUSTED=GAAP","Sort=A","Dates=H","DateFormat=P","Fill=—","Direction=H","UseDPDF=Y")</f>
        <v>103</v>
      </c>
      <c r="AE21" s="18">
        <f>_xll.BDH("WMT US Equity","IS_INT_INC","FQ1 2024","FQ1 2024","Currency=USD","Period=FQ","BEST_FPERIOD_OVERRIDE=FQ","FILING_STATUS=MR","SCALING_FORMAT=MLN","FA_ADJUSTED=GAAP","Sort=A","Dates=H","DateFormat=P","Fill=—","Direction=H","UseDPDF=Y")</f>
        <v>107</v>
      </c>
      <c r="AF21" s="18">
        <f>_xll.BDH("WMT US Equity","IS_INT_INC","FQ2 2024","FQ2 2024","Currency=USD","Period=FQ","BEST_FPERIOD_OVERRIDE=FQ","FILING_STATUS=MR","SCALING_FORMAT=MLN","FA_ADJUSTED=GAAP","Sort=A","Dates=H","DateFormat=P","Fill=—","Direction=H","UseDPDF=Y")</f>
        <v>148</v>
      </c>
      <c r="AG21" s="18">
        <f>_xll.BDH("WMT US Equity","IS_INT_INC","FQ3 2024","FQ3 2024","Currency=USD","Period=FQ","BEST_FPERIOD_OVERRIDE=FQ","FILING_STATUS=MR","SCALING_FORMAT=MLN","FA_ADJUSTED=GAAP","Sort=A","Dates=H","DateFormat=P","Fill=—","Direction=H","UseDPDF=Y")</f>
        <v>145</v>
      </c>
      <c r="AH21" s="18">
        <f>_xll.BDH("WMT US Equity","IS_INT_INC","FQ4 2024","FQ4 2024","Currency=USD","Period=FQ","BEST_FPERIOD_OVERRIDE=FQ","FILING_STATUS=MR","SCALING_FORMAT=MLN","FA_ADJUSTED=GAAP","Sort=A","Dates=H","DateFormat=P","Fill=—","Direction=H","UseDPDF=Y")</f>
        <v>146</v>
      </c>
      <c r="AI21" s="18">
        <f>_xll.BDH("WMT US Equity","IS_INT_INC","FQ1 2025","FQ1 2025","Currency=USD","Period=FQ","BEST_FPERIOD_OVERRIDE=FQ","FILING_STATUS=MR","SCALING_FORMAT=MLN","FA_ADJUSTED=GAAP","Sort=A","Dates=H","DateFormat=P","Fill=—","Direction=H","UseDPDF=Y")</f>
        <v>114</v>
      </c>
      <c r="AJ21" s="18">
        <f>_xll.BDH("WMT US Equity","IS_INT_INC","FQ2 2025","FQ2 2025","Currency=USD","Period=FQ","BEST_FPERIOD_OVERRIDE=FQ","FILING_STATUS=MR","SCALING_FORMAT=MLN","FA_ADJUSTED=GAAP","Sort=A","Dates=H","DateFormat=P","Fill=—","Direction=H","UseDPDF=Y")</f>
        <v>114</v>
      </c>
      <c r="AK21" s="18">
        <f>_xll.BDH("WMT US Equity","IS_INT_INC","FQ3 2025","FQ3 2025","Currency=USD","Period=FQ","BEST_FPERIOD_OVERRIDE=FQ","FILING_STATUS=MR","SCALING_FORMAT=MLN","FA_ADJUSTED=GAAP","Sort=A","Dates=H","DateFormat=P","Fill=—","Direction=H","UseDPDF=Y")</f>
        <v>140</v>
      </c>
      <c r="AL21" s="18">
        <f>_xll.BDH("WMT US Equity","IS_INT_INC","FQ4 2025","FQ4 2025","Currency=USD","Period=FQ","BEST_FPERIOD_OVERRIDE=FQ","FILING_STATUS=MR","SCALING_FORMAT=MLN","FA_ADJUSTED=GAAP","Sort=A","Dates=H","DateFormat=P","Fill=—","Direction=H","UseDPDF=Y")</f>
        <v>115</v>
      </c>
      <c r="AM21" s="18">
        <f>_xll.BDH("WMT US Equity","IS_INT_INC","FQ1 2026","FQ1 2026","Currency=USD","Period=FQ","BEST_FPERIOD_OVERRIDE=FQ","FILING_STATUS=MR","SCALING_FORMAT=MLN","FA_ADJUSTED=GAAP","Sort=A","Dates=H","DateFormat=P","Fill=—","Direction=H","UseDPDF=Y")</f>
        <v>93</v>
      </c>
      <c r="AN21" s="18">
        <f>_xll.BDH("WMT US Equity","IS_INT_INC","FQ2 2026","FQ2 2026","Currency=USD","Period=FQ","BEST_FPERIOD_OVERRIDE=FQ","FILING_STATUS=MR","SCALING_FORMAT=MLN","FA_ADJUSTED=GAAP","Sort=A","Dates=H","DateFormat=P","Fill=—","Direction=H","UseDPDF=Y")</f>
        <v>94</v>
      </c>
      <c r="AO21" s="18"/>
      <c r="AP21" s="18"/>
    </row>
    <row r="22" spans="1:42" x14ac:dyDescent="0.3">
      <c r="A22" s="10" t="s">
        <v>183</v>
      </c>
      <c r="B22" s="10" t="s">
        <v>104</v>
      </c>
      <c r="C22" s="13">
        <f>_xll.BDH("WMT US Equity","OTHER_NONOP_INCOME_LOSS","FQ1 2017","FQ1 2017","Currency=USD","Period=FQ","BEST_FPERIOD_OVERRIDE=FQ","FILING_STATUS=MR","SCALING_FORMAT=MLN","FA_ADJUSTED=GAAP","Sort=A","Dates=H","DateFormat=P","Fill=—","Direction=H","UseDPDF=Y")</f>
        <v>86</v>
      </c>
      <c r="D22" s="13">
        <f>_xll.BDH("WMT US Equity","OTHER_NONOP_INCOME_LOSS","FQ2 2017","FQ2 2017","Currency=USD","Period=FQ","BEST_FPERIOD_OVERRIDE=FQ","FILING_STATUS=MR","SCALING_FORMAT=MLN","FA_ADJUSTED=GAAP","Sort=A","Dates=H","DateFormat=P","Fill=—","Direction=H","UseDPDF=Y")</f>
        <v>79</v>
      </c>
      <c r="E22" s="13">
        <f>_xll.BDH("WMT US Equity","OTHER_NONOP_INCOME_LOSS","FQ3 2017","FQ3 2017","Currency=USD","Period=FQ","BEST_FPERIOD_OVERRIDE=FQ","FILING_STATUS=MR","SCALING_FORMAT=MLN","FA_ADJUSTED=GAAP","Sort=A","Dates=H","DateFormat=P","Fill=—","Direction=H","UseDPDF=Y")</f>
        <v>81</v>
      </c>
      <c r="F22" s="13">
        <f>_xll.BDH("WMT US Equity","OTHER_NONOP_INCOME_LOSS","FQ4 2017","FQ4 2017","Currency=USD","Period=FQ","BEST_FPERIOD_OVERRIDE=FQ","FILING_STATUS=MR","SCALING_FORMAT=MLN","FA_ADJUSTED=GAAP","Sort=A","Dates=H","DateFormat=P","Fill=—","Direction=H","UseDPDF=Y")</f>
        <v>77</v>
      </c>
      <c r="G22" s="13">
        <f>_xll.BDH("WMT US Equity","OTHER_NONOP_INCOME_LOSS","FQ1 2018","FQ1 2018","Currency=USD","Period=FQ","BEST_FPERIOD_OVERRIDE=FQ","FILING_STATUS=MR","SCALING_FORMAT=MLN","FA_ADJUSTED=GAAP","Sort=A","Dates=H","DateFormat=P","Fill=—","Direction=H","UseDPDF=Y")</f>
        <v>92</v>
      </c>
      <c r="H22" s="13">
        <f>_xll.BDH("WMT US Equity","OTHER_NONOP_INCOME_LOSS","FQ2 2018","FQ2 2018","Currency=USD","Period=FQ","BEST_FPERIOD_OVERRIDE=FQ","FILING_STATUS=MR","SCALING_FORMAT=MLN","FA_ADJUSTED=GAAP","Sort=A","Dates=H","DateFormat=P","Fill=—","Direction=H","UseDPDF=Y")</f>
        <v>879</v>
      </c>
      <c r="I22" s="13">
        <f>_xll.BDH("WMT US Equity","OTHER_NONOP_INCOME_LOSS","FQ3 2018","FQ3 2018","Currency=USD","Period=FQ","BEST_FPERIOD_OVERRIDE=FQ","FILING_STATUS=MR","SCALING_FORMAT=MLN","FA_ADJUSTED=GAAP","Sort=A","Dates=H","DateFormat=P","Fill=—","Direction=H","UseDPDF=Y")</f>
        <v>1425</v>
      </c>
      <c r="J22" s="13">
        <f>_xll.BDH("WMT US Equity","OTHER_NONOP_INCOME_LOSS","FQ4 2018","FQ4 2018","Currency=USD","Period=FQ","BEST_FPERIOD_OVERRIDE=FQ","FILING_STATUS=MR","SCALING_FORMAT=MLN","FA_ADJUSTED=GAAP","Sort=A","Dates=H","DateFormat=P","Fill=—","Direction=H","UseDPDF=Y")</f>
        <v>1092</v>
      </c>
      <c r="K22" s="13">
        <f>_xll.BDH("WMT US Equity","OTHER_NONOP_INCOME_LOSS","FQ1 2019","FQ1 2019","Currency=USD","Period=FQ","BEST_FPERIOD_OVERRIDE=FQ","FILING_STATUS=MR","SCALING_FORMAT=MLN","FA_ADJUSTED=GAAP","Sort=A","Dates=H","DateFormat=P","Fill=—","Direction=H","UseDPDF=Y")</f>
        <v>1938</v>
      </c>
      <c r="L22" s="13">
        <f>_xll.BDH("WMT US Equity","OTHER_NONOP_INCOME_LOSS","FQ2 2019","FQ2 2019","Currency=USD","Period=FQ","BEST_FPERIOD_OVERRIDE=FQ","FILING_STATUS=MR","SCALING_FORMAT=MLN","FA_ADJUSTED=GAAP","Sort=A","Dates=H","DateFormat=P","Fill=—","Direction=H","UseDPDF=Y")</f>
        <v>4943</v>
      </c>
      <c r="M22" s="13">
        <f>_xll.BDH("WMT US Equity","OTHER_NONOP_INCOME_LOSS","FQ3 2019","FQ3 2019","Currency=USD","Period=FQ","BEST_FPERIOD_OVERRIDE=FQ","FILING_STATUS=MR","SCALING_FORMAT=MLN","FA_ADJUSTED=GAAP","Sort=A","Dates=H","DateFormat=P","Fill=—","Direction=H","UseDPDF=Y")</f>
        <v>1968</v>
      </c>
      <c r="N22" s="13">
        <f>_xll.BDH("WMT US Equity","OTHER_NONOP_INCOME_LOSS","FQ4 2019","FQ4 2019","Currency=USD","Period=FQ","BEST_FPERIOD_OVERRIDE=FQ","FILING_STATUS=MR","SCALING_FORMAT=MLN","FA_ADJUSTED=GAAP","Sort=A","Dates=H","DateFormat=P","Fill=—","Direction=H","UseDPDF=Y")</f>
        <v>-110</v>
      </c>
      <c r="O22" s="13">
        <f>_xll.BDH("WMT US Equity","OTHER_NONOP_INCOME_LOSS","FQ1 2020","FQ1 2020","Currency=USD","Period=FQ","BEST_FPERIOD_OVERRIDE=FQ","FILING_STATUS=MR","SCALING_FORMAT=MLN","FA_ADJUSTED=GAAP","Sort=A","Dates=H","DateFormat=P","Fill=—","Direction=H","UseDPDF=Y")</f>
        <v>-752</v>
      </c>
      <c r="P22" s="13">
        <f>_xll.BDH("WMT US Equity","OTHER_NONOP_INCOME_LOSS","FQ2 2020","FQ2 2020","Currency=USD","Period=FQ","BEST_FPERIOD_OVERRIDE=FQ","FILING_STATUS=MR","SCALING_FORMAT=MLN","FA_ADJUSTED=GAAP","Sort=A","Dates=H","DateFormat=P","Fill=—","Direction=H","UseDPDF=Y")</f>
        <v>168</v>
      </c>
      <c r="Q22" s="13">
        <f>_xll.BDH("WMT US Equity","OTHER_NONOP_INCOME_LOSS","FQ3 2020","FQ3 2020","Currency=USD","Period=FQ","BEST_FPERIOD_OVERRIDE=FQ","FILING_STATUS=MR","SCALING_FORMAT=MLN","FA_ADJUSTED=GAAP","Sort=A","Dates=H","DateFormat=P","Fill=—","Direction=H","UseDPDF=Y")</f>
        <v>-158</v>
      </c>
      <c r="R22" s="13">
        <f>_xll.BDH("WMT US Equity","OTHER_NONOP_INCOME_LOSS","FQ4 2020","FQ4 2020","Currency=USD","Period=FQ","BEST_FPERIOD_OVERRIDE=FQ","FILING_STATUS=MR","SCALING_FORMAT=MLN","FA_ADJUSTED=GAAP","Sort=A","Dates=H","DateFormat=P","Fill=—","Direction=H","UseDPDF=Y")</f>
        <v>-879</v>
      </c>
      <c r="S22" s="13">
        <f>_xll.BDH("WMT US Equity","OTHER_NONOP_INCOME_LOSS","FQ1 2021","FQ1 2021","Currency=USD","Period=FQ","BEST_FPERIOD_OVERRIDE=FQ","FILING_STATUS=MR","SCALING_FORMAT=MLN","FA_ADJUSTED=GAAP","Sort=A","Dates=H","DateFormat=P","Fill=—","Direction=H","UseDPDF=Y")</f>
        <v>-639</v>
      </c>
      <c r="T22" s="13">
        <f>_xll.BDH("WMT US Equity","OTHER_NONOP_INCOME_LOSS","FQ2 2021","FQ2 2021","Currency=USD","Period=FQ","BEST_FPERIOD_OVERRIDE=FQ","FILING_STATUS=MR","SCALING_FORMAT=MLN","FA_ADJUSTED=GAAP","Sort=A","Dates=H","DateFormat=P","Fill=—","Direction=H","UseDPDF=Y")</f>
        <v>-3141</v>
      </c>
      <c r="U22" s="13">
        <f>_xll.BDH("WMT US Equity","OTHER_NONOP_INCOME_LOSS","FQ3 2021","FQ3 2021","Currency=USD","Period=FQ","BEST_FPERIOD_OVERRIDE=FQ","FILING_STATUS=MR","SCALING_FORMAT=MLN","FA_ADJUSTED=GAAP","Sort=A","Dates=H","DateFormat=P","Fill=—","Direction=H","UseDPDF=Y")</f>
        <v>-1767</v>
      </c>
      <c r="V22" s="13">
        <f>_xll.BDH("WMT US Equity","OTHER_NONOP_INCOME_LOSS","FQ4 2021","FQ4 2021","Currency=USD","Period=FQ","BEST_FPERIOD_OVERRIDE=FQ","FILING_STATUS=MR","SCALING_FORMAT=MLN","FA_ADJUSTED=GAAP","Sort=A","Dates=H","DateFormat=P","Fill=—","Direction=H","UseDPDF=Y")</f>
        <v>5676</v>
      </c>
      <c r="W22" s="13">
        <f>_xll.BDH("WMT US Equity","OTHER_NONOP_INCOME_LOSS","FQ1 2022","FQ1 2022","Currency=USD","Period=FQ","BEST_FPERIOD_OVERRIDE=FQ","FILING_STATUS=MR","SCALING_FORMAT=MLN","FA_ADJUSTED=GAAP","Sort=A","Dates=H","DateFormat=P","Fill=—","Direction=H","UseDPDF=Y")</f>
        <v>2614</v>
      </c>
      <c r="X22" s="13">
        <f>_xll.BDH("WMT US Equity","OTHER_NONOP_INCOME_LOSS","FQ2 2022","FQ2 2022","Currency=USD","Period=FQ","BEST_FPERIOD_OVERRIDE=FQ","FILING_STATUS=MR","SCALING_FORMAT=MLN","FA_ADJUSTED=GAAP","Sort=A","Dates=H","DateFormat=P","Fill=—","Direction=H","UseDPDF=Y")</f>
        <v>1031</v>
      </c>
      <c r="Y22" s="13">
        <f>_xll.BDH("WMT US Equity","OTHER_NONOP_INCOME_LOSS","FQ3 2022","FQ3 2022","Currency=USD","Period=FQ","BEST_FPERIOD_OVERRIDE=FQ","FILING_STATUS=MR","SCALING_FORMAT=MLN","FA_ADJUSTED=GAAP","Sort=A","Dates=H","DateFormat=P","Fill=—","Direction=H","UseDPDF=Y")</f>
        <v>1281</v>
      </c>
      <c r="Z22" s="13">
        <f>_xll.BDH("WMT US Equity","OTHER_NONOP_INCOME_LOSS","FQ4 2022","FQ4 2022","Currency=USD","Period=FQ","BEST_FPERIOD_OVERRIDE=FQ","FILING_STATUS=MR","SCALING_FORMAT=MLN","FA_ADJUSTED=GAAP","Sort=A","Dates=H","DateFormat=P","Fill=—","Direction=H","UseDPDF=Y")</f>
        <v>804</v>
      </c>
      <c r="AA22" s="13">
        <f>_xll.BDH("WMT US Equity","OTHER_NONOP_INCOME_LOSS","FQ1 2023","FQ1 2023","Currency=USD","Period=FQ","BEST_FPERIOD_OVERRIDE=FQ","FILING_STATUS=MR","SCALING_FORMAT=MLN","FA_ADJUSTED=GAAP","Sort=A","Dates=H","DateFormat=P","Fill=—","Direction=H","UseDPDF=Y")</f>
        <v>2081</v>
      </c>
      <c r="AB22" s="13">
        <f>_xll.BDH("WMT US Equity","OTHER_NONOP_INCOME_LOSS","FQ2 2023","FQ2 2023","Currency=USD","Period=FQ","BEST_FPERIOD_OVERRIDE=FQ","FILING_STATUS=MR","SCALING_FORMAT=MLN","FA_ADJUSTED=GAAP","Sort=A","Dates=H","DateFormat=P","Fill=—","Direction=H","UseDPDF=Y")</f>
        <v>-154</v>
      </c>
      <c r="AC22" s="13">
        <f>_xll.BDH("WMT US Equity","OTHER_NONOP_INCOME_LOSS","FQ3 2023","FQ3 2023","Currency=USD","Period=FQ","BEST_FPERIOD_OVERRIDE=FQ","FILING_STATUS=MR","SCALING_FORMAT=MLN","FA_ADJUSTED=GAAP","Sort=A","Dates=H","DateFormat=P","Fill=—","Direction=H","UseDPDF=Y")</f>
        <v>3711</v>
      </c>
      <c r="AD22" s="13">
        <f>_xll.BDH("WMT US Equity","OTHER_NONOP_INCOME_LOSS","FQ4 2023","FQ4 2023","Currency=USD","Period=FQ","BEST_FPERIOD_OVERRIDE=FQ","FILING_STATUS=MR","SCALING_FORMAT=MLN","FA_ADJUSTED=GAAP","Sort=A","Dates=H","DateFormat=P","Fill=—","Direction=H","UseDPDF=Y")</f>
        <v>-3759</v>
      </c>
      <c r="AE22" s="13">
        <f>_xll.BDH("WMT US Equity","OTHER_NONOP_INCOME_LOSS","FQ1 2024","FQ1 2024","Currency=USD","Period=FQ","BEST_FPERIOD_OVERRIDE=FQ","FILING_STATUS=MR","SCALING_FORMAT=MLN","FA_ADJUSTED=GAAP","Sort=A","Dates=H","DateFormat=P","Fill=—","Direction=H","UseDPDF=Y")</f>
        <v>3091</v>
      </c>
      <c r="AF22" s="13">
        <f>_xll.BDH("WMT US Equity","OTHER_NONOP_INCOME_LOSS","FQ2 2024","FQ2 2024","Currency=USD","Period=FQ","BEST_FPERIOD_OVERRIDE=FQ","FILING_STATUS=MR","SCALING_FORMAT=MLN","FA_ADJUSTED=GAAP","Sort=A","Dates=H","DateFormat=P","Fill=—","Direction=H","UseDPDF=Y")</f>
        <v>-3806</v>
      </c>
      <c r="AG22" s="13">
        <f>_xll.BDH("WMT US Equity","OTHER_NONOP_INCOME_LOSS","FQ3 2024","FQ3 2024","Currency=USD","Period=FQ","BEST_FPERIOD_OVERRIDE=FQ","FILING_STATUS=MR","SCALING_FORMAT=MLN","FA_ADJUSTED=GAAP","Sort=A","Dates=H","DateFormat=P","Fill=—","Direction=H","UseDPDF=Y")</f>
        <v>4860</v>
      </c>
      <c r="AH22" s="13">
        <f>_xll.BDH("WMT US Equity","OTHER_NONOP_INCOME_LOSS","FQ4 2024","FQ4 2024","Currency=USD","Period=FQ","BEST_FPERIOD_OVERRIDE=FQ","FILING_STATUS=MR","SCALING_FORMAT=MLN","FA_ADJUSTED=GAAP","Sort=A","Dates=H","DateFormat=P","Fill=—","Direction=H","UseDPDF=Y")</f>
        <v>-694</v>
      </c>
      <c r="AI22" s="13">
        <f>_xll.BDH("WMT US Equity","OTHER_NONOP_INCOME_LOSS","FQ1 2025","FQ1 2025","Currency=USD","Period=FQ","BEST_FPERIOD_OVERRIDE=FQ","FILING_STATUS=MR","SCALING_FORMAT=MLN","FA_ADJUSTED=GAAP","Sort=A","Dates=H","DateFormat=P","Fill=—","Direction=H","UseDPDF=Y")</f>
        <v>-677</v>
      </c>
      <c r="AJ22" s="13">
        <f>_xll.BDH("WMT US Equity","OTHER_NONOP_INCOME_LOSS","FQ2 2025","FQ2 2025","Currency=USD","Period=FQ","BEST_FPERIOD_OVERRIDE=FQ","FILING_STATUS=MR","SCALING_FORMAT=MLN","FA_ADJUSTED=GAAP","Sort=A","Dates=H","DateFormat=P","Fill=—","Direction=H","UseDPDF=Y")</f>
        <v>1284</v>
      </c>
      <c r="AK22" s="13">
        <f>_xll.BDH("WMT US Equity","OTHER_NONOP_INCOME_LOSS","FQ3 2025","FQ3 2025","Currency=USD","Period=FQ","BEST_FPERIOD_OVERRIDE=FQ","FILING_STATUS=MR","SCALING_FORMAT=MLN","FA_ADJUSTED=GAAP","Sort=A","Dates=H","DateFormat=P","Fill=—","Direction=H","UseDPDF=Y")</f>
        <v>254</v>
      </c>
      <c r="AL22" s="13">
        <f>_xll.BDH("WMT US Equity","OTHER_NONOP_INCOME_LOSS","FQ4 2025","FQ4 2025","Currency=USD","Period=FQ","BEST_FPERIOD_OVERRIDE=FQ","FILING_STATUS=MR","SCALING_FORMAT=MLN","FA_ADJUSTED=GAAP","Sort=A","Dates=H","DateFormat=P","Fill=—","Direction=H","UseDPDF=Y")</f>
        <v>412</v>
      </c>
      <c r="AM22" s="13">
        <f>_xll.BDH("WMT US Equity","OTHER_NONOP_INCOME_LOSS","FQ1 2026","FQ1 2026","Currency=USD","Period=FQ","BEST_FPERIOD_OVERRIDE=FQ","FILING_STATUS=MR","SCALING_FORMAT=MLN","FA_ADJUSTED=GAAP","Sort=A","Dates=H","DateFormat=P","Fill=—","Direction=H","UseDPDF=Y")</f>
        <v>715</v>
      </c>
      <c r="AN22" s="13">
        <f>_xll.BDH("WMT US Equity","OTHER_NONOP_INCOME_LOSS","FQ2 2026","FQ2 2026","Currency=USD","Period=FQ","BEST_FPERIOD_OVERRIDE=FQ","FILING_STATUS=MR","SCALING_FORMAT=MLN","FA_ADJUSTED=GAAP","Sort=A","Dates=H","DateFormat=P","Fill=—","Direction=H","UseDPDF=Y")</f>
        <v>-2590</v>
      </c>
      <c r="AO22" s="13"/>
      <c r="AP22" s="13"/>
    </row>
    <row r="23" spans="1:42" x14ac:dyDescent="0.3">
      <c r="A23" s="6" t="s">
        <v>105</v>
      </c>
      <c r="B23" s="6" t="s">
        <v>106</v>
      </c>
      <c r="C23" s="16">
        <f>_xll.BDH("WMT US Equity","PRETAX_INC","FQ1 2017","FQ1 2017","Currency=USD","Period=FQ","BEST_FPERIOD_OVERRIDE=FQ","FILING_STATUS=MR","SCALING_FORMAT=MLN","FA_ADJUSTED=GAAP","Sort=A","Dates=H","DateFormat=P","Fill=—","Direction=H","UseDPDF=Y")</f>
        <v>4714</v>
      </c>
      <c r="D23" s="16">
        <f>_xll.BDH("WMT US Equity","PRETAX_INC","FQ2 2017","FQ2 2017","Currency=USD","Period=FQ","BEST_FPERIOD_OVERRIDE=FQ","FILING_STATUS=MR","SCALING_FORMAT=MLN","FA_ADJUSTED=GAAP","Sort=A","Dates=H","DateFormat=P","Fill=—","Direction=H","UseDPDF=Y")</f>
        <v>5599</v>
      </c>
      <c r="E23" s="16">
        <f>_xll.BDH("WMT US Equity","PRETAX_INC","FQ3 2017","FQ3 2017","Currency=USD","Period=FQ","BEST_FPERIOD_OVERRIDE=FQ","FILING_STATUS=MR","SCALING_FORMAT=MLN","FA_ADJUSTED=GAAP","Sort=A","Dates=H","DateFormat=P","Fill=—","Direction=H","UseDPDF=Y")</f>
        <v>4534</v>
      </c>
      <c r="F23" s="16">
        <f>_xll.BDH("WMT US Equity","PRETAX_INC","FQ4 2017","FQ4 2017","Currency=USD","Period=FQ","BEST_FPERIOD_OVERRIDE=FQ","FILING_STATUS=MR","SCALING_FORMAT=MLN","FA_ADJUSTED=GAAP","Sort=A","Dates=H","DateFormat=P","Fill=—","Direction=H","UseDPDF=Y")</f>
        <v>5650</v>
      </c>
      <c r="G23" s="16">
        <f>_xll.BDH("WMT US Equity","PRETAX_INC","FQ1 2018","FQ1 2018","Currency=USD","Period=FQ","BEST_FPERIOD_OVERRIDE=FQ","FILING_STATUS=MR","SCALING_FORMAT=MLN","FA_ADJUSTED=GAAP","Sort=A","Dates=H","DateFormat=P","Fill=—","Direction=H","UseDPDF=Y")</f>
        <v>4674</v>
      </c>
      <c r="H23" s="16">
        <f>_xll.BDH("WMT US Equity","PRETAX_INC","FQ2 2018","FQ2 2018","Currency=USD","Period=FQ","BEST_FPERIOD_OVERRIDE=FQ","FILING_STATUS=MR","SCALING_FORMAT=MLN","FA_ADJUSTED=GAAP","Sort=A","Dates=H","DateFormat=P","Fill=—","Direction=H","UseDPDF=Y")</f>
        <v>4606</v>
      </c>
      <c r="I23" s="16">
        <f>_xll.BDH("WMT US Equity","PRETAX_INC","FQ3 2018","FQ3 2018","Currency=USD","Period=FQ","BEST_FPERIOD_OVERRIDE=FQ","FILING_STATUS=MR","SCALING_FORMAT=MLN","FA_ADJUSTED=GAAP","Sort=A","Dates=H","DateFormat=P","Fill=—","Direction=H","UseDPDF=Y")</f>
        <v>2879</v>
      </c>
      <c r="J23" s="16">
        <f>_xll.BDH("WMT US Equity","PRETAX_INC","FQ4 2018","FQ4 2018","Currency=USD","Period=FQ","BEST_FPERIOD_OVERRIDE=FQ","FILING_STATUS=MR","SCALING_FORMAT=MLN","FA_ADJUSTED=GAAP","Sort=A","Dates=H","DateFormat=P","Fill=—","Direction=H","UseDPDF=Y")</f>
        <v>2964</v>
      </c>
      <c r="K23" s="16">
        <f>_xll.BDH("WMT US Equity","PRETAX_INC","FQ1 2019","FQ1 2019","Currency=USD","Period=FQ","BEST_FPERIOD_OVERRIDE=FQ","FILING_STATUS=MR","SCALING_FORMAT=MLN","FA_ADJUSTED=GAAP","Sort=A","Dates=H","DateFormat=P","Fill=—","Direction=H","UseDPDF=Y")</f>
        <v>2822</v>
      </c>
      <c r="L23" s="16">
        <f>_xll.BDH("WMT US Equity","PRETAX_INC","FQ2 2019","FQ2 2019","Currency=USD","Period=FQ","BEST_FPERIOD_OVERRIDE=FQ","FILING_STATUS=MR","SCALING_FORMAT=MLN","FA_ADJUSTED=GAAP","Sort=A","Dates=H","DateFormat=P","Fill=—","Direction=H","UseDPDF=Y")</f>
        <v>398</v>
      </c>
      <c r="M23" s="16">
        <f>_xll.BDH("WMT US Equity","PRETAX_INC","FQ3 2019","FQ3 2019","Currency=USD","Period=FQ","BEST_FPERIOD_OVERRIDE=FQ","FILING_STATUS=MR","SCALING_FORMAT=MLN","FA_ADJUSTED=GAAP","Sort=A","Dates=H","DateFormat=P","Fill=—","Direction=H","UseDPDF=Y")</f>
        <v>2576</v>
      </c>
      <c r="N23" s="16">
        <f>_xll.BDH("WMT US Equity","PRETAX_INC","FQ4 2019","FQ4 2019","Currency=USD","Period=FQ","BEST_FPERIOD_OVERRIDE=FQ","FILING_STATUS=MR","SCALING_FORMAT=MLN","FA_ADJUSTED=GAAP","Sort=A","Dates=H","DateFormat=P","Fill=—","Direction=H","UseDPDF=Y")</f>
        <v>5664</v>
      </c>
      <c r="O23" s="16">
        <f>_xll.BDH("WMT US Equity","PRETAX_INC","FQ1 2020","FQ1 2020","Currency=USD","Period=FQ","BEST_FPERIOD_OVERRIDE=FQ","FILING_STATUS=MR","SCALING_FORMAT=MLN","FA_ADJUSTED=GAAP","Sort=A","Dates=H","DateFormat=P","Fill=—","Direction=H","UseDPDF=Y")</f>
        <v>5157</v>
      </c>
      <c r="P23" s="16">
        <f>_xll.BDH("WMT US Equity","PRETAX_INC","FQ2 2020","FQ2 2020","Currency=USD","Period=FQ","BEST_FPERIOD_OVERRIDE=FQ","FILING_STATUS=MR","SCALING_FORMAT=MLN","FA_ADJUSTED=GAAP","Sort=A","Dates=H","DateFormat=P","Fill=—","Direction=H","UseDPDF=Y")</f>
        <v>4913</v>
      </c>
      <c r="Q23" s="16">
        <f>_xll.BDH("WMT US Equity","PRETAX_INC","FQ3 2020","FQ3 2020","Currency=USD","Period=FQ","BEST_FPERIOD_OVERRIDE=FQ","FILING_STATUS=MR","SCALING_FORMAT=MLN","FA_ADJUSTED=GAAP","Sort=A","Dates=H","DateFormat=P","Fill=—","Direction=H","UseDPDF=Y")</f>
        <v>4373</v>
      </c>
      <c r="R23" s="16">
        <f>_xll.BDH("WMT US Equity","PRETAX_INC","FQ4 2020","FQ4 2020","Currency=USD","Period=FQ","BEST_FPERIOD_OVERRIDE=FQ","FILING_STATUS=MR","SCALING_FORMAT=MLN","FA_ADJUSTED=GAAP","Sort=A","Dates=H","DateFormat=P","Fill=—","Direction=H","UseDPDF=Y")</f>
        <v>5673</v>
      </c>
      <c r="S23" s="16">
        <f>_xll.BDH("WMT US Equity","PRETAX_INC","FQ1 2021","FQ1 2021","Currency=USD","Period=FQ","BEST_FPERIOD_OVERRIDE=FQ","FILING_STATUS=MR","SCALING_FORMAT=MLN","FA_ADJUSTED=GAAP","Sort=A","Dates=H","DateFormat=P","Fill=—","Direction=H","UseDPDF=Y")</f>
        <v>5396</v>
      </c>
      <c r="T23" s="16">
        <f>_xll.BDH("WMT US Equity","PRETAX_INC","FQ2 2021","FQ2 2021","Currency=USD","Period=FQ","BEST_FPERIOD_OVERRIDE=FQ","FILING_STATUS=MR","SCALING_FORMAT=MLN","FA_ADJUSTED=GAAP","Sort=A","Dates=H","DateFormat=P","Fill=—","Direction=H","UseDPDF=Y")</f>
        <v>8646</v>
      </c>
      <c r="U23" s="16">
        <f>_xll.BDH("WMT US Equity","PRETAX_INC","FQ3 2021","FQ3 2021","Currency=USD","Period=FQ","BEST_FPERIOD_OVERRIDE=FQ","FILING_STATUS=MR","SCALING_FORMAT=MLN","FA_ADJUSTED=GAAP","Sort=A","Dates=H","DateFormat=P","Fill=—","Direction=H","UseDPDF=Y")</f>
        <v>7115</v>
      </c>
      <c r="V23" s="16">
        <f>_xll.BDH("WMT US Equity","PRETAX_INC","FQ4 2021","FQ4 2021","Currency=USD","Period=FQ","BEST_FPERIOD_OVERRIDE=FQ","FILING_STATUS=MR","SCALING_FORMAT=MLN","FA_ADJUSTED=GAAP","Sort=A","Dates=H","DateFormat=P","Fill=—","Direction=H","UseDPDF=Y")</f>
        <v>-593</v>
      </c>
      <c r="W23" s="16">
        <f>_xll.BDH("WMT US Equity","PRETAX_INC","FQ1 2022","FQ1 2022","Currency=USD","Period=FQ","BEST_FPERIOD_OVERRIDE=FQ","FILING_STATUS=MR","SCALING_FORMAT=MLN","FA_ADJUSTED=GAAP","Sort=A","Dates=H","DateFormat=P","Fill=—","Direction=H","UseDPDF=Y")</f>
        <v>3844</v>
      </c>
      <c r="X23" s="16">
        <f>_xll.BDH("WMT US Equity","PRETAX_INC","FQ2 2022","FQ2 2022","Currency=USD","Period=FQ","BEST_FPERIOD_OVERRIDE=FQ","FILING_STATUS=MR","SCALING_FORMAT=MLN","FA_ADJUSTED=GAAP","Sort=A","Dates=H","DateFormat=P","Fill=—","Direction=H","UseDPDF=Y")</f>
        <v>5923</v>
      </c>
      <c r="Y23" s="16">
        <f>_xll.BDH("WMT US Equity","PRETAX_INC","FQ3 2022","FQ3 2022","Currency=USD","Period=FQ","BEST_FPERIOD_OVERRIDE=FQ","FILING_STATUS=MR","SCALING_FORMAT=MLN","FA_ADJUSTED=GAAP","Sort=A","Dates=H","DateFormat=P","Fill=—","Direction=H","UseDPDF=Y")</f>
        <v>4147</v>
      </c>
      <c r="Z23" s="16">
        <f>_xll.BDH("WMT US Equity","PRETAX_INC","FQ4 2022","FQ4 2022","Currency=USD","Period=FQ","BEST_FPERIOD_OVERRIDE=FQ","FILING_STATUS=MR","SCALING_FORMAT=MLN","FA_ADJUSTED=GAAP","Sort=A","Dates=H","DateFormat=P","Fill=—","Direction=H","UseDPDF=Y")</f>
        <v>4782</v>
      </c>
      <c r="AA23" s="16">
        <f>_xll.BDH("WMT US Equity","PRETAX_INC","FQ1 2023","FQ1 2023","Currency=USD","Period=FQ","BEST_FPERIOD_OVERRIDE=FQ","FILING_STATUS=MR","SCALING_FORMAT=MLN","FA_ADJUSTED=GAAP","Sort=A","Dates=H","DateFormat=P","Fill=—","Direction=H","UseDPDF=Y")</f>
        <v>2901</v>
      </c>
      <c r="AB23" s="16">
        <f>_xll.BDH("WMT US Equity","PRETAX_INC","FQ2 2023","FQ2 2023","Currency=USD","Period=FQ","BEST_FPERIOD_OVERRIDE=FQ","FILING_STATUS=MR","SCALING_FORMAT=MLN","FA_ADJUSTED=GAAP","Sort=A","Dates=H","DateFormat=P","Fill=—","Direction=H","UseDPDF=Y")</f>
        <v>6644</v>
      </c>
      <c r="AC23" s="16">
        <f>_xll.BDH("WMT US Equity","PRETAX_INC","FQ3 2023","FQ3 2023","Currency=USD","Period=FQ","BEST_FPERIOD_OVERRIDE=FQ","FILING_STATUS=MR","SCALING_FORMAT=MLN","FA_ADJUSTED=GAAP","Sort=A","Dates=H","DateFormat=P","Fill=—","Direction=H","UseDPDF=Y")</f>
        <v>-1431</v>
      </c>
      <c r="AD23" s="16">
        <f>_xll.BDH("WMT US Equity","PRETAX_INC","FQ4 2023","FQ4 2023","Currency=USD","Period=FQ","BEST_FPERIOD_OVERRIDE=FQ","FILING_STATUS=MR","SCALING_FORMAT=MLN","FA_ADJUSTED=GAAP","Sort=A","Dates=H","DateFormat=P","Fill=—","Direction=H","UseDPDF=Y")</f>
        <v>8902</v>
      </c>
      <c r="AE23" s="16">
        <f>_xll.BDH("WMT US Equity","PRETAX_INC","FQ1 2024","FQ1 2024","Currency=USD","Period=FQ","BEST_FPERIOD_OVERRIDE=FQ","FILING_STATUS=MR","SCALING_FORMAT=MLN","FA_ADJUSTED=GAAP","Sort=A","Dates=H","DateFormat=P","Fill=—","Direction=H","UseDPDF=Y")</f>
        <v>2688</v>
      </c>
      <c r="AF23" s="16">
        <f>_xll.BDH("WMT US Equity","PRETAX_INC","FQ2 2024","FQ2 2024","Currency=USD","Period=FQ","BEST_FPERIOD_OVERRIDE=FQ","FILING_STATUS=MR","SCALING_FORMAT=MLN","FA_ADJUSTED=GAAP","Sort=A","Dates=H","DateFormat=P","Fill=—","Direction=H","UseDPDF=Y")</f>
        <v>10727</v>
      </c>
      <c r="AG23" s="16">
        <f>_xll.BDH("WMT US Equity","PRETAX_INC","FQ3 2024","FQ3 2024","Currency=USD","Period=FQ","BEST_FPERIOD_OVERRIDE=FQ","FILING_STATUS=MR","SCALING_FORMAT=MLN","FA_ADJUSTED=GAAP","Sort=A","Dates=H","DateFormat=P","Fill=—","Direction=H","UseDPDF=Y")</f>
        <v>915</v>
      </c>
      <c r="AH23" s="16">
        <f>_xll.BDH("WMT US Equity","PRETAX_INC","FQ4 2024","FQ4 2024","Currency=USD","Period=FQ","BEST_FPERIOD_OVERRIDE=FQ","FILING_STATUS=MR","SCALING_FORMAT=MLN","FA_ADJUSTED=GAAP","Sort=A","Dates=H","DateFormat=P","Fill=—","Direction=H","UseDPDF=Y")</f>
        <v>7518</v>
      </c>
      <c r="AI23" s="16">
        <f>_xll.BDH("WMT US Equity","PRETAX_INC","FQ1 2025","FQ1 2025","Currency=USD","Period=FQ","BEST_FPERIOD_OVERRIDE=FQ","FILING_STATUS=MR","SCALING_FORMAT=MLN","FA_ADJUSTED=GAAP","Sort=A","Dates=H","DateFormat=P","Fill=—","Direction=H","UseDPDF=Y")</f>
        <v>7035</v>
      </c>
      <c r="AJ23" s="16">
        <f>_xll.BDH("WMT US Equity","PRETAX_INC","FQ2 2025","FQ2 2025","Currency=USD","Period=FQ","BEST_FPERIOD_OVERRIDE=FQ","FILING_STATUS=MR","SCALING_FORMAT=MLN","FA_ADJUSTED=GAAP","Sort=A","Dates=H","DateFormat=P","Fill=—","Direction=H","UseDPDF=Y")</f>
        <v>6213</v>
      </c>
      <c r="AK23" s="16">
        <f>_xll.BDH("WMT US Equity","PRETAX_INC","FQ3 2025","FQ3 2025","Currency=USD","Period=FQ","BEST_FPERIOD_OVERRIDE=FQ","FILING_STATUS=MR","SCALING_FORMAT=MLN","FA_ADJUSTED=GAAP","Sort=A","Dates=H","DateFormat=P","Fill=—","Direction=H","UseDPDF=Y")</f>
        <v>6098</v>
      </c>
      <c r="AL23" s="16">
        <f>_xll.BDH("WMT US Equity","PRETAX_INC","FQ4 2025","FQ4 2025","Currency=USD","Period=FQ","BEST_FPERIOD_OVERRIDE=FQ","FILING_STATUS=MR","SCALING_FORMAT=MLN","FA_ADJUSTED=GAAP","Sort=A","Dates=H","DateFormat=P","Fill=—","Direction=H","UseDPDF=Y")</f>
        <v>6963</v>
      </c>
      <c r="AM23" s="16">
        <f>_xll.BDH("WMT US Equity","PRETAX_INC","FQ1 2026","FQ1 2026","Currency=USD","Period=FQ","BEST_FPERIOD_OVERRIDE=FQ","FILING_STATUS=MR","SCALING_FORMAT=MLN","FA_ADJUSTED=GAAP","Sort=A","Dates=H","DateFormat=P","Fill=—","Direction=H","UseDPDF=Y")</f>
        <v>5994</v>
      </c>
      <c r="AN23" s="16">
        <f>_xll.BDH("WMT US Equity","PRETAX_INC","FQ2 2026","FQ2 2026","Currency=USD","Period=FQ","BEST_FPERIOD_OVERRIDE=FQ","FILING_STATUS=MR","SCALING_FORMAT=MLN","FA_ADJUSTED=GAAP","Sort=A","Dates=H","DateFormat=P","Fill=—","Direction=H","UseDPDF=Y")</f>
        <v>9319</v>
      </c>
      <c r="AO23" s="16">
        <v>6501.0429999999997</v>
      </c>
      <c r="AP23" s="16">
        <v>7881.826</v>
      </c>
    </row>
    <row r="24" spans="1:42" x14ac:dyDescent="0.3">
      <c r="A24" s="10" t="s">
        <v>184</v>
      </c>
      <c r="B24" s="10" t="s">
        <v>107</v>
      </c>
      <c r="C24" s="13">
        <f>_xll.BDH("WMT US Equity","IS_INC_TAX_EXP","FQ1 2017","FQ1 2017","Currency=USD","Period=FQ","BEST_FPERIOD_OVERRIDE=FQ","FILING_STATUS=MR","SCALING_FORMAT=MLN","FA_ADJUSTED=GAAP","Sort=A","Dates=H","DateFormat=P","Fill=—","Direction=H","UseDPDF=Y")</f>
        <v>1498</v>
      </c>
      <c r="D24" s="13">
        <f>_xll.BDH("WMT US Equity","IS_INC_TAX_EXP","FQ2 2017","FQ2 2017","Currency=USD","Period=FQ","BEST_FPERIOD_OVERRIDE=FQ","FILING_STATUS=MR","SCALING_FORMAT=MLN","FA_ADJUSTED=GAAP","Sort=A","Dates=H","DateFormat=P","Fill=—","Direction=H","UseDPDF=Y")</f>
        <v>1710</v>
      </c>
      <c r="E24" s="13">
        <f>_xll.BDH("WMT US Equity","IS_INC_TAX_EXP","FQ3 2017","FQ3 2017","Currency=USD","Period=FQ","BEST_FPERIOD_OVERRIDE=FQ","FILING_STATUS=MR","SCALING_FORMAT=MLN","FA_ADJUSTED=GAAP","Sort=A","Dates=H","DateFormat=P","Fill=—","Direction=H","UseDPDF=Y")</f>
        <v>1332</v>
      </c>
      <c r="F24" s="13">
        <f>_xll.BDH("WMT US Equity","IS_INC_TAX_EXP","FQ4 2017","FQ4 2017","Currency=USD","Period=FQ","BEST_FPERIOD_OVERRIDE=FQ","FILING_STATUS=MR","SCALING_FORMAT=MLN","FA_ADJUSTED=GAAP","Sort=A","Dates=H","DateFormat=P","Fill=—","Direction=H","UseDPDF=Y")</f>
        <v>1664</v>
      </c>
      <c r="G24" s="13">
        <f>_xll.BDH("WMT US Equity","IS_INC_TAX_EXP","FQ1 2018","FQ1 2018","Currency=USD","Period=FQ","BEST_FPERIOD_OVERRIDE=FQ","FILING_STATUS=MR","SCALING_FORMAT=MLN","FA_ADJUSTED=GAAP","Sort=A","Dates=H","DateFormat=P","Fill=—","Direction=H","UseDPDF=Y")</f>
        <v>1522</v>
      </c>
      <c r="H24" s="13">
        <f>_xll.BDH("WMT US Equity","IS_INC_TAX_EXP","FQ2 2018","FQ2 2018","Currency=USD","Period=FQ","BEST_FPERIOD_OVERRIDE=FQ","FILING_STATUS=MR","SCALING_FORMAT=MLN","FA_ADJUSTED=GAAP","Sort=A","Dates=H","DateFormat=P","Fill=—","Direction=H","UseDPDF=Y")</f>
        <v>1502</v>
      </c>
      <c r="I24" s="13">
        <f>_xll.BDH("WMT US Equity","IS_INC_TAX_EXP","FQ3 2018","FQ3 2018","Currency=USD","Period=FQ","BEST_FPERIOD_OVERRIDE=FQ","FILING_STATUS=MR","SCALING_FORMAT=MLN","FA_ADJUSTED=GAAP","Sort=A","Dates=H","DateFormat=P","Fill=—","Direction=H","UseDPDF=Y")</f>
        <v>975</v>
      </c>
      <c r="J24" s="13">
        <f>_xll.BDH("WMT US Equity","IS_INC_TAX_EXP","FQ4 2018","FQ4 2018","Currency=USD","Period=FQ","BEST_FPERIOD_OVERRIDE=FQ","FILING_STATUS=MR","SCALING_FORMAT=MLN","FA_ADJUSTED=GAAP","Sort=A","Dates=H","DateFormat=P","Fill=—","Direction=H","UseDPDF=Y")</f>
        <v>601</v>
      </c>
      <c r="K24" s="13">
        <f>_xll.BDH("WMT US Equity","IS_INC_TAX_EXP","FQ1 2019","FQ1 2019","Currency=USD","Period=FQ","BEST_FPERIOD_OVERRIDE=FQ","FILING_STATUS=MR","SCALING_FORMAT=MLN","FA_ADJUSTED=GAAP","Sort=A","Dates=H","DateFormat=P","Fill=—","Direction=H","UseDPDF=Y")</f>
        <v>546</v>
      </c>
      <c r="L24" s="13">
        <f>_xll.BDH("WMT US Equity","IS_INC_TAX_EXP","FQ2 2019","FQ2 2019","Currency=USD","Period=FQ","BEST_FPERIOD_OVERRIDE=FQ","FILING_STATUS=MR","SCALING_FORMAT=MLN","FA_ADJUSTED=GAAP","Sort=A","Dates=H","DateFormat=P","Fill=—","Direction=H","UseDPDF=Y")</f>
        <v>1125</v>
      </c>
      <c r="M24" s="13">
        <f>_xll.BDH("WMT US Equity","IS_INC_TAX_EXP","FQ3 2019","FQ3 2019","Currency=USD","Period=FQ","BEST_FPERIOD_OVERRIDE=FQ","FILING_STATUS=MR","SCALING_FORMAT=MLN","FA_ADJUSTED=GAAP","Sort=A","Dates=H","DateFormat=P","Fill=—","Direction=H","UseDPDF=Y")</f>
        <v>759</v>
      </c>
      <c r="N24" s="13">
        <f>_xll.BDH("WMT US Equity","IS_INC_TAX_EXP","FQ4 2019","FQ4 2019","Currency=USD","Period=FQ","BEST_FPERIOD_OVERRIDE=FQ","FILING_STATUS=MR","SCALING_FORMAT=MLN","FA_ADJUSTED=GAAP","Sort=A","Dates=H","DateFormat=P","Fill=—","Direction=H","UseDPDF=Y")</f>
        <v>1851</v>
      </c>
      <c r="O24" s="13">
        <f>_xll.BDH("WMT US Equity","IS_INC_TAX_EXP","FQ1 2020","FQ1 2020","Currency=USD","Period=FQ","BEST_FPERIOD_OVERRIDE=FQ","FILING_STATUS=MR","SCALING_FORMAT=MLN","FA_ADJUSTED=GAAP","Sort=A","Dates=H","DateFormat=P","Fill=—","Direction=H","UseDPDF=Y")</f>
        <v>1251</v>
      </c>
      <c r="P24" s="13">
        <f>_xll.BDH("WMT US Equity","IS_INC_TAX_EXP","FQ2 2020","FQ2 2020","Currency=USD","Period=FQ","BEST_FPERIOD_OVERRIDE=FQ","FILING_STATUS=MR","SCALING_FORMAT=MLN","FA_ADJUSTED=GAAP","Sort=A","Dates=H","DateFormat=P","Fill=—","Direction=H","UseDPDF=Y")</f>
        <v>1233</v>
      </c>
      <c r="Q24" s="13">
        <f>_xll.BDH("WMT US Equity","IS_INC_TAX_EXP","FQ3 2020","FQ3 2020","Currency=USD","Period=FQ","BEST_FPERIOD_OVERRIDE=FQ","FILING_STATUS=MR","SCALING_FORMAT=MLN","FA_ADJUSTED=GAAP","Sort=A","Dates=H","DateFormat=P","Fill=—","Direction=H","UseDPDF=Y")</f>
        <v>1052</v>
      </c>
      <c r="R24" s="13">
        <f>_xll.BDH("WMT US Equity","IS_INC_TAX_EXP","FQ4 2020","FQ4 2020","Currency=USD","Period=FQ","BEST_FPERIOD_OVERRIDE=FQ","FILING_STATUS=MR","SCALING_FORMAT=MLN","FA_ADJUSTED=GAAP","Sort=A","Dates=H","DateFormat=P","Fill=—","Direction=H","UseDPDF=Y")</f>
        <v>1379</v>
      </c>
      <c r="S24" s="13">
        <f>_xll.BDH("WMT US Equity","IS_INC_TAX_EXP","FQ1 2021","FQ1 2021","Currency=USD","Period=FQ","BEST_FPERIOD_OVERRIDE=FQ","FILING_STATUS=MR","SCALING_FORMAT=MLN","FA_ADJUSTED=GAAP","Sort=A","Dates=H","DateFormat=P","Fill=—","Direction=H","UseDPDF=Y")</f>
        <v>1322</v>
      </c>
      <c r="T24" s="13">
        <f>_xll.BDH("WMT US Equity","IS_INC_TAX_EXP","FQ2 2021","FQ2 2021","Currency=USD","Period=FQ","BEST_FPERIOD_OVERRIDE=FQ","FILING_STATUS=MR","SCALING_FORMAT=MLN","FA_ADJUSTED=GAAP","Sort=A","Dates=H","DateFormat=P","Fill=—","Direction=H","UseDPDF=Y")</f>
        <v>2207</v>
      </c>
      <c r="U24" s="13">
        <f>_xll.BDH("WMT US Equity","IS_INC_TAX_EXP","FQ3 2021","FQ3 2021","Currency=USD","Period=FQ","BEST_FPERIOD_OVERRIDE=FQ","FILING_STATUS=MR","SCALING_FORMAT=MLN","FA_ADJUSTED=GAAP","Sort=A","Dates=H","DateFormat=P","Fill=—","Direction=H","UseDPDF=Y")</f>
        <v>1914</v>
      </c>
      <c r="V24" s="13">
        <f>_xll.BDH("WMT US Equity","IS_INC_TAX_EXP","FQ4 2021","FQ4 2021","Currency=USD","Period=FQ","BEST_FPERIOD_OVERRIDE=FQ","FILING_STATUS=MR","SCALING_FORMAT=MLN","FA_ADJUSTED=GAAP","Sort=A","Dates=H","DateFormat=P","Fill=—","Direction=H","UseDPDF=Y")</f>
        <v>1415</v>
      </c>
      <c r="W24" s="13">
        <f>_xll.BDH("WMT US Equity","IS_INC_TAX_EXP","FQ1 2022","FQ1 2022","Currency=USD","Period=FQ","BEST_FPERIOD_OVERRIDE=FQ","FILING_STATUS=MR","SCALING_FORMAT=MLN","FA_ADJUSTED=GAAP","Sort=A","Dates=H","DateFormat=P","Fill=—","Direction=H","UseDPDF=Y")</f>
        <v>1033</v>
      </c>
      <c r="X24" s="13">
        <f>_xll.BDH("WMT US Equity","IS_INC_TAX_EXP","FQ2 2022","FQ2 2022","Currency=USD","Period=FQ","BEST_FPERIOD_OVERRIDE=FQ","FILING_STATUS=MR","SCALING_FORMAT=MLN","FA_ADJUSTED=GAAP","Sort=A","Dates=H","DateFormat=P","Fill=—","Direction=H","UseDPDF=Y")</f>
        <v>1559</v>
      </c>
      <c r="Y24" s="13">
        <f>_xll.BDH("WMT US Equity","IS_INC_TAX_EXP","FQ3 2022","FQ3 2022","Currency=USD","Period=FQ","BEST_FPERIOD_OVERRIDE=FQ","FILING_STATUS=MR","SCALING_FORMAT=MLN","FA_ADJUSTED=GAAP","Sort=A","Dates=H","DateFormat=P","Fill=—","Direction=H","UseDPDF=Y")</f>
        <v>1015</v>
      </c>
      <c r="Z24" s="13">
        <f>_xll.BDH("WMT US Equity","IS_INC_TAX_EXP","FQ4 2022","FQ4 2022","Currency=USD","Period=FQ","BEST_FPERIOD_OVERRIDE=FQ","FILING_STATUS=MR","SCALING_FORMAT=MLN","FA_ADJUSTED=GAAP","Sort=A","Dates=H","DateFormat=P","Fill=—","Direction=H","UseDPDF=Y")</f>
        <v>1149</v>
      </c>
      <c r="AA24" s="13">
        <f>_xll.BDH("WMT US Equity","IS_INC_TAX_EXP","FQ1 2023","FQ1 2023","Currency=USD","Period=FQ","BEST_FPERIOD_OVERRIDE=FQ","FILING_STATUS=MR","SCALING_FORMAT=MLN","FA_ADJUSTED=GAAP","Sort=A","Dates=H","DateFormat=P","Fill=—","Direction=H","UseDPDF=Y")</f>
        <v>798</v>
      </c>
      <c r="AB24" s="13">
        <f>_xll.BDH("WMT US Equity","IS_INC_TAX_EXP","FQ2 2023","FQ2 2023","Currency=USD","Period=FQ","BEST_FPERIOD_OVERRIDE=FQ","FILING_STATUS=MR","SCALING_FORMAT=MLN","FA_ADJUSTED=GAAP","Sort=A","Dates=H","DateFormat=P","Fill=—","Direction=H","UseDPDF=Y")</f>
        <v>1497</v>
      </c>
      <c r="AC24" s="13">
        <f>_xll.BDH("WMT US Equity","IS_INC_TAX_EXP","FQ3 2023","FQ3 2023","Currency=USD","Period=FQ","BEST_FPERIOD_OVERRIDE=FQ","FILING_STATUS=MR","SCALING_FORMAT=MLN","FA_ADJUSTED=GAAP","Sort=A","Dates=H","DateFormat=P","Fill=—","Direction=H","UseDPDF=Y")</f>
        <v>336</v>
      </c>
      <c r="AD24" s="13">
        <f>_xll.BDH("WMT US Equity","IS_INC_TAX_EXP","FQ4 2023","FQ4 2023","Currency=USD","Period=FQ","BEST_FPERIOD_OVERRIDE=FQ","FILING_STATUS=MR","SCALING_FORMAT=MLN","FA_ADJUSTED=GAAP","Sort=A","Dates=H","DateFormat=P","Fill=—","Direction=H","UseDPDF=Y")</f>
        <v>3093</v>
      </c>
      <c r="AE24" s="13">
        <f>_xll.BDH("WMT US Equity","IS_INC_TAX_EXP","FQ1 2024","FQ1 2024","Currency=USD","Period=FQ","BEST_FPERIOD_OVERRIDE=FQ","FILING_STATUS=MR","SCALING_FORMAT=MLN","FA_ADJUSTED=GAAP","Sort=A","Dates=H","DateFormat=P","Fill=—","Direction=H","UseDPDF=Y")</f>
        <v>792</v>
      </c>
      <c r="AF24" s="13">
        <f>_xll.BDH("WMT US Equity","IS_INC_TAX_EXP","FQ2 2024","FQ2 2024","Currency=USD","Period=FQ","BEST_FPERIOD_OVERRIDE=FQ","FILING_STATUS=MR","SCALING_FORMAT=MLN","FA_ADJUSTED=GAAP","Sort=A","Dates=H","DateFormat=P","Fill=—","Direction=H","UseDPDF=Y")</f>
        <v>2674</v>
      </c>
      <c r="AG24" s="13">
        <f>_xll.BDH("WMT US Equity","IS_INC_TAX_EXP","FQ3 2024","FQ3 2024","Currency=USD","Period=FQ","BEST_FPERIOD_OVERRIDE=FQ","FILING_STATUS=MR","SCALING_FORMAT=MLN","FA_ADJUSTED=GAAP","Sort=A","Dates=H","DateFormat=P","Fill=—","Direction=H","UseDPDF=Y")</f>
        <v>272</v>
      </c>
      <c r="AH24" s="13">
        <f>_xll.BDH("WMT US Equity","IS_INC_TAX_EXP","FQ4 2024","FQ4 2024","Currency=USD","Period=FQ","BEST_FPERIOD_OVERRIDE=FQ","FILING_STATUS=MR","SCALING_FORMAT=MLN","FA_ADJUSTED=GAAP","Sort=A","Dates=H","DateFormat=P","Fill=—","Direction=H","UseDPDF=Y")</f>
        <v>1840</v>
      </c>
      <c r="AI24" s="13">
        <f>_xll.BDH("WMT US Equity","IS_INC_TAX_EXP","FQ1 2025","FQ1 2025","Currency=USD","Period=FQ","BEST_FPERIOD_OVERRIDE=FQ","FILING_STATUS=MR","SCALING_FORMAT=MLN","FA_ADJUSTED=GAAP","Sort=A","Dates=H","DateFormat=P","Fill=—","Direction=H","UseDPDF=Y")</f>
        <v>1728</v>
      </c>
      <c r="AJ24" s="13">
        <f>_xll.BDH("WMT US Equity","IS_INC_TAX_EXP","FQ2 2025","FQ2 2025","Currency=USD","Period=FQ","BEST_FPERIOD_OVERRIDE=FQ","FILING_STATUS=MR","SCALING_FORMAT=MLN","FA_ADJUSTED=GAAP","Sort=A","Dates=H","DateFormat=P","Fill=—","Direction=H","UseDPDF=Y")</f>
        <v>1502</v>
      </c>
      <c r="AK24" s="13">
        <f>_xll.BDH("WMT US Equity","IS_INC_TAX_EXP","FQ3 2025","FQ3 2025","Currency=USD","Period=FQ","BEST_FPERIOD_OVERRIDE=FQ","FILING_STATUS=MR","SCALING_FORMAT=MLN","FA_ADJUSTED=GAAP","Sort=A","Dates=H","DateFormat=P","Fill=—","Direction=H","UseDPDF=Y")</f>
        <v>1384</v>
      </c>
      <c r="AL24" s="13">
        <f>_xll.BDH("WMT US Equity","IS_INC_TAX_EXP","FQ4 2025","FQ4 2025","Currency=USD","Period=FQ","BEST_FPERIOD_OVERRIDE=FQ","FILING_STATUS=MR","SCALING_FORMAT=MLN","FA_ADJUSTED=GAAP","Sort=A","Dates=H","DateFormat=P","Fill=—","Direction=H","UseDPDF=Y")</f>
        <v>1538</v>
      </c>
      <c r="AM24" s="13">
        <f>_xll.BDH("WMT US Equity","IS_INC_TAX_EXP","FQ1 2026","FQ1 2026","Currency=USD","Period=FQ","BEST_FPERIOD_OVERRIDE=FQ","FILING_STATUS=MR","SCALING_FORMAT=MLN","FA_ADJUSTED=GAAP","Sort=A","Dates=H","DateFormat=P","Fill=—","Direction=H","UseDPDF=Y")</f>
        <v>1355</v>
      </c>
      <c r="AN24" s="13">
        <f>_xll.BDH("WMT US Equity","IS_INC_TAX_EXP","FQ2 2026","FQ2 2026","Currency=USD","Period=FQ","BEST_FPERIOD_OVERRIDE=FQ","FILING_STATUS=MR","SCALING_FORMAT=MLN","FA_ADJUSTED=GAAP","Sort=A","Dates=H","DateFormat=P","Fill=—","Direction=H","UseDPDF=Y")</f>
        <v>2168</v>
      </c>
      <c r="AO24" s="13"/>
      <c r="AP24" s="13"/>
    </row>
    <row r="25" spans="1:42" x14ac:dyDescent="0.3">
      <c r="A25" s="6" t="s">
        <v>108</v>
      </c>
      <c r="B25" s="6" t="s">
        <v>109</v>
      </c>
      <c r="C25" s="16">
        <f>_xll.BDH("WMT US Equity","IS_INC_BEF_XO_ITEM","FQ1 2017","FQ1 2017","Currency=USD","Period=FQ","BEST_FPERIOD_OVERRIDE=FQ","FILING_STATUS=MR","SCALING_FORMAT=MLN","Sort=A","Dates=H","DateFormat=P","Fill=—","Direction=H","UseDPDF=Y")</f>
        <v>3216</v>
      </c>
      <c r="D25" s="16">
        <f>_xll.BDH("WMT US Equity","IS_INC_BEF_XO_ITEM","FQ2 2017","FQ2 2017","Currency=USD","Period=FQ","BEST_FPERIOD_OVERRIDE=FQ","FILING_STATUS=MR","SCALING_FORMAT=MLN","Sort=A","Dates=H","DateFormat=P","Fill=—","Direction=H","UseDPDF=Y")</f>
        <v>3889</v>
      </c>
      <c r="E25" s="16">
        <f>_xll.BDH("WMT US Equity","IS_INC_BEF_XO_ITEM","FQ3 2017","FQ3 2017","Currency=USD","Period=FQ","BEST_FPERIOD_OVERRIDE=FQ","FILING_STATUS=MR","SCALING_FORMAT=MLN","Sort=A","Dates=H","DateFormat=P","Fill=—","Direction=H","UseDPDF=Y")</f>
        <v>3202</v>
      </c>
      <c r="F25" s="16">
        <f>_xll.BDH("WMT US Equity","IS_INC_BEF_XO_ITEM","FQ4 2017","FQ4 2017","Currency=USD","Period=FQ","BEST_FPERIOD_OVERRIDE=FQ","FILING_STATUS=MR","SCALING_FORMAT=MLN","Sort=A","Dates=H","DateFormat=P","Fill=—","Direction=H","UseDPDF=Y")</f>
        <v>3986</v>
      </c>
      <c r="G25" s="16">
        <f>_xll.BDH("WMT US Equity","IS_INC_BEF_XO_ITEM","FQ1 2018","FQ1 2018","Currency=USD","Period=FQ","BEST_FPERIOD_OVERRIDE=FQ","FILING_STATUS=MR","SCALING_FORMAT=MLN","Sort=A","Dates=H","DateFormat=P","Fill=—","Direction=H","UseDPDF=Y")</f>
        <v>3152</v>
      </c>
      <c r="H25" s="16">
        <f>_xll.BDH("WMT US Equity","IS_INC_BEF_XO_ITEM","FQ2 2018","FQ2 2018","Currency=USD","Period=FQ","BEST_FPERIOD_OVERRIDE=FQ","FILING_STATUS=MR","SCALING_FORMAT=MLN","Sort=A","Dates=H","DateFormat=P","Fill=—","Direction=H","UseDPDF=Y")</f>
        <v>3104</v>
      </c>
      <c r="I25" s="16">
        <f>_xll.BDH("WMT US Equity","IS_INC_BEF_XO_ITEM","FQ3 2018","FQ3 2018","Currency=USD","Period=FQ","BEST_FPERIOD_OVERRIDE=FQ","FILING_STATUS=MR","SCALING_FORMAT=MLN","Sort=A","Dates=H","DateFormat=P","Fill=—","Direction=H","UseDPDF=Y")</f>
        <v>1904</v>
      </c>
      <c r="J25" s="16">
        <f>_xll.BDH("WMT US Equity","IS_INC_BEF_XO_ITEM","FQ4 2018","FQ4 2018","Currency=USD","Period=FQ","BEST_FPERIOD_OVERRIDE=FQ","FILING_STATUS=MR","SCALING_FORMAT=MLN","Sort=A","Dates=H","DateFormat=P","Fill=—","Direction=H","UseDPDF=Y")</f>
        <v>2363</v>
      </c>
      <c r="K25" s="16">
        <f>_xll.BDH("WMT US Equity","IS_INC_BEF_XO_ITEM","FQ1 2019","FQ1 2019","Currency=USD","Period=FQ","BEST_FPERIOD_OVERRIDE=FQ","FILING_STATUS=MR","SCALING_FORMAT=MLN","Sort=A","Dates=H","DateFormat=P","Fill=—","Direction=H","UseDPDF=Y")</f>
        <v>2276</v>
      </c>
      <c r="L25" s="16">
        <f>_xll.BDH("WMT US Equity","IS_INC_BEF_XO_ITEM","FQ2 2019","FQ2 2019","Currency=USD","Period=FQ","BEST_FPERIOD_OVERRIDE=FQ","FILING_STATUS=MR","SCALING_FORMAT=MLN","Sort=A","Dates=H","DateFormat=P","Fill=—","Direction=H","UseDPDF=Y")</f>
        <v>-727</v>
      </c>
      <c r="M25" s="16">
        <f>_xll.BDH("WMT US Equity","IS_INC_BEF_XO_ITEM","FQ3 2019","FQ3 2019","Currency=USD","Period=FQ","BEST_FPERIOD_OVERRIDE=FQ","FILING_STATUS=MR","SCALING_FORMAT=MLN","Sort=A","Dates=H","DateFormat=P","Fill=—","Direction=H","UseDPDF=Y")</f>
        <v>1817</v>
      </c>
      <c r="N25" s="16">
        <f>_xll.BDH("WMT US Equity","IS_INC_BEF_XO_ITEM","FQ4 2019","FQ4 2019","Currency=USD","Period=FQ","BEST_FPERIOD_OVERRIDE=FQ","FILING_STATUS=MR","SCALING_FORMAT=MLN","Sort=A","Dates=H","DateFormat=P","Fill=—","Direction=H","UseDPDF=Y")</f>
        <v>3813</v>
      </c>
      <c r="O25" s="16">
        <f>_xll.BDH("WMT US Equity","IS_INC_BEF_XO_ITEM","FQ1 2020","FQ1 2020","Currency=USD","Period=FQ","BEST_FPERIOD_OVERRIDE=FQ","FILING_STATUS=MR","SCALING_FORMAT=MLN","Sort=A","Dates=H","DateFormat=P","Fill=—","Direction=H","UseDPDF=Y")</f>
        <v>3906</v>
      </c>
      <c r="P25" s="16">
        <f>_xll.BDH("WMT US Equity","IS_INC_BEF_XO_ITEM","FQ2 2020","FQ2 2020","Currency=USD","Period=FQ","BEST_FPERIOD_OVERRIDE=FQ","FILING_STATUS=MR","SCALING_FORMAT=MLN","Sort=A","Dates=H","DateFormat=P","Fill=—","Direction=H","UseDPDF=Y")</f>
        <v>3680</v>
      </c>
      <c r="Q25" s="16">
        <f>_xll.BDH("WMT US Equity","IS_INC_BEF_XO_ITEM","FQ3 2020","FQ3 2020","Currency=USD","Period=FQ","BEST_FPERIOD_OVERRIDE=FQ","FILING_STATUS=MR","SCALING_FORMAT=MLN","Sort=A","Dates=H","DateFormat=P","Fill=—","Direction=H","UseDPDF=Y")</f>
        <v>3321</v>
      </c>
      <c r="R25" s="16">
        <f>_xll.BDH("WMT US Equity","IS_INC_BEF_XO_ITEM","FQ4 2020","FQ4 2020","Currency=USD","Period=FQ","BEST_FPERIOD_OVERRIDE=FQ","FILING_STATUS=MR","SCALING_FORMAT=MLN","Sort=A","Dates=H","DateFormat=P","Fill=—","Direction=H","UseDPDF=Y")</f>
        <v>4294</v>
      </c>
      <c r="S25" s="16">
        <f>_xll.BDH("WMT US Equity","IS_INC_BEF_XO_ITEM","FQ1 2021","FQ1 2021","Currency=USD","Period=FQ","BEST_FPERIOD_OVERRIDE=FQ","FILING_STATUS=MR","SCALING_FORMAT=MLN","Sort=A","Dates=H","DateFormat=P","Fill=—","Direction=H","UseDPDF=Y")</f>
        <v>4074</v>
      </c>
      <c r="T25" s="16">
        <f>_xll.BDH("WMT US Equity","IS_INC_BEF_XO_ITEM","FQ2 2021","FQ2 2021","Currency=USD","Period=FQ","BEST_FPERIOD_OVERRIDE=FQ","FILING_STATUS=MR","SCALING_FORMAT=MLN","Sort=A","Dates=H","DateFormat=P","Fill=—","Direction=H","UseDPDF=Y")</f>
        <v>6439</v>
      </c>
      <c r="U25" s="16">
        <f>_xll.BDH("WMT US Equity","IS_INC_BEF_XO_ITEM","FQ3 2021","FQ3 2021","Currency=USD","Period=FQ","BEST_FPERIOD_OVERRIDE=FQ","FILING_STATUS=MR","SCALING_FORMAT=MLN","Sort=A","Dates=H","DateFormat=P","Fill=—","Direction=H","UseDPDF=Y")</f>
        <v>5201</v>
      </c>
      <c r="V25" s="16">
        <f>_xll.BDH("WMT US Equity","IS_INC_BEF_XO_ITEM","FQ4 2021","FQ4 2021","Currency=USD","Period=FQ","BEST_FPERIOD_OVERRIDE=FQ","FILING_STATUS=MR","SCALING_FORMAT=MLN","Sort=A","Dates=H","DateFormat=P","Fill=—","Direction=H","UseDPDF=Y")</f>
        <v>-2008</v>
      </c>
      <c r="W25" s="16">
        <f>_xll.BDH("WMT US Equity","IS_INC_BEF_XO_ITEM","FQ1 2022","FQ1 2022","Currency=USD","Period=FQ","BEST_FPERIOD_OVERRIDE=FQ","FILING_STATUS=MR","SCALING_FORMAT=MLN","Sort=A","Dates=H","DateFormat=P","Fill=—","Direction=H","UseDPDF=Y")</f>
        <v>2811</v>
      </c>
      <c r="X25" s="16">
        <f>_xll.BDH("WMT US Equity","IS_INC_BEF_XO_ITEM","FQ2 2022","FQ2 2022","Currency=USD","Period=FQ","BEST_FPERIOD_OVERRIDE=FQ","FILING_STATUS=MR","SCALING_FORMAT=MLN","Sort=A","Dates=H","DateFormat=P","Fill=—","Direction=H","UseDPDF=Y")</f>
        <v>4364</v>
      </c>
      <c r="Y25" s="16">
        <f>_xll.BDH("WMT US Equity","IS_INC_BEF_XO_ITEM","FQ3 2022","FQ3 2022","Currency=USD","Period=FQ","BEST_FPERIOD_OVERRIDE=FQ","FILING_STATUS=MR","SCALING_FORMAT=MLN","Sort=A","Dates=H","DateFormat=P","Fill=—","Direction=H","UseDPDF=Y")</f>
        <v>3132</v>
      </c>
      <c r="Z25" s="16">
        <f>_xll.BDH("WMT US Equity","IS_INC_BEF_XO_ITEM","FQ4 2022","FQ4 2022","Currency=USD","Period=FQ","BEST_FPERIOD_OVERRIDE=FQ","FILING_STATUS=MR","SCALING_FORMAT=MLN","Sort=A","Dates=H","DateFormat=P","Fill=—","Direction=H","UseDPDF=Y")</f>
        <v>3633</v>
      </c>
      <c r="AA25" s="16">
        <f>_xll.BDH("WMT US Equity","IS_INC_BEF_XO_ITEM","FQ1 2023","FQ1 2023","Currency=USD","Period=FQ","BEST_FPERIOD_OVERRIDE=FQ","FILING_STATUS=MR","SCALING_FORMAT=MLN","Sort=A","Dates=H","DateFormat=P","Fill=—","Direction=H","UseDPDF=Y")</f>
        <v>2103</v>
      </c>
      <c r="AB25" s="16">
        <f>_xll.BDH("WMT US Equity","IS_INC_BEF_XO_ITEM","FQ2 2023","FQ2 2023","Currency=USD","Period=FQ","BEST_FPERIOD_OVERRIDE=FQ","FILING_STATUS=MR","SCALING_FORMAT=MLN","Sort=A","Dates=H","DateFormat=P","Fill=—","Direction=H","UseDPDF=Y")</f>
        <v>5147</v>
      </c>
      <c r="AC25" s="16">
        <f>_xll.BDH("WMT US Equity","IS_INC_BEF_XO_ITEM","FQ3 2023","FQ3 2023","Currency=USD","Period=FQ","BEST_FPERIOD_OVERRIDE=FQ","FILING_STATUS=MR","SCALING_FORMAT=MLN","Sort=A","Dates=H","DateFormat=P","Fill=—","Direction=H","UseDPDF=Y")</f>
        <v>-1767</v>
      </c>
      <c r="AD25" s="16">
        <f>_xll.BDH("WMT US Equity","IS_INC_BEF_XO_ITEM","FQ4 2023","FQ4 2023","Currency=USD","Period=FQ","BEST_FPERIOD_OVERRIDE=FQ","FILING_STATUS=MR","SCALING_FORMAT=MLN","Sort=A","Dates=H","DateFormat=P","Fill=—","Direction=H","UseDPDF=Y")</f>
        <v>5809</v>
      </c>
      <c r="AE25" s="16">
        <f>_xll.BDH("WMT US Equity","IS_INC_BEF_XO_ITEM","FQ1 2024","FQ1 2024","Currency=USD","Period=FQ","BEST_FPERIOD_OVERRIDE=FQ","FILING_STATUS=MR","SCALING_FORMAT=MLN","Sort=A","Dates=H","DateFormat=P","Fill=—","Direction=H","UseDPDF=Y")</f>
        <v>1896</v>
      </c>
      <c r="AF25" s="16">
        <f>_xll.BDH("WMT US Equity","IS_INC_BEF_XO_ITEM","FQ2 2024","FQ2 2024","Currency=USD","Period=FQ","BEST_FPERIOD_OVERRIDE=FQ","FILING_STATUS=MR","SCALING_FORMAT=MLN","Sort=A","Dates=H","DateFormat=P","Fill=—","Direction=H","UseDPDF=Y")</f>
        <v>8053</v>
      </c>
      <c r="AG25" s="16">
        <f>_xll.BDH("WMT US Equity","IS_INC_BEF_XO_ITEM","FQ3 2024","FQ3 2024","Currency=USD","Period=FQ","BEST_FPERIOD_OVERRIDE=FQ","FILING_STATUS=MR","SCALING_FORMAT=MLN","Sort=A","Dates=H","DateFormat=P","Fill=—","Direction=H","UseDPDF=Y")</f>
        <v>643</v>
      </c>
      <c r="AH25" s="16">
        <f>_xll.BDH("WMT US Equity","IS_INC_BEF_XO_ITEM","FQ4 2024","FQ4 2024","Currency=USD","Period=FQ","BEST_FPERIOD_OVERRIDE=FQ","FILING_STATUS=MR","SCALING_FORMAT=MLN","Sort=A","Dates=H","DateFormat=P","Fill=—","Direction=H","UseDPDF=Y")</f>
        <v>5678</v>
      </c>
      <c r="AI25" s="16">
        <f>_xll.BDH("WMT US Equity","IS_INC_BEF_XO_ITEM","FQ1 2025","FQ1 2025","Currency=USD","Period=FQ","BEST_FPERIOD_OVERRIDE=FQ","FILING_STATUS=MR","SCALING_FORMAT=MLN","Sort=A","Dates=H","DateFormat=P","Fill=—","Direction=H","UseDPDF=Y")</f>
        <v>5307</v>
      </c>
      <c r="AJ25" s="16">
        <f>_xll.BDH("WMT US Equity","IS_INC_BEF_XO_ITEM","FQ2 2025","FQ2 2025","Currency=USD","Period=FQ","BEST_FPERIOD_OVERRIDE=FQ","FILING_STATUS=MR","SCALING_FORMAT=MLN","Sort=A","Dates=H","DateFormat=P","Fill=—","Direction=H","UseDPDF=Y")</f>
        <v>4711</v>
      </c>
      <c r="AK25" s="16">
        <f>_xll.BDH("WMT US Equity","IS_INC_BEF_XO_ITEM","FQ3 2025","FQ3 2025","Currency=USD","Period=FQ","BEST_FPERIOD_OVERRIDE=FQ","FILING_STATUS=MR","SCALING_FORMAT=MLN","Sort=A","Dates=H","DateFormat=P","Fill=—","Direction=H","UseDPDF=Y")</f>
        <v>4714</v>
      </c>
      <c r="AL25" s="16">
        <f>_xll.BDH("WMT US Equity","IS_INC_BEF_XO_ITEM","FQ4 2025","FQ4 2025","Currency=USD","Period=FQ","BEST_FPERIOD_OVERRIDE=FQ","FILING_STATUS=MR","SCALING_FORMAT=MLN","Sort=A","Dates=H","DateFormat=P","Fill=—","Direction=H","UseDPDF=Y")</f>
        <v>5425</v>
      </c>
      <c r="AM25" s="16">
        <f>_xll.BDH("WMT US Equity","IS_INC_BEF_XO_ITEM","FQ1 2026","FQ1 2026","Currency=USD","Period=FQ","BEST_FPERIOD_OVERRIDE=FQ","FILING_STATUS=MR","SCALING_FORMAT=MLN","Sort=A","Dates=H","DateFormat=P","Fill=—","Direction=H","UseDPDF=Y")</f>
        <v>4639</v>
      </c>
      <c r="AN25" s="16">
        <f>_xll.BDH("WMT US Equity","IS_INC_BEF_XO_ITEM","FQ2 2026","FQ2 2026","Currency=USD","Period=FQ","BEST_FPERIOD_OVERRIDE=FQ","FILING_STATUS=MR","SCALING_FORMAT=MLN","Sort=A","Dates=H","DateFormat=P","Fill=—","Direction=H","UseDPDF=Y")</f>
        <v>7151</v>
      </c>
      <c r="AO25" s="16">
        <v>4751.2</v>
      </c>
      <c r="AP25" s="16">
        <v>5716.1329999999998</v>
      </c>
    </row>
    <row r="26" spans="1:42" x14ac:dyDescent="0.3">
      <c r="A26" s="10" t="s">
        <v>185</v>
      </c>
      <c r="B26" s="10" t="s">
        <v>110</v>
      </c>
      <c r="C26" s="13">
        <f>_xll.BDH("WMT US Equity","XO_GL_NET_OF_TAX","FQ1 2017","FQ1 2017","Currency=USD","Period=FQ","BEST_FPERIOD_OVERRIDE=FQ","FILING_STATUS=MR","SCALING_FORMAT=MLN","Sort=A","Dates=H","DateFormat=P","Fill=—","Direction=H","UseDPDF=Y")</f>
        <v>0</v>
      </c>
      <c r="D26" s="13">
        <f>_xll.BDH("WMT US Equity","XO_GL_NET_OF_TAX","FQ2 2017","FQ2 2017","Currency=USD","Period=FQ","BEST_FPERIOD_OVERRIDE=FQ","FILING_STATUS=MR","SCALING_FORMAT=MLN","Sort=A","Dates=H","DateFormat=P","Fill=—","Direction=H","UseDPDF=Y")</f>
        <v>0</v>
      </c>
      <c r="E26" s="13">
        <f>_xll.BDH("WMT US Equity","XO_GL_NET_OF_TAX","FQ3 2017","FQ3 2017","Currency=USD","Period=FQ","BEST_FPERIOD_OVERRIDE=FQ","FILING_STATUS=MR","SCALING_FORMAT=MLN","Sort=A","Dates=H","DateFormat=P","Fill=—","Direction=H","UseDPDF=Y")</f>
        <v>0</v>
      </c>
      <c r="F26" s="13">
        <f>_xll.BDH("WMT US Equity","XO_GL_NET_OF_TAX","FQ4 2017","FQ4 2017","Currency=USD","Period=FQ","BEST_FPERIOD_OVERRIDE=FQ","FILING_STATUS=MR","SCALING_FORMAT=MLN","Sort=A","Dates=H","DateFormat=P","Fill=—","Direction=H","UseDPDF=Y")</f>
        <v>0</v>
      </c>
      <c r="G26" s="13">
        <f>_xll.BDH("WMT US Equity","XO_GL_NET_OF_TAX","FQ1 2018","FQ1 2018","Currency=USD","Period=FQ","BEST_FPERIOD_OVERRIDE=FQ","FILING_STATUS=MR","SCALING_FORMAT=MLN","Sort=A","Dates=H","DateFormat=P","Fill=—","Direction=H","UseDPDF=Y")</f>
        <v>0</v>
      </c>
      <c r="H26" s="13">
        <f>_xll.BDH("WMT US Equity","XO_GL_NET_OF_TAX","FQ2 2018","FQ2 2018","Currency=USD","Period=FQ","BEST_FPERIOD_OVERRIDE=FQ","FILING_STATUS=MR","SCALING_FORMAT=MLN","Sort=A","Dates=H","DateFormat=P","Fill=—","Direction=H","UseDPDF=Y")</f>
        <v>0</v>
      </c>
      <c r="I26" s="13">
        <f>_xll.BDH("WMT US Equity","XO_GL_NET_OF_TAX","FQ3 2018","FQ3 2018","Currency=USD","Period=FQ","BEST_FPERIOD_OVERRIDE=FQ","FILING_STATUS=MR","SCALING_FORMAT=MLN","Sort=A","Dates=H","DateFormat=P","Fill=—","Direction=H","UseDPDF=Y")</f>
        <v>0</v>
      </c>
      <c r="J26" s="13">
        <f>_xll.BDH("WMT US Equity","XO_GL_NET_OF_TAX","FQ4 2018","FQ4 2018","Currency=USD","Period=FQ","BEST_FPERIOD_OVERRIDE=FQ","FILING_STATUS=MR","SCALING_FORMAT=MLN","Sort=A","Dates=H","DateFormat=P","Fill=—","Direction=H","UseDPDF=Y")</f>
        <v>0</v>
      </c>
      <c r="K26" s="13">
        <f>_xll.BDH("WMT US Equity","XO_GL_NET_OF_TAX","FQ1 2019","FQ1 2019","Currency=USD","Period=FQ","BEST_FPERIOD_OVERRIDE=FQ","FILING_STATUS=MR","SCALING_FORMAT=MLN","Sort=A","Dates=H","DateFormat=P","Fill=—","Direction=H","UseDPDF=Y")</f>
        <v>0</v>
      </c>
      <c r="L26" s="13">
        <f>_xll.BDH("WMT US Equity","XO_GL_NET_OF_TAX","FQ2 2019","FQ2 2019","Currency=USD","Period=FQ","BEST_FPERIOD_OVERRIDE=FQ","FILING_STATUS=MR","SCALING_FORMAT=MLN","Sort=A","Dates=H","DateFormat=P","Fill=—","Direction=H","UseDPDF=Y")</f>
        <v>0</v>
      </c>
      <c r="M26" s="13">
        <f>_xll.BDH("WMT US Equity","XO_GL_NET_OF_TAX","FQ3 2019","FQ3 2019","Currency=USD","Period=FQ","BEST_FPERIOD_OVERRIDE=FQ","FILING_STATUS=MR","SCALING_FORMAT=MLN","Sort=A","Dates=H","DateFormat=P","Fill=—","Direction=H","UseDPDF=Y")</f>
        <v>0</v>
      </c>
      <c r="N26" s="13">
        <f>_xll.BDH("WMT US Equity","XO_GL_NET_OF_TAX","FQ4 2019","FQ4 2019","Currency=USD","Period=FQ","BEST_FPERIOD_OVERRIDE=FQ","FILING_STATUS=MR","SCALING_FORMAT=MLN","Sort=A","Dates=H","DateFormat=P","Fill=—","Direction=H","UseDPDF=Y")</f>
        <v>0</v>
      </c>
      <c r="O26" s="13">
        <f>_xll.BDH("WMT US Equity","XO_GL_NET_OF_TAX","FQ1 2020","FQ1 2020","Currency=USD","Period=FQ","BEST_FPERIOD_OVERRIDE=FQ","FILING_STATUS=MR","SCALING_FORMAT=MLN","Sort=A","Dates=H","DateFormat=P","Fill=—","Direction=H","UseDPDF=Y")</f>
        <v>0</v>
      </c>
      <c r="P26" s="13">
        <f>_xll.BDH("WMT US Equity","XO_GL_NET_OF_TAX","FQ2 2020","FQ2 2020","Currency=USD","Period=FQ","BEST_FPERIOD_OVERRIDE=FQ","FILING_STATUS=MR","SCALING_FORMAT=MLN","Sort=A","Dates=H","DateFormat=P","Fill=—","Direction=H","UseDPDF=Y")</f>
        <v>0</v>
      </c>
      <c r="Q26" s="13">
        <f>_xll.BDH("WMT US Equity","XO_GL_NET_OF_TAX","FQ3 2020","FQ3 2020","Currency=USD","Period=FQ","BEST_FPERIOD_OVERRIDE=FQ","FILING_STATUS=MR","SCALING_FORMAT=MLN","Sort=A","Dates=H","DateFormat=P","Fill=—","Direction=H","UseDPDF=Y")</f>
        <v>0</v>
      </c>
      <c r="R26" s="13">
        <f>_xll.BDH("WMT US Equity","XO_GL_NET_OF_TAX","FQ4 2020","FQ4 2020","Currency=USD","Period=FQ","BEST_FPERIOD_OVERRIDE=FQ","FILING_STATUS=MR","SCALING_FORMAT=MLN","Sort=A","Dates=H","DateFormat=P","Fill=—","Direction=H","UseDPDF=Y")</f>
        <v>0</v>
      </c>
      <c r="S26" s="13">
        <f>_xll.BDH("WMT US Equity","XO_GL_NET_OF_TAX","FQ1 2021","FQ1 2021","Currency=USD","Period=FQ","BEST_FPERIOD_OVERRIDE=FQ","FILING_STATUS=MR","SCALING_FORMAT=MLN","Sort=A","Dates=H","DateFormat=P","Fill=—","Direction=H","UseDPDF=Y")</f>
        <v>0</v>
      </c>
      <c r="T26" s="13">
        <f>_xll.BDH("WMT US Equity","XO_GL_NET_OF_TAX","FQ2 2021","FQ2 2021","Currency=USD","Period=FQ","BEST_FPERIOD_OVERRIDE=FQ","FILING_STATUS=MR","SCALING_FORMAT=MLN","Sort=A","Dates=H","DateFormat=P","Fill=—","Direction=H","UseDPDF=Y")</f>
        <v>0</v>
      </c>
      <c r="U26" s="13">
        <f>_xll.BDH("WMT US Equity","XO_GL_NET_OF_TAX","FQ3 2021","FQ3 2021","Currency=USD","Period=FQ","BEST_FPERIOD_OVERRIDE=FQ","FILING_STATUS=MR","SCALING_FORMAT=MLN","Sort=A","Dates=H","DateFormat=P","Fill=—","Direction=H","UseDPDF=Y")</f>
        <v>0</v>
      </c>
      <c r="V26" s="13">
        <f>_xll.BDH("WMT US Equity","XO_GL_NET_OF_TAX","FQ4 2021","FQ4 2021","Currency=USD","Period=FQ","BEST_FPERIOD_OVERRIDE=FQ","FILING_STATUS=MR","SCALING_FORMAT=MLN","Sort=A","Dates=H","DateFormat=P","Fill=—","Direction=H","UseDPDF=Y")</f>
        <v>0</v>
      </c>
      <c r="W26" s="13">
        <f>_xll.BDH("WMT US Equity","XO_GL_NET_OF_TAX","FQ1 2022","FQ1 2022","Currency=USD","Period=FQ","BEST_FPERIOD_OVERRIDE=FQ","FILING_STATUS=MR","SCALING_FORMAT=MLN","Sort=A","Dates=H","DateFormat=P","Fill=—","Direction=H","UseDPDF=Y")</f>
        <v>0</v>
      </c>
      <c r="X26" s="13">
        <f>_xll.BDH("WMT US Equity","XO_GL_NET_OF_TAX","FQ2 2022","FQ2 2022","Currency=USD","Period=FQ","BEST_FPERIOD_OVERRIDE=FQ","FILING_STATUS=MR","SCALING_FORMAT=MLN","Sort=A","Dates=H","DateFormat=P","Fill=—","Direction=H","UseDPDF=Y")</f>
        <v>0</v>
      </c>
      <c r="Y26" s="13">
        <f>_xll.BDH("WMT US Equity","XO_GL_NET_OF_TAX","FQ3 2022","FQ3 2022","Currency=USD","Period=FQ","BEST_FPERIOD_OVERRIDE=FQ","FILING_STATUS=MR","SCALING_FORMAT=MLN","Sort=A","Dates=H","DateFormat=P","Fill=—","Direction=H","UseDPDF=Y")</f>
        <v>0</v>
      </c>
      <c r="Z26" s="13">
        <f>_xll.BDH("WMT US Equity","XO_GL_NET_OF_TAX","FQ4 2022","FQ4 2022","Currency=USD","Period=FQ","BEST_FPERIOD_OVERRIDE=FQ","FILING_STATUS=MR","SCALING_FORMAT=MLN","Sort=A","Dates=H","DateFormat=P","Fill=—","Direction=H","UseDPDF=Y")</f>
        <v>0</v>
      </c>
      <c r="AA26" s="13">
        <f>_xll.BDH("WMT US Equity","XO_GL_NET_OF_TAX","FQ1 2023","FQ1 2023","Currency=USD","Period=FQ","BEST_FPERIOD_OVERRIDE=FQ","FILING_STATUS=MR","SCALING_FORMAT=MLN","Sort=A","Dates=H","DateFormat=P","Fill=—","Direction=H","UseDPDF=Y")</f>
        <v>0</v>
      </c>
      <c r="AB26" s="13">
        <f>_xll.BDH("WMT US Equity","XO_GL_NET_OF_TAX","FQ2 2023","FQ2 2023","Currency=USD","Period=FQ","BEST_FPERIOD_OVERRIDE=FQ","FILING_STATUS=MR","SCALING_FORMAT=MLN","Sort=A","Dates=H","DateFormat=P","Fill=—","Direction=H","UseDPDF=Y")</f>
        <v>0</v>
      </c>
      <c r="AC26" s="13">
        <f>_xll.BDH("WMT US Equity","XO_GL_NET_OF_TAX","FQ3 2023","FQ3 2023","Currency=USD","Period=FQ","BEST_FPERIOD_OVERRIDE=FQ","FILING_STATUS=MR","SCALING_FORMAT=MLN","Sort=A","Dates=H","DateFormat=P","Fill=—","Direction=H","UseDPDF=Y")</f>
        <v>0</v>
      </c>
      <c r="AD26" s="13">
        <f>_xll.BDH("WMT US Equity","XO_GL_NET_OF_TAX","FQ4 2023","FQ4 2023","Currency=USD","Period=FQ","BEST_FPERIOD_OVERRIDE=FQ","FILING_STATUS=MR","SCALING_FORMAT=MLN","Sort=A","Dates=H","DateFormat=P","Fill=—","Direction=H","UseDPDF=Y")</f>
        <v>0</v>
      </c>
      <c r="AE26" s="13">
        <f>_xll.BDH("WMT US Equity","XO_GL_NET_OF_TAX","FQ1 2024","FQ1 2024","Currency=USD","Period=FQ","BEST_FPERIOD_OVERRIDE=FQ","FILING_STATUS=MR","SCALING_FORMAT=MLN","Sort=A","Dates=H","DateFormat=P","Fill=—","Direction=H","UseDPDF=Y")</f>
        <v>0</v>
      </c>
      <c r="AF26" s="13">
        <f>_xll.BDH("WMT US Equity","XO_GL_NET_OF_TAX","FQ2 2024","FQ2 2024","Currency=USD","Period=FQ","BEST_FPERIOD_OVERRIDE=FQ","FILING_STATUS=MR","SCALING_FORMAT=MLN","Sort=A","Dates=H","DateFormat=P","Fill=—","Direction=H","UseDPDF=Y")</f>
        <v>0</v>
      </c>
      <c r="AG26" s="13">
        <f>_xll.BDH("WMT US Equity","XO_GL_NET_OF_TAX","FQ3 2024","FQ3 2024","Currency=USD","Period=FQ","BEST_FPERIOD_OVERRIDE=FQ","FILING_STATUS=MR","SCALING_FORMAT=MLN","Sort=A","Dates=H","DateFormat=P","Fill=—","Direction=H","UseDPDF=Y")</f>
        <v>0</v>
      </c>
      <c r="AH26" s="13">
        <f>_xll.BDH("WMT US Equity","XO_GL_NET_OF_TAX","FQ4 2024","FQ4 2024","Currency=USD","Period=FQ","BEST_FPERIOD_OVERRIDE=FQ","FILING_STATUS=MR","SCALING_FORMAT=MLN","Sort=A","Dates=H","DateFormat=P","Fill=—","Direction=H","UseDPDF=Y")</f>
        <v>0</v>
      </c>
      <c r="AI26" s="13">
        <f>_xll.BDH("WMT US Equity","XO_GL_NET_OF_TAX","FQ1 2025","FQ1 2025","Currency=USD","Period=FQ","BEST_FPERIOD_OVERRIDE=FQ","FILING_STATUS=MR","SCALING_FORMAT=MLN","Sort=A","Dates=H","DateFormat=P","Fill=—","Direction=H","UseDPDF=Y")</f>
        <v>0</v>
      </c>
      <c r="AJ26" s="13">
        <f>_xll.BDH("WMT US Equity","XO_GL_NET_OF_TAX","FQ2 2025","FQ2 2025","Currency=USD","Period=FQ","BEST_FPERIOD_OVERRIDE=FQ","FILING_STATUS=MR","SCALING_FORMAT=MLN","Sort=A","Dates=H","DateFormat=P","Fill=—","Direction=H","UseDPDF=Y")</f>
        <v>0</v>
      </c>
      <c r="AK26" s="13">
        <f>_xll.BDH("WMT US Equity","XO_GL_NET_OF_TAX","FQ3 2025","FQ3 2025","Currency=USD","Period=FQ","BEST_FPERIOD_OVERRIDE=FQ","FILING_STATUS=MR","SCALING_FORMAT=MLN","Sort=A","Dates=H","DateFormat=P","Fill=—","Direction=H","UseDPDF=Y")</f>
        <v>0</v>
      </c>
      <c r="AL26" s="13">
        <f>_xll.BDH("WMT US Equity","XO_GL_NET_OF_TAX","FQ4 2025","FQ4 2025","Currency=USD","Period=FQ","BEST_FPERIOD_OVERRIDE=FQ","FILING_STATUS=MR","SCALING_FORMAT=MLN","Sort=A","Dates=H","DateFormat=P","Fill=—","Direction=H","UseDPDF=Y")</f>
        <v>0</v>
      </c>
      <c r="AM26" s="13">
        <f>_xll.BDH("WMT US Equity","XO_GL_NET_OF_TAX","FQ1 2026","FQ1 2026","Currency=USD","Period=FQ","BEST_FPERIOD_OVERRIDE=FQ","FILING_STATUS=MR","SCALING_FORMAT=MLN","Sort=A","Dates=H","DateFormat=P","Fill=—","Direction=H","UseDPDF=Y")</f>
        <v>0</v>
      </c>
      <c r="AN26" s="13">
        <f>_xll.BDH("WMT US Equity","XO_GL_NET_OF_TAX","FQ2 2026","FQ2 2026","Currency=USD","Period=FQ","BEST_FPERIOD_OVERRIDE=FQ","FILING_STATUS=MR","SCALING_FORMAT=MLN","Sort=A","Dates=H","DateFormat=P","Fill=—","Direction=H","UseDPDF=Y")</f>
        <v>0</v>
      </c>
      <c r="AO26" s="13"/>
      <c r="AP26" s="13"/>
    </row>
    <row r="27" spans="1:42" x14ac:dyDescent="0.3">
      <c r="A27" s="10" t="s">
        <v>177</v>
      </c>
      <c r="B27" s="10" t="s">
        <v>111</v>
      </c>
      <c r="C27" s="13">
        <f>_xll.BDH("WMT US Equity","IS_DISCONTINUED_OPERATIONS","FQ1 2017","FQ1 2017","Currency=USD","Period=FQ","BEST_FPERIOD_OVERRIDE=FQ","FILING_STATUS=MR","SCALING_FORMAT=MLN","Sort=A","Dates=H","DateFormat=P","Fill=—","Direction=H","UseDPDF=Y")</f>
        <v>0</v>
      </c>
      <c r="D27" s="13">
        <f>_xll.BDH("WMT US Equity","IS_DISCONTINUED_OPERATIONS","FQ2 2017","FQ2 2017","Currency=USD","Period=FQ","BEST_FPERIOD_OVERRIDE=FQ","FILING_STATUS=MR","SCALING_FORMAT=MLN","Sort=A","Dates=H","DateFormat=P","Fill=—","Direction=H","UseDPDF=Y")</f>
        <v>0</v>
      </c>
      <c r="E27" s="13">
        <f>_xll.BDH("WMT US Equity","IS_DISCONTINUED_OPERATIONS","FQ3 2017","FQ3 2017","Currency=USD","Period=FQ","BEST_FPERIOD_OVERRIDE=FQ","FILING_STATUS=MR","SCALING_FORMAT=MLN","Sort=A","Dates=H","DateFormat=P","Fill=—","Direction=H","UseDPDF=Y")</f>
        <v>0</v>
      </c>
      <c r="F27" s="13">
        <f>_xll.BDH("WMT US Equity","IS_DISCONTINUED_OPERATIONS","FQ4 2017","FQ4 2017","Currency=USD","Period=FQ","BEST_FPERIOD_OVERRIDE=FQ","FILING_STATUS=MR","SCALING_FORMAT=MLN","Sort=A","Dates=H","DateFormat=P","Fill=—","Direction=H","UseDPDF=Y")</f>
        <v>0</v>
      </c>
      <c r="G27" s="13">
        <f>_xll.BDH("WMT US Equity","IS_DISCONTINUED_OPERATIONS","FQ1 2018","FQ1 2018","Currency=USD","Period=FQ","BEST_FPERIOD_OVERRIDE=FQ","FILING_STATUS=MR","SCALING_FORMAT=MLN","Sort=A","Dates=H","DateFormat=P","Fill=—","Direction=H","UseDPDF=Y")</f>
        <v>0</v>
      </c>
      <c r="H27" s="13">
        <f>_xll.BDH("WMT US Equity","IS_DISCONTINUED_OPERATIONS","FQ2 2018","FQ2 2018","Currency=USD","Period=FQ","BEST_FPERIOD_OVERRIDE=FQ","FILING_STATUS=MR","SCALING_FORMAT=MLN","Sort=A","Dates=H","DateFormat=P","Fill=—","Direction=H","UseDPDF=Y")</f>
        <v>0</v>
      </c>
      <c r="I27" s="13">
        <f>_xll.BDH("WMT US Equity","IS_DISCONTINUED_OPERATIONS","FQ3 2018","FQ3 2018","Currency=USD","Period=FQ","BEST_FPERIOD_OVERRIDE=FQ","FILING_STATUS=MR","SCALING_FORMAT=MLN","Sort=A","Dates=H","DateFormat=P","Fill=—","Direction=H","UseDPDF=Y")</f>
        <v>0</v>
      </c>
      <c r="J27" s="13">
        <f>_xll.BDH("WMT US Equity","IS_DISCONTINUED_OPERATIONS","FQ4 2018","FQ4 2018","Currency=USD","Period=FQ","BEST_FPERIOD_OVERRIDE=FQ","FILING_STATUS=MR","SCALING_FORMAT=MLN","Sort=A","Dates=H","DateFormat=P","Fill=—","Direction=H","UseDPDF=Y")</f>
        <v>0</v>
      </c>
      <c r="K27" s="13">
        <f>_xll.BDH("WMT US Equity","IS_DISCONTINUED_OPERATIONS","FQ1 2019","FQ1 2019","Currency=USD","Period=FQ","BEST_FPERIOD_OVERRIDE=FQ","FILING_STATUS=MR","SCALING_FORMAT=MLN","Sort=A","Dates=H","DateFormat=P","Fill=—","Direction=H","UseDPDF=Y")</f>
        <v>0</v>
      </c>
      <c r="L27" s="13">
        <f>_xll.BDH("WMT US Equity","IS_DISCONTINUED_OPERATIONS","FQ2 2019","FQ2 2019","Currency=USD","Period=FQ","BEST_FPERIOD_OVERRIDE=FQ","FILING_STATUS=MR","SCALING_FORMAT=MLN","Sort=A","Dates=H","DateFormat=P","Fill=—","Direction=H","UseDPDF=Y")</f>
        <v>0</v>
      </c>
      <c r="M27" s="13">
        <f>_xll.BDH("WMT US Equity","IS_DISCONTINUED_OPERATIONS","FQ3 2019","FQ3 2019","Currency=USD","Period=FQ","BEST_FPERIOD_OVERRIDE=FQ","FILING_STATUS=MR","SCALING_FORMAT=MLN","Sort=A","Dates=H","DateFormat=P","Fill=—","Direction=H","UseDPDF=Y")</f>
        <v>0</v>
      </c>
      <c r="N27" s="13">
        <f>_xll.BDH("WMT US Equity","IS_DISCONTINUED_OPERATIONS","FQ4 2019","FQ4 2019","Currency=USD","Period=FQ","BEST_FPERIOD_OVERRIDE=FQ","FILING_STATUS=MR","SCALING_FORMAT=MLN","Sort=A","Dates=H","DateFormat=P","Fill=—","Direction=H","UseDPDF=Y")</f>
        <v>0</v>
      </c>
      <c r="O27" s="13">
        <f>_xll.BDH("WMT US Equity","IS_DISCONTINUED_OPERATIONS","FQ1 2020","FQ1 2020","Currency=USD","Period=FQ","BEST_FPERIOD_OVERRIDE=FQ","FILING_STATUS=MR","SCALING_FORMAT=MLN","Sort=A","Dates=H","DateFormat=P","Fill=—","Direction=H","UseDPDF=Y")</f>
        <v>0</v>
      </c>
      <c r="P27" s="13">
        <f>_xll.BDH("WMT US Equity","IS_DISCONTINUED_OPERATIONS","FQ2 2020","FQ2 2020","Currency=USD","Period=FQ","BEST_FPERIOD_OVERRIDE=FQ","FILING_STATUS=MR","SCALING_FORMAT=MLN","Sort=A","Dates=H","DateFormat=P","Fill=—","Direction=H","UseDPDF=Y")</f>
        <v>0</v>
      </c>
      <c r="Q27" s="13">
        <f>_xll.BDH("WMT US Equity","IS_DISCONTINUED_OPERATIONS","FQ3 2020","FQ3 2020","Currency=USD","Period=FQ","BEST_FPERIOD_OVERRIDE=FQ","FILING_STATUS=MR","SCALING_FORMAT=MLN","Sort=A","Dates=H","DateFormat=P","Fill=—","Direction=H","UseDPDF=Y")</f>
        <v>0</v>
      </c>
      <c r="R27" s="13">
        <f>_xll.BDH("WMT US Equity","IS_DISCONTINUED_OPERATIONS","FQ4 2020","FQ4 2020","Currency=USD","Period=FQ","BEST_FPERIOD_OVERRIDE=FQ","FILING_STATUS=MR","SCALING_FORMAT=MLN","Sort=A","Dates=H","DateFormat=P","Fill=—","Direction=H","UseDPDF=Y")</f>
        <v>0</v>
      </c>
      <c r="S27" s="13">
        <f>_xll.BDH("WMT US Equity","IS_DISCONTINUED_OPERATIONS","FQ1 2021","FQ1 2021","Currency=USD","Period=FQ","BEST_FPERIOD_OVERRIDE=FQ","FILING_STATUS=MR","SCALING_FORMAT=MLN","Sort=A","Dates=H","DateFormat=P","Fill=—","Direction=H","UseDPDF=Y")</f>
        <v>0</v>
      </c>
      <c r="T27" s="13">
        <f>_xll.BDH("WMT US Equity","IS_DISCONTINUED_OPERATIONS","FQ2 2021","FQ2 2021","Currency=USD","Period=FQ","BEST_FPERIOD_OVERRIDE=FQ","FILING_STATUS=MR","SCALING_FORMAT=MLN","Sort=A","Dates=H","DateFormat=P","Fill=—","Direction=H","UseDPDF=Y")</f>
        <v>0</v>
      </c>
      <c r="U27" s="13">
        <f>_xll.BDH("WMT US Equity","IS_DISCONTINUED_OPERATIONS","FQ3 2021","FQ3 2021","Currency=USD","Period=FQ","BEST_FPERIOD_OVERRIDE=FQ","FILING_STATUS=MR","SCALING_FORMAT=MLN","Sort=A","Dates=H","DateFormat=P","Fill=—","Direction=H","UseDPDF=Y")</f>
        <v>0</v>
      </c>
      <c r="V27" s="13">
        <f>_xll.BDH("WMT US Equity","IS_DISCONTINUED_OPERATIONS","FQ4 2021","FQ4 2021","Currency=USD","Period=FQ","BEST_FPERIOD_OVERRIDE=FQ","FILING_STATUS=MR","SCALING_FORMAT=MLN","Sort=A","Dates=H","DateFormat=P","Fill=—","Direction=H","UseDPDF=Y")</f>
        <v>0</v>
      </c>
      <c r="W27" s="13">
        <f>_xll.BDH("WMT US Equity","IS_DISCONTINUED_OPERATIONS","FQ1 2022","FQ1 2022","Currency=USD","Period=FQ","BEST_FPERIOD_OVERRIDE=FQ","FILING_STATUS=MR","SCALING_FORMAT=MLN","Sort=A","Dates=H","DateFormat=P","Fill=—","Direction=H","UseDPDF=Y")</f>
        <v>0</v>
      </c>
      <c r="X27" s="13">
        <f>_xll.BDH("WMT US Equity","IS_DISCONTINUED_OPERATIONS","FQ2 2022","FQ2 2022","Currency=USD","Period=FQ","BEST_FPERIOD_OVERRIDE=FQ","FILING_STATUS=MR","SCALING_FORMAT=MLN","Sort=A","Dates=H","DateFormat=P","Fill=—","Direction=H","UseDPDF=Y")</f>
        <v>0</v>
      </c>
      <c r="Y27" s="13">
        <f>_xll.BDH("WMT US Equity","IS_DISCONTINUED_OPERATIONS","FQ3 2022","FQ3 2022","Currency=USD","Period=FQ","BEST_FPERIOD_OVERRIDE=FQ","FILING_STATUS=MR","SCALING_FORMAT=MLN","Sort=A","Dates=H","DateFormat=P","Fill=—","Direction=H","UseDPDF=Y")</f>
        <v>0</v>
      </c>
      <c r="Z27" s="13">
        <f>_xll.BDH("WMT US Equity","IS_DISCONTINUED_OPERATIONS","FQ4 2022","FQ4 2022","Currency=USD","Period=FQ","BEST_FPERIOD_OVERRIDE=FQ","FILING_STATUS=MR","SCALING_FORMAT=MLN","Sort=A","Dates=H","DateFormat=P","Fill=—","Direction=H","UseDPDF=Y")</f>
        <v>0</v>
      </c>
      <c r="AA27" s="13">
        <f>_xll.BDH("WMT US Equity","IS_DISCONTINUED_OPERATIONS","FQ1 2023","FQ1 2023","Currency=USD","Period=FQ","BEST_FPERIOD_OVERRIDE=FQ","FILING_STATUS=MR","SCALING_FORMAT=MLN","Sort=A","Dates=H","DateFormat=P","Fill=—","Direction=H","UseDPDF=Y")</f>
        <v>0</v>
      </c>
      <c r="AB27" s="13">
        <f>_xll.BDH("WMT US Equity","IS_DISCONTINUED_OPERATIONS","FQ2 2023","FQ2 2023","Currency=USD","Period=FQ","BEST_FPERIOD_OVERRIDE=FQ","FILING_STATUS=MR","SCALING_FORMAT=MLN","Sort=A","Dates=H","DateFormat=P","Fill=—","Direction=H","UseDPDF=Y")</f>
        <v>0</v>
      </c>
      <c r="AC27" s="13">
        <f>_xll.BDH("WMT US Equity","IS_DISCONTINUED_OPERATIONS","FQ3 2023","FQ3 2023","Currency=USD","Period=FQ","BEST_FPERIOD_OVERRIDE=FQ","FILING_STATUS=MR","SCALING_FORMAT=MLN","Sort=A","Dates=H","DateFormat=P","Fill=—","Direction=H","UseDPDF=Y")</f>
        <v>0</v>
      </c>
      <c r="AD27" s="13">
        <f>_xll.BDH("WMT US Equity","IS_DISCONTINUED_OPERATIONS","FQ4 2023","FQ4 2023","Currency=USD","Period=FQ","BEST_FPERIOD_OVERRIDE=FQ","FILING_STATUS=MR","SCALING_FORMAT=MLN","Sort=A","Dates=H","DateFormat=P","Fill=—","Direction=H","UseDPDF=Y")</f>
        <v>0</v>
      </c>
      <c r="AE27" s="13">
        <f>_xll.BDH("WMT US Equity","IS_DISCONTINUED_OPERATIONS","FQ1 2024","FQ1 2024","Currency=USD","Period=FQ","BEST_FPERIOD_OVERRIDE=FQ","FILING_STATUS=MR","SCALING_FORMAT=MLN","Sort=A","Dates=H","DateFormat=P","Fill=—","Direction=H","UseDPDF=Y")</f>
        <v>0</v>
      </c>
      <c r="AF27" s="13">
        <f>_xll.BDH("WMT US Equity","IS_DISCONTINUED_OPERATIONS","FQ2 2024","FQ2 2024","Currency=USD","Period=FQ","BEST_FPERIOD_OVERRIDE=FQ","FILING_STATUS=MR","SCALING_FORMAT=MLN","Sort=A","Dates=H","DateFormat=P","Fill=—","Direction=H","UseDPDF=Y")</f>
        <v>0</v>
      </c>
      <c r="AG27" s="13">
        <f>_xll.BDH("WMT US Equity","IS_DISCONTINUED_OPERATIONS","FQ3 2024","FQ3 2024","Currency=USD","Period=FQ","BEST_FPERIOD_OVERRIDE=FQ","FILING_STATUS=MR","SCALING_FORMAT=MLN","Sort=A","Dates=H","DateFormat=P","Fill=—","Direction=H","UseDPDF=Y")</f>
        <v>0</v>
      </c>
      <c r="AH27" s="13">
        <f>_xll.BDH("WMT US Equity","IS_DISCONTINUED_OPERATIONS","FQ4 2024","FQ4 2024","Currency=USD","Period=FQ","BEST_FPERIOD_OVERRIDE=FQ","FILING_STATUS=MR","SCALING_FORMAT=MLN","Sort=A","Dates=H","DateFormat=P","Fill=—","Direction=H","UseDPDF=Y")</f>
        <v>0</v>
      </c>
      <c r="AI27" s="13">
        <f>_xll.BDH("WMT US Equity","IS_DISCONTINUED_OPERATIONS","FQ1 2025","FQ1 2025","Currency=USD","Period=FQ","BEST_FPERIOD_OVERRIDE=FQ","FILING_STATUS=MR","SCALING_FORMAT=MLN","Sort=A","Dates=H","DateFormat=P","Fill=—","Direction=H","UseDPDF=Y")</f>
        <v>0</v>
      </c>
      <c r="AJ27" s="13">
        <f>_xll.BDH("WMT US Equity","IS_DISCONTINUED_OPERATIONS","FQ2 2025","FQ2 2025","Currency=USD","Period=FQ","BEST_FPERIOD_OVERRIDE=FQ","FILING_STATUS=MR","SCALING_FORMAT=MLN","Sort=A","Dates=H","DateFormat=P","Fill=—","Direction=H","UseDPDF=Y")</f>
        <v>0</v>
      </c>
      <c r="AK27" s="13">
        <f>_xll.BDH("WMT US Equity","IS_DISCONTINUED_OPERATIONS","FQ3 2025","FQ3 2025","Currency=USD","Period=FQ","BEST_FPERIOD_OVERRIDE=FQ","FILING_STATUS=MR","SCALING_FORMAT=MLN","Sort=A","Dates=H","DateFormat=P","Fill=—","Direction=H","UseDPDF=Y")</f>
        <v>0</v>
      </c>
      <c r="AL27" s="13">
        <f>_xll.BDH("WMT US Equity","IS_DISCONTINUED_OPERATIONS","FQ4 2025","FQ4 2025","Currency=USD","Period=FQ","BEST_FPERIOD_OVERRIDE=FQ","FILING_STATUS=MR","SCALING_FORMAT=MLN","Sort=A","Dates=H","DateFormat=P","Fill=—","Direction=H","UseDPDF=Y")</f>
        <v>0</v>
      </c>
      <c r="AM27" s="13">
        <f>_xll.BDH("WMT US Equity","IS_DISCONTINUED_OPERATIONS","FQ1 2026","FQ1 2026","Currency=USD","Period=FQ","BEST_FPERIOD_OVERRIDE=FQ","FILING_STATUS=MR","SCALING_FORMAT=MLN","Sort=A","Dates=H","DateFormat=P","Fill=—","Direction=H","UseDPDF=Y")</f>
        <v>0</v>
      </c>
      <c r="AN27" s="13">
        <f>_xll.BDH("WMT US Equity","IS_DISCONTINUED_OPERATIONS","FQ2 2026","FQ2 2026","Currency=USD","Period=FQ","BEST_FPERIOD_OVERRIDE=FQ","FILING_STATUS=MR","SCALING_FORMAT=MLN","Sort=A","Dates=H","DateFormat=P","Fill=—","Direction=H","UseDPDF=Y")</f>
        <v>0</v>
      </c>
      <c r="AO27" s="13"/>
      <c r="AP27" s="13"/>
    </row>
    <row r="28" spans="1:42" x14ac:dyDescent="0.3">
      <c r="A28" s="10" t="s">
        <v>178</v>
      </c>
      <c r="B28" s="10" t="s">
        <v>112</v>
      </c>
      <c r="C28" s="13">
        <f>_xll.BDH("WMT US Equity","EXTRAORD_ITEMS_ACCOUNTING_CHANGS","FQ1 2017","FQ1 2017","Currency=USD","Period=FQ","BEST_FPERIOD_OVERRIDE=FQ","FILING_STATUS=MR","SCALING_FORMAT=MLN","Sort=A","Dates=H","DateFormat=P","Fill=—","Direction=H","UseDPDF=Y")</f>
        <v>0</v>
      </c>
      <c r="D28" s="13">
        <f>_xll.BDH("WMT US Equity","EXTRAORD_ITEMS_ACCOUNTING_CHANGS","FQ2 2017","FQ2 2017","Currency=USD","Period=FQ","BEST_FPERIOD_OVERRIDE=FQ","FILING_STATUS=MR","SCALING_FORMAT=MLN","Sort=A","Dates=H","DateFormat=P","Fill=—","Direction=H","UseDPDF=Y")</f>
        <v>0</v>
      </c>
      <c r="E28" s="13">
        <f>_xll.BDH("WMT US Equity","EXTRAORD_ITEMS_ACCOUNTING_CHANGS","FQ3 2017","FQ3 2017","Currency=USD","Period=FQ","BEST_FPERIOD_OVERRIDE=FQ","FILING_STATUS=MR","SCALING_FORMAT=MLN","Sort=A","Dates=H","DateFormat=P","Fill=—","Direction=H","UseDPDF=Y")</f>
        <v>0</v>
      </c>
      <c r="F28" s="13">
        <f>_xll.BDH("WMT US Equity","EXTRAORD_ITEMS_ACCOUNTING_CHANGS","FQ4 2017","FQ4 2017","Currency=USD","Period=FQ","BEST_FPERIOD_OVERRIDE=FQ","FILING_STATUS=MR","SCALING_FORMAT=MLN","Sort=A","Dates=H","DateFormat=P","Fill=—","Direction=H","UseDPDF=Y")</f>
        <v>0</v>
      </c>
      <c r="G28" s="13">
        <f>_xll.BDH("WMT US Equity","EXTRAORD_ITEMS_ACCOUNTING_CHANGS","FQ1 2018","FQ1 2018","Currency=USD","Period=FQ","BEST_FPERIOD_OVERRIDE=FQ","FILING_STATUS=MR","SCALING_FORMAT=MLN","Sort=A","Dates=H","DateFormat=P","Fill=—","Direction=H","UseDPDF=Y")</f>
        <v>0</v>
      </c>
      <c r="H28" s="13">
        <f>_xll.BDH("WMT US Equity","EXTRAORD_ITEMS_ACCOUNTING_CHANGS","FQ2 2018","FQ2 2018","Currency=USD","Period=FQ","BEST_FPERIOD_OVERRIDE=FQ","FILING_STATUS=MR","SCALING_FORMAT=MLN","Sort=A","Dates=H","DateFormat=P","Fill=—","Direction=H","UseDPDF=Y")</f>
        <v>0</v>
      </c>
      <c r="I28" s="13">
        <f>_xll.BDH("WMT US Equity","EXTRAORD_ITEMS_ACCOUNTING_CHANGS","FQ3 2018","FQ3 2018","Currency=USD","Period=FQ","BEST_FPERIOD_OVERRIDE=FQ","FILING_STATUS=MR","SCALING_FORMAT=MLN","Sort=A","Dates=H","DateFormat=P","Fill=—","Direction=H","UseDPDF=Y")</f>
        <v>0</v>
      </c>
      <c r="J28" s="13">
        <f>_xll.BDH("WMT US Equity","EXTRAORD_ITEMS_ACCOUNTING_CHANGS","FQ4 2018","FQ4 2018","Currency=USD","Period=FQ","BEST_FPERIOD_OVERRIDE=FQ","FILING_STATUS=MR","SCALING_FORMAT=MLN","Sort=A","Dates=H","DateFormat=P","Fill=—","Direction=H","UseDPDF=Y")</f>
        <v>0</v>
      </c>
      <c r="K28" s="13">
        <f>_xll.BDH("WMT US Equity","EXTRAORD_ITEMS_ACCOUNTING_CHANGS","FQ1 2019","FQ1 2019","Currency=USD","Period=FQ","BEST_FPERIOD_OVERRIDE=FQ","FILING_STATUS=MR","SCALING_FORMAT=MLN","Sort=A","Dates=H","DateFormat=P","Fill=—","Direction=H","UseDPDF=Y")</f>
        <v>0</v>
      </c>
      <c r="L28" s="13">
        <f>_xll.BDH("WMT US Equity","EXTRAORD_ITEMS_ACCOUNTING_CHANGS","FQ2 2019","FQ2 2019","Currency=USD","Period=FQ","BEST_FPERIOD_OVERRIDE=FQ","FILING_STATUS=MR","SCALING_FORMAT=MLN","Sort=A","Dates=H","DateFormat=P","Fill=—","Direction=H","UseDPDF=Y")</f>
        <v>0</v>
      </c>
      <c r="M28" s="13">
        <f>_xll.BDH("WMT US Equity","EXTRAORD_ITEMS_ACCOUNTING_CHANGS","FQ3 2019","FQ3 2019","Currency=USD","Period=FQ","BEST_FPERIOD_OVERRIDE=FQ","FILING_STATUS=MR","SCALING_FORMAT=MLN","Sort=A","Dates=H","DateFormat=P","Fill=—","Direction=H","UseDPDF=Y")</f>
        <v>0</v>
      </c>
      <c r="N28" s="13">
        <f>_xll.BDH("WMT US Equity","EXTRAORD_ITEMS_ACCOUNTING_CHANGS","FQ4 2019","FQ4 2019","Currency=USD","Period=FQ","BEST_FPERIOD_OVERRIDE=FQ","FILING_STATUS=MR","SCALING_FORMAT=MLN","Sort=A","Dates=H","DateFormat=P","Fill=—","Direction=H","UseDPDF=Y")</f>
        <v>0</v>
      </c>
      <c r="O28" s="13">
        <f>_xll.BDH("WMT US Equity","EXTRAORD_ITEMS_ACCOUNTING_CHANGS","FQ1 2020","FQ1 2020","Currency=USD","Period=FQ","BEST_FPERIOD_OVERRIDE=FQ","FILING_STATUS=MR","SCALING_FORMAT=MLN","Sort=A","Dates=H","DateFormat=P","Fill=—","Direction=H","UseDPDF=Y")</f>
        <v>0</v>
      </c>
      <c r="P28" s="13">
        <f>_xll.BDH("WMT US Equity","EXTRAORD_ITEMS_ACCOUNTING_CHANGS","FQ2 2020","FQ2 2020","Currency=USD","Period=FQ","BEST_FPERIOD_OVERRIDE=FQ","FILING_STATUS=MR","SCALING_FORMAT=MLN","Sort=A","Dates=H","DateFormat=P","Fill=—","Direction=H","UseDPDF=Y")</f>
        <v>0</v>
      </c>
      <c r="Q28" s="13">
        <f>_xll.BDH("WMT US Equity","EXTRAORD_ITEMS_ACCOUNTING_CHANGS","FQ3 2020","FQ3 2020","Currency=USD","Period=FQ","BEST_FPERIOD_OVERRIDE=FQ","FILING_STATUS=MR","SCALING_FORMAT=MLN","Sort=A","Dates=H","DateFormat=P","Fill=—","Direction=H","UseDPDF=Y")</f>
        <v>0</v>
      </c>
      <c r="R28" s="13">
        <f>_xll.BDH("WMT US Equity","EXTRAORD_ITEMS_ACCOUNTING_CHANGS","FQ4 2020","FQ4 2020","Currency=USD","Period=FQ","BEST_FPERIOD_OVERRIDE=FQ","FILING_STATUS=MR","SCALING_FORMAT=MLN","Sort=A","Dates=H","DateFormat=P","Fill=—","Direction=H","UseDPDF=Y")</f>
        <v>0</v>
      </c>
      <c r="S28" s="13">
        <f>_xll.BDH("WMT US Equity","EXTRAORD_ITEMS_ACCOUNTING_CHANGS","FQ1 2021","FQ1 2021","Currency=USD","Period=FQ","BEST_FPERIOD_OVERRIDE=FQ","FILING_STATUS=MR","SCALING_FORMAT=MLN","Sort=A","Dates=H","DateFormat=P","Fill=—","Direction=H","UseDPDF=Y")</f>
        <v>0</v>
      </c>
      <c r="T28" s="13">
        <f>_xll.BDH("WMT US Equity","EXTRAORD_ITEMS_ACCOUNTING_CHANGS","FQ2 2021","FQ2 2021","Currency=USD","Period=FQ","BEST_FPERIOD_OVERRIDE=FQ","FILING_STATUS=MR","SCALING_FORMAT=MLN","Sort=A","Dates=H","DateFormat=P","Fill=—","Direction=H","UseDPDF=Y")</f>
        <v>0</v>
      </c>
      <c r="U28" s="13">
        <f>_xll.BDH("WMT US Equity","EXTRAORD_ITEMS_ACCOUNTING_CHANGS","FQ3 2021","FQ3 2021","Currency=USD","Period=FQ","BEST_FPERIOD_OVERRIDE=FQ","FILING_STATUS=MR","SCALING_FORMAT=MLN","Sort=A","Dates=H","DateFormat=P","Fill=—","Direction=H","UseDPDF=Y")</f>
        <v>0</v>
      </c>
      <c r="V28" s="13">
        <f>_xll.BDH("WMT US Equity","EXTRAORD_ITEMS_ACCOUNTING_CHANGS","FQ4 2021","FQ4 2021","Currency=USD","Period=FQ","BEST_FPERIOD_OVERRIDE=FQ","FILING_STATUS=MR","SCALING_FORMAT=MLN","Sort=A","Dates=H","DateFormat=P","Fill=—","Direction=H","UseDPDF=Y")</f>
        <v>0</v>
      </c>
      <c r="W28" s="13">
        <f>_xll.BDH("WMT US Equity","EXTRAORD_ITEMS_ACCOUNTING_CHANGS","FQ1 2022","FQ1 2022","Currency=USD","Period=FQ","BEST_FPERIOD_OVERRIDE=FQ","FILING_STATUS=MR","SCALING_FORMAT=MLN","Sort=A","Dates=H","DateFormat=P","Fill=—","Direction=H","UseDPDF=Y")</f>
        <v>0</v>
      </c>
      <c r="X28" s="13">
        <f>_xll.BDH("WMT US Equity","EXTRAORD_ITEMS_ACCOUNTING_CHANGS","FQ2 2022","FQ2 2022","Currency=USD","Period=FQ","BEST_FPERIOD_OVERRIDE=FQ","FILING_STATUS=MR","SCALING_FORMAT=MLN","Sort=A","Dates=H","DateFormat=P","Fill=—","Direction=H","UseDPDF=Y")</f>
        <v>0</v>
      </c>
      <c r="Y28" s="13">
        <f>_xll.BDH("WMT US Equity","EXTRAORD_ITEMS_ACCOUNTING_CHANGS","FQ3 2022","FQ3 2022","Currency=USD","Period=FQ","BEST_FPERIOD_OVERRIDE=FQ","FILING_STATUS=MR","SCALING_FORMAT=MLN","Sort=A","Dates=H","DateFormat=P","Fill=—","Direction=H","UseDPDF=Y")</f>
        <v>0</v>
      </c>
      <c r="Z28" s="13">
        <f>_xll.BDH("WMT US Equity","EXTRAORD_ITEMS_ACCOUNTING_CHANGS","FQ4 2022","FQ4 2022","Currency=USD","Period=FQ","BEST_FPERIOD_OVERRIDE=FQ","FILING_STATUS=MR","SCALING_FORMAT=MLN","Sort=A","Dates=H","DateFormat=P","Fill=—","Direction=H","UseDPDF=Y")</f>
        <v>0</v>
      </c>
      <c r="AA28" s="13">
        <f>_xll.BDH("WMT US Equity","EXTRAORD_ITEMS_ACCOUNTING_CHANGS","FQ1 2023","FQ1 2023","Currency=USD","Period=FQ","BEST_FPERIOD_OVERRIDE=FQ","FILING_STATUS=MR","SCALING_FORMAT=MLN","Sort=A","Dates=H","DateFormat=P","Fill=—","Direction=H","UseDPDF=Y")</f>
        <v>0</v>
      </c>
      <c r="AB28" s="13">
        <f>_xll.BDH("WMT US Equity","EXTRAORD_ITEMS_ACCOUNTING_CHANGS","FQ2 2023","FQ2 2023","Currency=USD","Period=FQ","BEST_FPERIOD_OVERRIDE=FQ","FILING_STATUS=MR","SCALING_FORMAT=MLN","Sort=A","Dates=H","DateFormat=P","Fill=—","Direction=H","UseDPDF=Y")</f>
        <v>0</v>
      </c>
      <c r="AC28" s="13">
        <f>_xll.BDH("WMT US Equity","EXTRAORD_ITEMS_ACCOUNTING_CHANGS","FQ3 2023","FQ3 2023","Currency=USD","Period=FQ","BEST_FPERIOD_OVERRIDE=FQ","FILING_STATUS=MR","SCALING_FORMAT=MLN","Sort=A","Dates=H","DateFormat=P","Fill=—","Direction=H","UseDPDF=Y")</f>
        <v>0</v>
      </c>
      <c r="AD28" s="13">
        <f>_xll.BDH("WMT US Equity","EXTRAORD_ITEMS_ACCOUNTING_CHANGS","FQ4 2023","FQ4 2023","Currency=USD","Period=FQ","BEST_FPERIOD_OVERRIDE=FQ","FILING_STATUS=MR","SCALING_FORMAT=MLN","Sort=A","Dates=H","DateFormat=P","Fill=—","Direction=H","UseDPDF=Y")</f>
        <v>0</v>
      </c>
      <c r="AE28" s="13">
        <f>_xll.BDH("WMT US Equity","EXTRAORD_ITEMS_ACCOUNTING_CHANGS","FQ1 2024","FQ1 2024","Currency=USD","Period=FQ","BEST_FPERIOD_OVERRIDE=FQ","FILING_STATUS=MR","SCALING_FORMAT=MLN","Sort=A","Dates=H","DateFormat=P","Fill=—","Direction=H","UseDPDF=Y")</f>
        <v>0</v>
      </c>
      <c r="AF28" s="13">
        <f>_xll.BDH("WMT US Equity","EXTRAORD_ITEMS_ACCOUNTING_CHANGS","FQ2 2024","FQ2 2024","Currency=USD","Period=FQ","BEST_FPERIOD_OVERRIDE=FQ","FILING_STATUS=MR","SCALING_FORMAT=MLN","Sort=A","Dates=H","DateFormat=P","Fill=—","Direction=H","UseDPDF=Y")</f>
        <v>0</v>
      </c>
      <c r="AG28" s="13">
        <f>_xll.BDH("WMT US Equity","EXTRAORD_ITEMS_ACCOUNTING_CHANGS","FQ3 2024","FQ3 2024","Currency=USD","Period=FQ","BEST_FPERIOD_OVERRIDE=FQ","FILING_STATUS=MR","SCALING_FORMAT=MLN","Sort=A","Dates=H","DateFormat=P","Fill=—","Direction=H","UseDPDF=Y")</f>
        <v>0</v>
      </c>
      <c r="AH28" s="13">
        <f>_xll.BDH("WMT US Equity","EXTRAORD_ITEMS_ACCOUNTING_CHANGS","FQ4 2024","FQ4 2024","Currency=USD","Period=FQ","BEST_FPERIOD_OVERRIDE=FQ","FILING_STATUS=MR","SCALING_FORMAT=MLN","Sort=A","Dates=H","DateFormat=P","Fill=—","Direction=H","UseDPDF=Y")</f>
        <v>0</v>
      </c>
      <c r="AI28" s="13">
        <f>_xll.BDH("WMT US Equity","EXTRAORD_ITEMS_ACCOUNTING_CHANGS","FQ1 2025","FQ1 2025","Currency=USD","Period=FQ","BEST_FPERIOD_OVERRIDE=FQ","FILING_STATUS=MR","SCALING_FORMAT=MLN","Sort=A","Dates=H","DateFormat=P","Fill=—","Direction=H","UseDPDF=Y")</f>
        <v>0</v>
      </c>
      <c r="AJ28" s="13">
        <f>_xll.BDH("WMT US Equity","EXTRAORD_ITEMS_ACCOUNTING_CHANGS","FQ2 2025","FQ2 2025","Currency=USD","Period=FQ","BEST_FPERIOD_OVERRIDE=FQ","FILING_STATUS=MR","SCALING_FORMAT=MLN","Sort=A","Dates=H","DateFormat=P","Fill=—","Direction=H","UseDPDF=Y")</f>
        <v>0</v>
      </c>
      <c r="AK28" s="13">
        <f>_xll.BDH("WMT US Equity","EXTRAORD_ITEMS_ACCOUNTING_CHANGS","FQ3 2025","FQ3 2025","Currency=USD","Period=FQ","BEST_FPERIOD_OVERRIDE=FQ","FILING_STATUS=MR","SCALING_FORMAT=MLN","Sort=A","Dates=H","DateFormat=P","Fill=—","Direction=H","UseDPDF=Y")</f>
        <v>0</v>
      </c>
      <c r="AL28" s="13">
        <f>_xll.BDH("WMT US Equity","EXTRAORD_ITEMS_ACCOUNTING_CHANGS","FQ4 2025","FQ4 2025","Currency=USD","Period=FQ","BEST_FPERIOD_OVERRIDE=FQ","FILING_STATUS=MR","SCALING_FORMAT=MLN","Sort=A","Dates=H","DateFormat=P","Fill=—","Direction=H","UseDPDF=Y")</f>
        <v>0</v>
      </c>
      <c r="AM28" s="13">
        <f>_xll.BDH("WMT US Equity","EXTRAORD_ITEMS_ACCOUNTING_CHANGS","FQ1 2026","FQ1 2026","Currency=USD","Period=FQ","BEST_FPERIOD_OVERRIDE=FQ","FILING_STATUS=MR","SCALING_FORMAT=MLN","Sort=A","Dates=H","DateFormat=P","Fill=—","Direction=H","UseDPDF=Y")</f>
        <v>0</v>
      </c>
      <c r="AN28" s="13">
        <f>_xll.BDH("WMT US Equity","EXTRAORD_ITEMS_ACCOUNTING_CHANGS","FQ2 2026","FQ2 2026","Currency=USD","Period=FQ","BEST_FPERIOD_OVERRIDE=FQ","FILING_STATUS=MR","SCALING_FORMAT=MLN","Sort=A","Dates=H","DateFormat=P","Fill=—","Direction=H","UseDPDF=Y")</f>
        <v>0</v>
      </c>
      <c r="AO28" s="13"/>
      <c r="AP28" s="13"/>
    </row>
    <row r="29" spans="1:42" x14ac:dyDescent="0.3">
      <c r="A29" s="6" t="s">
        <v>113</v>
      </c>
      <c r="B29" s="6" t="s">
        <v>114</v>
      </c>
      <c r="C29" s="16">
        <f>_xll.BDH("WMT US Equity","NI_INCLUDING_MINORITY_INT_RATIO","FQ1 2017","FQ1 2017","Currency=USD","Period=FQ","BEST_FPERIOD_OVERRIDE=FQ","FILING_STATUS=MR","SCALING_FORMAT=MLN","FA_ADJUSTED=GAAP","Sort=A","Dates=H","DateFormat=P","Fill=—","Direction=H","UseDPDF=Y")</f>
        <v>3216</v>
      </c>
      <c r="D29" s="16">
        <f>_xll.BDH("WMT US Equity","NI_INCLUDING_MINORITY_INT_RATIO","FQ2 2017","FQ2 2017","Currency=USD","Period=FQ","BEST_FPERIOD_OVERRIDE=FQ","FILING_STATUS=MR","SCALING_FORMAT=MLN","FA_ADJUSTED=GAAP","Sort=A","Dates=H","DateFormat=P","Fill=—","Direction=H","UseDPDF=Y")</f>
        <v>3889</v>
      </c>
      <c r="E29" s="16">
        <f>_xll.BDH("WMT US Equity","NI_INCLUDING_MINORITY_INT_RATIO","FQ3 2017","FQ3 2017","Currency=USD","Period=FQ","BEST_FPERIOD_OVERRIDE=FQ","FILING_STATUS=MR","SCALING_FORMAT=MLN","FA_ADJUSTED=GAAP","Sort=A","Dates=H","DateFormat=P","Fill=—","Direction=H","UseDPDF=Y")</f>
        <v>3202</v>
      </c>
      <c r="F29" s="16">
        <f>_xll.BDH("WMT US Equity","NI_INCLUDING_MINORITY_INT_RATIO","FQ4 2017","FQ4 2017","Currency=USD","Period=FQ","BEST_FPERIOD_OVERRIDE=FQ","FILING_STATUS=MR","SCALING_FORMAT=MLN","FA_ADJUSTED=GAAP","Sort=A","Dates=H","DateFormat=P","Fill=—","Direction=H","UseDPDF=Y")</f>
        <v>3986</v>
      </c>
      <c r="G29" s="16">
        <f>_xll.BDH("WMT US Equity","NI_INCLUDING_MINORITY_INT_RATIO","FQ1 2018","FQ1 2018","Currency=USD","Period=FQ","BEST_FPERIOD_OVERRIDE=FQ","FILING_STATUS=MR","SCALING_FORMAT=MLN","FA_ADJUSTED=GAAP","Sort=A","Dates=H","DateFormat=P","Fill=—","Direction=H","UseDPDF=Y")</f>
        <v>3152</v>
      </c>
      <c r="H29" s="16">
        <f>_xll.BDH("WMT US Equity","NI_INCLUDING_MINORITY_INT_RATIO","FQ2 2018","FQ2 2018","Currency=USD","Period=FQ","BEST_FPERIOD_OVERRIDE=FQ","FILING_STATUS=MR","SCALING_FORMAT=MLN","FA_ADJUSTED=GAAP","Sort=A","Dates=H","DateFormat=P","Fill=—","Direction=H","UseDPDF=Y")</f>
        <v>3104</v>
      </c>
      <c r="I29" s="16">
        <f>_xll.BDH("WMT US Equity","NI_INCLUDING_MINORITY_INT_RATIO","FQ3 2018","FQ3 2018","Currency=USD","Period=FQ","BEST_FPERIOD_OVERRIDE=FQ","FILING_STATUS=MR","SCALING_FORMAT=MLN","FA_ADJUSTED=GAAP","Sort=A","Dates=H","DateFormat=P","Fill=—","Direction=H","UseDPDF=Y")</f>
        <v>1904</v>
      </c>
      <c r="J29" s="16">
        <f>_xll.BDH("WMT US Equity","NI_INCLUDING_MINORITY_INT_RATIO","FQ4 2018","FQ4 2018","Currency=USD","Period=FQ","BEST_FPERIOD_OVERRIDE=FQ","FILING_STATUS=MR","SCALING_FORMAT=MLN","FA_ADJUSTED=GAAP","Sort=A","Dates=H","DateFormat=P","Fill=—","Direction=H","UseDPDF=Y")</f>
        <v>2363</v>
      </c>
      <c r="K29" s="16">
        <f>_xll.BDH("WMT US Equity","NI_INCLUDING_MINORITY_INT_RATIO","FQ1 2019","FQ1 2019","Currency=USD","Period=FQ","BEST_FPERIOD_OVERRIDE=FQ","FILING_STATUS=MR","SCALING_FORMAT=MLN","FA_ADJUSTED=GAAP","Sort=A","Dates=H","DateFormat=P","Fill=—","Direction=H","UseDPDF=Y")</f>
        <v>2276</v>
      </c>
      <c r="L29" s="16">
        <f>_xll.BDH("WMT US Equity","NI_INCLUDING_MINORITY_INT_RATIO","FQ2 2019","FQ2 2019","Currency=USD","Period=FQ","BEST_FPERIOD_OVERRIDE=FQ","FILING_STATUS=MR","SCALING_FORMAT=MLN","FA_ADJUSTED=GAAP","Sort=A","Dates=H","DateFormat=P","Fill=—","Direction=H","UseDPDF=Y")</f>
        <v>-727</v>
      </c>
      <c r="M29" s="16">
        <f>_xll.BDH("WMT US Equity","NI_INCLUDING_MINORITY_INT_RATIO","FQ3 2019","FQ3 2019","Currency=USD","Period=FQ","BEST_FPERIOD_OVERRIDE=FQ","FILING_STATUS=MR","SCALING_FORMAT=MLN","FA_ADJUSTED=GAAP","Sort=A","Dates=H","DateFormat=P","Fill=—","Direction=H","UseDPDF=Y")</f>
        <v>1817</v>
      </c>
      <c r="N29" s="16">
        <f>_xll.BDH("WMT US Equity","NI_INCLUDING_MINORITY_INT_RATIO","FQ4 2019","FQ4 2019","Currency=USD","Period=FQ","BEST_FPERIOD_OVERRIDE=FQ","FILING_STATUS=MR","SCALING_FORMAT=MLN","FA_ADJUSTED=GAAP","Sort=A","Dates=H","DateFormat=P","Fill=—","Direction=H","UseDPDF=Y")</f>
        <v>3813</v>
      </c>
      <c r="O29" s="16">
        <f>_xll.BDH("WMT US Equity","NI_INCLUDING_MINORITY_INT_RATIO","FQ1 2020","FQ1 2020","Currency=USD","Period=FQ","BEST_FPERIOD_OVERRIDE=FQ","FILING_STATUS=MR","SCALING_FORMAT=MLN","FA_ADJUSTED=GAAP","Sort=A","Dates=H","DateFormat=P","Fill=—","Direction=H","UseDPDF=Y")</f>
        <v>3906</v>
      </c>
      <c r="P29" s="16">
        <f>_xll.BDH("WMT US Equity","NI_INCLUDING_MINORITY_INT_RATIO","FQ2 2020","FQ2 2020","Currency=USD","Period=FQ","BEST_FPERIOD_OVERRIDE=FQ","FILING_STATUS=MR","SCALING_FORMAT=MLN","FA_ADJUSTED=GAAP","Sort=A","Dates=H","DateFormat=P","Fill=—","Direction=H","UseDPDF=Y")</f>
        <v>3680</v>
      </c>
      <c r="Q29" s="16">
        <f>_xll.BDH("WMT US Equity","NI_INCLUDING_MINORITY_INT_RATIO","FQ3 2020","FQ3 2020","Currency=USD","Period=FQ","BEST_FPERIOD_OVERRIDE=FQ","FILING_STATUS=MR","SCALING_FORMAT=MLN","FA_ADJUSTED=GAAP","Sort=A","Dates=H","DateFormat=P","Fill=—","Direction=H","UseDPDF=Y")</f>
        <v>3321</v>
      </c>
      <c r="R29" s="16">
        <f>_xll.BDH("WMT US Equity","NI_INCLUDING_MINORITY_INT_RATIO","FQ4 2020","FQ4 2020","Currency=USD","Period=FQ","BEST_FPERIOD_OVERRIDE=FQ","FILING_STATUS=MR","SCALING_FORMAT=MLN","FA_ADJUSTED=GAAP","Sort=A","Dates=H","DateFormat=P","Fill=—","Direction=H","UseDPDF=Y")</f>
        <v>4294</v>
      </c>
      <c r="S29" s="16">
        <f>_xll.BDH("WMT US Equity","NI_INCLUDING_MINORITY_INT_RATIO","FQ1 2021","FQ1 2021","Currency=USD","Period=FQ","BEST_FPERIOD_OVERRIDE=FQ","FILING_STATUS=MR","SCALING_FORMAT=MLN","FA_ADJUSTED=GAAP","Sort=A","Dates=H","DateFormat=P","Fill=—","Direction=H","UseDPDF=Y")</f>
        <v>4074</v>
      </c>
      <c r="T29" s="16">
        <f>_xll.BDH("WMT US Equity","NI_INCLUDING_MINORITY_INT_RATIO","FQ2 2021","FQ2 2021","Currency=USD","Period=FQ","BEST_FPERIOD_OVERRIDE=FQ","FILING_STATUS=MR","SCALING_FORMAT=MLN","FA_ADJUSTED=GAAP","Sort=A","Dates=H","DateFormat=P","Fill=—","Direction=H","UseDPDF=Y")</f>
        <v>6439</v>
      </c>
      <c r="U29" s="16">
        <f>_xll.BDH("WMT US Equity","NI_INCLUDING_MINORITY_INT_RATIO","FQ3 2021","FQ3 2021","Currency=USD","Period=FQ","BEST_FPERIOD_OVERRIDE=FQ","FILING_STATUS=MR","SCALING_FORMAT=MLN","FA_ADJUSTED=GAAP","Sort=A","Dates=H","DateFormat=P","Fill=—","Direction=H","UseDPDF=Y")</f>
        <v>5201</v>
      </c>
      <c r="V29" s="16">
        <f>_xll.BDH("WMT US Equity","NI_INCLUDING_MINORITY_INT_RATIO","FQ4 2021","FQ4 2021","Currency=USD","Period=FQ","BEST_FPERIOD_OVERRIDE=FQ","FILING_STATUS=MR","SCALING_FORMAT=MLN","FA_ADJUSTED=GAAP","Sort=A","Dates=H","DateFormat=P","Fill=—","Direction=H","UseDPDF=Y")</f>
        <v>-2008</v>
      </c>
      <c r="W29" s="16">
        <f>_xll.BDH("WMT US Equity","NI_INCLUDING_MINORITY_INT_RATIO","FQ1 2022","FQ1 2022","Currency=USD","Period=FQ","BEST_FPERIOD_OVERRIDE=FQ","FILING_STATUS=MR","SCALING_FORMAT=MLN","FA_ADJUSTED=GAAP","Sort=A","Dates=H","DateFormat=P","Fill=—","Direction=H","UseDPDF=Y")</f>
        <v>2811</v>
      </c>
      <c r="X29" s="16">
        <f>_xll.BDH("WMT US Equity","NI_INCLUDING_MINORITY_INT_RATIO","FQ2 2022","FQ2 2022","Currency=USD","Period=FQ","BEST_FPERIOD_OVERRIDE=FQ","FILING_STATUS=MR","SCALING_FORMAT=MLN","FA_ADJUSTED=GAAP","Sort=A","Dates=H","DateFormat=P","Fill=—","Direction=H","UseDPDF=Y")</f>
        <v>4364</v>
      </c>
      <c r="Y29" s="16">
        <f>_xll.BDH("WMT US Equity","NI_INCLUDING_MINORITY_INT_RATIO","FQ3 2022","FQ3 2022","Currency=USD","Period=FQ","BEST_FPERIOD_OVERRIDE=FQ","FILING_STATUS=MR","SCALING_FORMAT=MLN","FA_ADJUSTED=GAAP","Sort=A","Dates=H","DateFormat=P","Fill=—","Direction=H","UseDPDF=Y")</f>
        <v>3132</v>
      </c>
      <c r="Z29" s="16">
        <f>_xll.BDH("WMT US Equity","NI_INCLUDING_MINORITY_INT_RATIO","FQ4 2022","FQ4 2022","Currency=USD","Period=FQ","BEST_FPERIOD_OVERRIDE=FQ","FILING_STATUS=MR","SCALING_FORMAT=MLN","FA_ADJUSTED=GAAP","Sort=A","Dates=H","DateFormat=P","Fill=—","Direction=H","UseDPDF=Y")</f>
        <v>3633</v>
      </c>
      <c r="AA29" s="16">
        <f>_xll.BDH("WMT US Equity","NI_INCLUDING_MINORITY_INT_RATIO","FQ1 2023","FQ1 2023","Currency=USD","Period=FQ","BEST_FPERIOD_OVERRIDE=FQ","FILING_STATUS=MR","SCALING_FORMAT=MLN","FA_ADJUSTED=GAAP","Sort=A","Dates=H","DateFormat=P","Fill=—","Direction=H","UseDPDF=Y")</f>
        <v>2103</v>
      </c>
      <c r="AB29" s="16">
        <f>_xll.BDH("WMT US Equity","NI_INCLUDING_MINORITY_INT_RATIO","FQ2 2023","FQ2 2023","Currency=USD","Period=FQ","BEST_FPERIOD_OVERRIDE=FQ","FILING_STATUS=MR","SCALING_FORMAT=MLN","FA_ADJUSTED=GAAP","Sort=A","Dates=H","DateFormat=P","Fill=—","Direction=H","UseDPDF=Y")</f>
        <v>5147</v>
      </c>
      <c r="AC29" s="16">
        <f>_xll.BDH("WMT US Equity","NI_INCLUDING_MINORITY_INT_RATIO","FQ3 2023","FQ3 2023","Currency=USD","Period=FQ","BEST_FPERIOD_OVERRIDE=FQ","FILING_STATUS=MR","SCALING_FORMAT=MLN","FA_ADJUSTED=GAAP","Sort=A","Dates=H","DateFormat=P","Fill=—","Direction=H","UseDPDF=Y")</f>
        <v>-1767</v>
      </c>
      <c r="AD29" s="16">
        <f>_xll.BDH("WMT US Equity","NI_INCLUDING_MINORITY_INT_RATIO","FQ4 2023","FQ4 2023","Currency=USD","Period=FQ","BEST_FPERIOD_OVERRIDE=FQ","FILING_STATUS=MR","SCALING_FORMAT=MLN","FA_ADJUSTED=GAAP","Sort=A","Dates=H","DateFormat=P","Fill=—","Direction=H","UseDPDF=Y")</f>
        <v>5809</v>
      </c>
      <c r="AE29" s="16">
        <f>_xll.BDH("WMT US Equity","NI_INCLUDING_MINORITY_INT_RATIO","FQ1 2024","FQ1 2024","Currency=USD","Period=FQ","BEST_FPERIOD_OVERRIDE=FQ","FILING_STATUS=MR","SCALING_FORMAT=MLN","FA_ADJUSTED=GAAP","Sort=A","Dates=H","DateFormat=P","Fill=—","Direction=H","UseDPDF=Y")</f>
        <v>1896</v>
      </c>
      <c r="AF29" s="16">
        <f>_xll.BDH("WMT US Equity","NI_INCLUDING_MINORITY_INT_RATIO","FQ2 2024","FQ2 2024","Currency=USD","Period=FQ","BEST_FPERIOD_OVERRIDE=FQ","FILING_STATUS=MR","SCALING_FORMAT=MLN","FA_ADJUSTED=GAAP","Sort=A","Dates=H","DateFormat=P","Fill=—","Direction=H","UseDPDF=Y")</f>
        <v>8053</v>
      </c>
      <c r="AG29" s="16">
        <f>_xll.BDH("WMT US Equity","NI_INCLUDING_MINORITY_INT_RATIO","FQ3 2024","FQ3 2024","Currency=USD","Period=FQ","BEST_FPERIOD_OVERRIDE=FQ","FILING_STATUS=MR","SCALING_FORMAT=MLN","FA_ADJUSTED=GAAP","Sort=A","Dates=H","DateFormat=P","Fill=—","Direction=H","UseDPDF=Y")</f>
        <v>643</v>
      </c>
      <c r="AH29" s="16">
        <f>_xll.BDH("WMT US Equity","NI_INCLUDING_MINORITY_INT_RATIO","FQ4 2024","FQ4 2024","Currency=USD","Period=FQ","BEST_FPERIOD_OVERRIDE=FQ","FILING_STATUS=MR","SCALING_FORMAT=MLN","FA_ADJUSTED=GAAP","Sort=A","Dates=H","DateFormat=P","Fill=—","Direction=H","UseDPDF=Y")</f>
        <v>5678</v>
      </c>
      <c r="AI29" s="16">
        <f>_xll.BDH("WMT US Equity","NI_INCLUDING_MINORITY_INT_RATIO","FQ1 2025","FQ1 2025","Currency=USD","Period=FQ","BEST_FPERIOD_OVERRIDE=FQ","FILING_STATUS=MR","SCALING_FORMAT=MLN","FA_ADJUSTED=GAAP","Sort=A","Dates=H","DateFormat=P","Fill=—","Direction=H","UseDPDF=Y")</f>
        <v>5307</v>
      </c>
      <c r="AJ29" s="16">
        <f>_xll.BDH("WMT US Equity","NI_INCLUDING_MINORITY_INT_RATIO","FQ2 2025","FQ2 2025","Currency=USD","Period=FQ","BEST_FPERIOD_OVERRIDE=FQ","FILING_STATUS=MR","SCALING_FORMAT=MLN","FA_ADJUSTED=GAAP","Sort=A","Dates=H","DateFormat=P","Fill=—","Direction=H","UseDPDF=Y")</f>
        <v>4711</v>
      </c>
      <c r="AK29" s="16">
        <f>_xll.BDH("WMT US Equity","NI_INCLUDING_MINORITY_INT_RATIO","FQ3 2025","FQ3 2025","Currency=USD","Period=FQ","BEST_FPERIOD_OVERRIDE=FQ","FILING_STATUS=MR","SCALING_FORMAT=MLN","FA_ADJUSTED=GAAP","Sort=A","Dates=H","DateFormat=P","Fill=—","Direction=H","UseDPDF=Y")</f>
        <v>4714</v>
      </c>
      <c r="AL29" s="16">
        <f>_xll.BDH("WMT US Equity","NI_INCLUDING_MINORITY_INT_RATIO","FQ4 2025","FQ4 2025","Currency=USD","Period=FQ","BEST_FPERIOD_OVERRIDE=FQ","FILING_STATUS=MR","SCALING_FORMAT=MLN","FA_ADJUSTED=GAAP","Sort=A","Dates=H","DateFormat=P","Fill=—","Direction=H","UseDPDF=Y")</f>
        <v>5425</v>
      </c>
      <c r="AM29" s="16">
        <f>_xll.BDH("WMT US Equity","NI_INCLUDING_MINORITY_INT_RATIO","FQ1 2026","FQ1 2026","Currency=USD","Period=FQ","BEST_FPERIOD_OVERRIDE=FQ","FILING_STATUS=MR","SCALING_FORMAT=MLN","FA_ADJUSTED=GAAP","Sort=A","Dates=H","DateFormat=P","Fill=—","Direction=H","UseDPDF=Y")</f>
        <v>4639</v>
      </c>
      <c r="AN29" s="16">
        <f>_xll.BDH("WMT US Equity","NI_INCLUDING_MINORITY_INT_RATIO","FQ2 2026","FQ2 2026","Currency=USD","Period=FQ","BEST_FPERIOD_OVERRIDE=FQ","FILING_STATUS=MR","SCALING_FORMAT=MLN","FA_ADJUSTED=GAAP","Sort=A","Dates=H","DateFormat=P","Fill=—","Direction=H","UseDPDF=Y")</f>
        <v>7151</v>
      </c>
      <c r="AO29" s="16"/>
      <c r="AP29" s="16"/>
    </row>
    <row r="30" spans="1:42" x14ac:dyDescent="0.3">
      <c r="A30" s="10" t="s">
        <v>186</v>
      </c>
      <c r="B30" s="10" t="s">
        <v>115</v>
      </c>
      <c r="C30" s="13">
        <f>_xll.BDH("WMT US Equity","MIN_NONCONTROL_INTEREST_CREDITS","FQ1 2017","FQ1 2017","Currency=USD","Period=FQ","BEST_FPERIOD_OVERRIDE=FQ","FILING_STATUS=MR","SCALING_FORMAT=MLN","FA_ADJUSTED=GAAP","Sort=A","Dates=H","DateFormat=P","Fill=—","Direction=H","UseDPDF=Y")</f>
        <v>137</v>
      </c>
      <c r="D30" s="13">
        <f>_xll.BDH("WMT US Equity","MIN_NONCONTROL_INTEREST_CREDITS","FQ2 2017","FQ2 2017","Currency=USD","Period=FQ","BEST_FPERIOD_OVERRIDE=FQ","FILING_STATUS=MR","SCALING_FORMAT=MLN","FA_ADJUSTED=GAAP","Sort=A","Dates=H","DateFormat=P","Fill=—","Direction=H","UseDPDF=Y")</f>
        <v>116</v>
      </c>
      <c r="E30" s="13">
        <f>_xll.BDH("WMT US Equity","MIN_NONCONTROL_INTEREST_CREDITS","FQ3 2017","FQ3 2017","Currency=USD","Period=FQ","BEST_FPERIOD_OVERRIDE=FQ","FILING_STATUS=MR","SCALING_FORMAT=MLN","FA_ADJUSTED=GAAP","Sort=A","Dates=H","DateFormat=P","Fill=—","Direction=H","UseDPDF=Y")</f>
        <v>168</v>
      </c>
      <c r="F30" s="13">
        <f>_xll.BDH("WMT US Equity","MIN_NONCONTROL_INTEREST_CREDITS","FQ4 2017","FQ4 2017","Currency=USD","Period=FQ","BEST_FPERIOD_OVERRIDE=FQ","FILING_STATUS=MR","SCALING_FORMAT=MLN","FA_ADJUSTED=GAAP","Sort=A","Dates=H","DateFormat=P","Fill=—","Direction=H","UseDPDF=Y")</f>
        <v>229</v>
      </c>
      <c r="G30" s="13">
        <f>_xll.BDH("WMT US Equity","MIN_NONCONTROL_INTEREST_CREDITS","FQ1 2018","FQ1 2018","Currency=USD","Period=FQ","BEST_FPERIOD_OVERRIDE=FQ","FILING_STATUS=MR","SCALING_FORMAT=MLN","FA_ADJUSTED=GAAP","Sort=A","Dates=H","DateFormat=P","Fill=—","Direction=H","UseDPDF=Y")</f>
        <v>113</v>
      </c>
      <c r="H30" s="13">
        <f>_xll.BDH("WMT US Equity","MIN_NONCONTROL_INTEREST_CREDITS","FQ2 2018","FQ2 2018","Currency=USD","Period=FQ","BEST_FPERIOD_OVERRIDE=FQ","FILING_STATUS=MR","SCALING_FORMAT=MLN","FA_ADJUSTED=GAAP","Sort=A","Dates=H","DateFormat=P","Fill=—","Direction=H","UseDPDF=Y")</f>
        <v>205</v>
      </c>
      <c r="I30" s="13">
        <f>_xll.BDH("WMT US Equity","MIN_NONCONTROL_INTEREST_CREDITS","FQ3 2018","FQ3 2018","Currency=USD","Period=FQ","BEST_FPERIOD_OVERRIDE=FQ","FILING_STATUS=MR","SCALING_FORMAT=MLN","FA_ADJUSTED=GAAP","Sort=A","Dates=H","DateFormat=P","Fill=—","Direction=H","UseDPDF=Y")</f>
        <v>155</v>
      </c>
      <c r="J30" s="13">
        <f>_xll.BDH("WMT US Equity","MIN_NONCONTROL_INTEREST_CREDITS","FQ4 2018","FQ4 2018","Currency=USD","Period=FQ","BEST_FPERIOD_OVERRIDE=FQ","FILING_STATUS=MR","SCALING_FORMAT=MLN","FA_ADJUSTED=GAAP","Sort=A","Dates=H","DateFormat=P","Fill=—","Direction=H","UseDPDF=Y")</f>
        <v>188</v>
      </c>
      <c r="K30" s="13">
        <f>_xll.BDH("WMT US Equity","MIN_NONCONTROL_INTEREST_CREDITS","FQ1 2019","FQ1 2019","Currency=USD","Period=FQ","BEST_FPERIOD_OVERRIDE=FQ","FILING_STATUS=MR","SCALING_FORMAT=MLN","FA_ADJUSTED=GAAP","Sort=A","Dates=H","DateFormat=P","Fill=—","Direction=H","UseDPDF=Y")</f>
        <v>142</v>
      </c>
      <c r="L30" s="13">
        <f>_xll.BDH("WMT US Equity","MIN_NONCONTROL_INTEREST_CREDITS","FQ2 2019","FQ2 2019","Currency=USD","Period=FQ","BEST_FPERIOD_OVERRIDE=FQ","FILING_STATUS=MR","SCALING_FORMAT=MLN","FA_ADJUSTED=GAAP","Sort=A","Dates=H","DateFormat=P","Fill=—","Direction=H","UseDPDF=Y")</f>
        <v>134</v>
      </c>
      <c r="M30" s="13">
        <f>_xll.BDH("WMT US Equity","MIN_NONCONTROL_INTEREST_CREDITS","FQ3 2019","FQ3 2019","Currency=USD","Period=FQ","BEST_FPERIOD_OVERRIDE=FQ","FILING_STATUS=MR","SCALING_FORMAT=MLN","FA_ADJUSTED=GAAP","Sort=A","Dates=H","DateFormat=P","Fill=—","Direction=H","UseDPDF=Y")</f>
        <v>107</v>
      </c>
      <c r="N30" s="13">
        <f>_xll.BDH("WMT US Equity","MIN_NONCONTROL_INTEREST_CREDITS","FQ4 2019","FQ4 2019","Currency=USD","Period=FQ","BEST_FPERIOD_OVERRIDE=FQ","FILING_STATUS=MR","SCALING_FORMAT=MLN","FA_ADJUSTED=GAAP","Sort=A","Dates=H","DateFormat=P","Fill=—","Direction=H","UseDPDF=Y")</f>
        <v>126</v>
      </c>
      <c r="O30" s="13">
        <f>_xll.BDH("WMT US Equity","MIN_NONCONTROL_INTEREST_CREDITS","FQ1 2020","FQ1 2020","Currency=USD","Period=FQ","BEST_FPERIOD_OVERRIDE=FQ","FILING_STATUS=MR","SCALING_FORMAT=MLN","FA_ADJUSTED=GAAP","Sort=A","Dates=H","DateFormat=P","Fill=—","Direction=H","UseDPDF=Y")</f>
        <v>64</v>
      </c>
      <c r="P30" s="13">
        <f>_xll.BDH("WMT US Equity","MIN_NONCONTROL_INTEREST_CREDITS","FQ2 2020","FQ2 2020","Currency=USD","Period=FQ","BEST_FPERIOD_OVERRIDE=FQ","FILING_STATUS=MR","SCALING_FORMAT=MLN","FA_ADJUSTED=GAAP","Sort=A","Dates=H","DateFormat=P","Fill=—","Direction=H","UseDPDF=Y")</f>
        <v>70</v>
      </c>
      <c r="Q30" s="13">
        <f>_xll.BDH("WMT US Equity","MIN_NONCONTROL_INTEREST_CREDITS","FQ3 2020","FQ3 2020","Currency=USD","Period=FQ","BEST_FPERIOD_OVERRIDE=FQ","FILING_STATUS=MR","SCALING_FORMAT=MLN","FA_ADJUSTED=GAAP","Sort=A","Dates=H","DateFormat=P","Fill=—","Direction=H","UseDPDF=Y")</f>
        <v>33</v>
      </c>
      <c r="R30" s="13">
        <f>_xll.BDH("WMT US Equity","MIN_NONCONTROL_INTEREST_CREDITS","FQ4 2020","FQ4 2020","Currency=USD","Period=FQ","BEST_FPERIOD_OVERRIDE=FQ","FILING_STATUS=MR","SCALING_FORMAT=MLN","FA_ADJUSTED=GAAP","Sort=A","Dates=H","DateFormat=P","Fill=—","Direction=H","UseDPDF=Y")</f>
        <v>153</v>
      </c>
      <c r="S30" s="13">
        <f>_xll.BDH("WMT US Equity","MIN_NONCONTROL_INTEREST_CREDITS","FQ1 2021","FQ1 2021","Currency=USD","Period=FQ","BEST_FPERIOD_OVERRIDE=FQ","FILING_STATUS=MR","SCALING_FORMAT=MLN","FA_ADJUSTED=GAAP","Sort=A","Dates=H","DateFormat=P","Fill=—","Direction=H","UseDPDF=Y")</f>
        <v>84</v>
      </c>
      <c r="T30" s="13">
        <f>_xll.BDH("WMT US Equity","MIN_NONCONTROL_INTEREST_CREDITS","FQ2 2021","FQ2 2021","Currency=USD","Period=FQ","BEST_FPERIOD_OVERRIDE=FQ","FILING_STATUS=MR","SCALING_FORMAT=MLN","FA_ADJUSTED=GAAP","Sort=A","Dates=H","DateFormat=P","Fill=—","Direction=H","UseDPDF=Y")</f>
        <v>-37</v>
      </c>
      <c r="U30" s="13">
        <f>_xll.BDH("WMT US Equity","MIN_NONCONTROL_INTEREST_CREDITS","FQ3 2021","FQ3 2021","Currency=USD","Period=FQ","BEST_FPERIOD_OVERRIDE=FQ","FILING_STATUS=MR","SCALING_FORMAT=MLN","FA_ADJUSTED=GAAP","Sort=A","Dates=H","DateFormat=P","Fill=—","Direction=H","UseDPDF=Y")</f>
        <v>66</v>
      </c>
      <c r="V30" s="13">
        <f>_xll.BDH("WMT US Equity","MIN_NONCONTROL_INTEREST_CREDITS","FQ4 2021","FQ4 2021","Currency=USD","Period=FQ","BEST_FPERIOD_OVERRIDE=FQ","FILING_STATUS=MR","SCALING_FORMAT=MLN","FA_ADJUSTED=GAAP","Sort=A","Dates=H","DateFormat=P","Fill=—","Direction=H","UseDPDF=Y")</f>
        <v>83</v>
      </c>
      <c r="W30" s="13">
        <f>_xll.BDH("WMT US Equity","MIN_NONCONTROL_INTEREST_CREDITS","FQ1 2022","FQ1 2022","Currency=USD","Period=FQ","BEST_FPERIOD_OVERRIDE=FQ","FILING_STATUS=MR","SCALING_FORMAT=MLN","FA_ADJUSTED=GAAP","Sort=A","Dates=H","DateFormat=P","Fill=—","Direction=H","UseDPDF=Y")</f>
        <v>81</v>
      </c>
      <c r="X30" s="13">
        <f>_xll.BDH("WMT US Equity","MIN_NONCONTROL_INTEREST_CREDITS","FQ2 2022","FQ2 2022","Currency=USD","Period=FQ","BEST_FPERIOD_OVERRIDE=FQ","FILING_STATUS=MR","SCALING_FORMAT=MLN","FA_ADJUSTED=GAAP","Sort=A","Dates=H","DateFormat=P","Fill=—","Direction=H","UseDPDF=Y")</f>
        <v>88</v>
      </c>
      <c r="Y30" s="13">
        <f>_xll.BDH("WMT US Equity","MIN_NONCONTROL_INTEREST_CREDITS","FQ3 2022","FQ3 2022","Currency=USD","Period=FQ","BEST_FPERIOD_OVERRIDE=FQ","FILING_STATUS=MR","SCALING_FORMAT=MLN","FA_ADJUSTED=GAAP","Sort=A","Dates=H","DateFormat=P","Fill=—","Direction=H","UseDPDF=Y")</f>
        <v>27</v>
      </c>
      <c r="Z30" s="13">
        <f>_xll.BDH("WMT US Equity","MIN_NONCONTROL_INTEREST_CREDITS","FQ4 2022","FQ4 2022","Currency=USD","Period=FQ","BEST_FPERIOD_OVERRIDE=FQ","FILING_STATUS=MR","SCALING_FORMAT=MLN","FA_ADJUSTED=GAAP","Sort=A","Dates=H","DateFormat=P","Fill=—","Direction=H","UseDPDF=Y")</f>
        <v>71</v>
      </c>
      <c r="AA30" s="13">
        <f>_xll.BDH("WMT US Equity","MIN_NONCONTROL_INTEREST_CREDITS","FQ1 2023","FQ1 2023","Currency=USD","Period=FQ","BEST_FPERIOD_OVERRIDE=FQ","FILING_STATUS=MR","SCALING_FORMAT=MLN","FA_ADJUSTED=GAAP","Sort=A","Dates=H","DateFormat=P","Fill=—","Direction=H","UseDPDF=Y")</f>
        <v>49</v>
      </c>
      <c r="AB30" s="13">
        <f>_xll.BDH("WMT US Equity","MIN_NONCONTROL_INTEREST_CREDITS","FQ2 2023","FQ2 2023","Currency=USD","Period=FQ","BEST_FPERIOD_OVERRIDE=FQ","FILING_STATUS=MR","SCALING_FORMAT=MLN","FA_ADJUSTED=GAAP","Sort=A","Dates=H","DateFormat=P","Fill=—","Direction=H","UseDPDF=Y")</f>
        <v>-2</v>
      </c>
      <c r="AC30" s="13">
        <f>_xll.BDH("WMT US Equity","MIN_NONCONTROL_INTEREST_CREDITS","FQ3 2023","FQ3 2023","Currency=USD","Period=FQ","BEST_FPERIOD_OVERRIDE=FQ","FILING_STATUS=MR","SCALING_FORMAT=MLN","FA_ADJUSTED=GAAP","Sort=A","Dates=H","DateFormat=P","Fill=—","Direction=H","UseDPDF=Y")</f>
        <v>31</v>
      </c>
      <c r="AD30" s="13">
        <f>_xll.BDH("WMT US Equity","MIN_NONCONTROL_INTEREST_CREDITS","FQ4 2023","FQ4 2023","Currency=USD","Period=FQ","BEST_FPERIOD_OVERRIDE=FQ","FILING_STATUS=MR","SCALING_FORMAT=MLN","FA_ADJUSTED=GAAP","Sort=A","Dates=H","DateFormat=P","Fill=—","Direction=H","UseDPDF=Y")</f>
        <v>-466</v>
      </c>
      <c r="AE30" s="13">
        <f>_xll.BDH("WMT US Equity","MIN_NONCONTROL_INTEREST_CREDITS","FQ1 2024","FQ1 2024","Currency=USD","Period=FQ","BEST_FPERIOD_OVERRIDE=FQ","FILING_STATUS=MR","SCALING_FORMAT=MLN","FA_ADJUSTED=GAAP","Sort=A","Dates=H","DateFormat=P","Fill=—","Direction=H","UseDPDF=Y")</f>
        <v>223</v>
      </c>
      <c r="AF30" s="13">
        <f>_xll.BDH("WMT US Equity","MIN_NONCONTROL_INTEREST_CREDITS","FQ2 2024","FQ2 2024","Currency=USD","Period=FQ","BEST_FPERIOD_OVERRIDE=FQ","FILING_STATUS=MR","SCALING_FORMAT=MLN","FA_ADJUSTED=GAAP","Sort=A","Dates=H","DateFormat=P","Fill=—","Direction=H","UseDPDF=Y")</f>
        <v>162</v>
      </c>
      <c r="AG30" s="13">
        <f>_xll.BDH("WMT US Equity","MIN_NONCONTROL_INTEREST_CREDITS","FQ3 2024","FQ3 2024","Currency=USD","Period=FQ","BEST_FPERIOD_OVERRIDE=FQ","FILING_STATUS=MR","SCALING_FORMAT=MLN","FA_ADJUSTED=GAAP","Sort=A","Dates=H","DateFormat=P","Fill=—","Direction=H","UseDPDF=Y")</f>
        <v>190</v>
      </c>
      <c r="AH30" s="13">
        <f>_xll.BDH("WMT US Equity","MIN_NONCONTROL_INTEREST_CREDITS","FQ4 2024","FQ4 2024","Currency=USD","Period=FQ","BEST_FPERIOD_OVERRIDE=FQ","FILING_STATUS=MR","SCALING_FORMAT=MLN","FA_ADJUSTED=GAAP","Sort=A","Dates=H","DateFormat=P","Fill=—","Direction=H","UseDPDF=Y")</f>
        <v>184</v>
      </c>
      <c r="AI30" s="13">
        <f>_xll.BDH("WMT US Equity","MIN_NONCONTROL_INTEREST_CREDITS","FQ1 2025","FQ1 2025","Currency=USD","Period=FQ","BEST_FPERIOD_OVERRIDE=FQ","FILING_STATUS=MR","SCALING_FORMAT=MLN","FA_ADJUSTED=GAAP","Sort=A","Dates=H","DateFormat=P","Fill=—","Direction=H","UseDPDF=Y")</f>
        <v>203</v>
      </c>
      <c r="AJ30" s="13">
        <f>_xll.BDH("WMT US Equity","MIN_NONCONTROL_INTEREST_CREDITS","FQ2 2025","FQ2 2025","Currency=USD","Period=FQ","BEST_FPERIOD_OVERRIDE=FQ","FILING_STATUS=MR","SCALING_FORMAT=MLN","FA_ADJUSTED=GAAP","Sort=A","Dates=H","DateFormat=P","Fill=—","Direction=H","UseDPDF=Y")</f>
        <v>210</v>
      </c>
      <c r="AK30" s="13">
        <f>_xll.BDH("WMT US Equity","MIN_NONCONTROL_INTEREST_CREDITS","FQ3 2025","FQ3 2025","Currency=USD","Period=FQ","BEST_FPERIOD_OVERRIDE=FQ","FILING_STATUS=MR","SCALING_FORMAT=MLN","FA_ADJUSTED=GAAP","Sort=A","Dates=H","DateFormat=P","Fill=—","Direction=H","UseDPDF=Y")</f>
        <v>137</v>
      </c>
      <c r="AL30" s="13">
        <f>_xll.BDH("WMT US Equity","MIN_NONCONTROL_INTEREST_CREDITS","FQ4 2025","FQ4 2025","Currency=USD","Period=FQ","BEST_FPERIOD_OVERRIDE=FQ","FILING_STATUS=MR","SCALING_FORMAT=MLN","FA_ADJUSTED=GAAP","Sort=A","Dates=H","DateFormat=P","Fill=—","Direction=H","UseDPDF=Y")</f>
        <v>171</v>
      </c>
      <c r="AM30" s="13">
        <f>_xll.BDH("WMT US Equity","MIN_NONCONTROL_INTEREST_CREDITS","FQ1 2026","FQ1 2026","Currency=USD","Period=FQ","BEST_FPERIOD_OVERRIDE=FQ","FILING_STATUS=MR","SCALING_FORMAT=MLN","FA_ADJUSTED=GAAP","Sort=A","Dates=H","DateFormat=P","Fill=—","Direction=H","UseDPDF=Y")</f>
        <v>152</v>
      </c>
      <c r="AN30" s="13">
        <f>_xll.BDH("WMT US Equity","MIN_NONCONTROL_INTEREST_CREDITS","FQ2 2026","FQ2 2026","Currency=USD","Period=FQ","BEST_FPERIOD_OVERRIDE=FQ","FILING_STATUS=MR","SCALING_FORMAT=MLN","FA_ADJUSTED=GAAP","Sort=A","Dates=H","DateFormat=P","Fill=—","Direction=H","UseDPDF=Y")</f>
        <v>125</v>
      </c>
      <c r="AO30" s="13"/>
      <c r="AP30" s="13"/>
    </row>
    <row r="31" spans="1:42" x14ac:dyDescent="0.3">
      <c r="A31" s="6" t="s">
        <v>116</v>
      </c>
      <c r="B31" s="6" t="s">
        <v>117</v>
      </c>
      <c r="C31" s="16">
        <f>_xll.BDH("WMT US Equity","NET_INCOME","FQ1 2017","FQ1 2017","Currency=USD","Period=FQ","BEST_FPERIOD_OVERRIDE=FQ","FILING_STATUS=MR","SCALING_FORMAT=MLN","FA_ADJUSTED=GAAP","Sort=A","Dates=H","DateFormat=P","Fill=—","Direction=H","UseDPDF=Y")</f>
        <v>3079</v>
      </c>
      <c r="D31" s="16">
        <f>_xll.BDH("WMT US Equity","NET_INCOME","FQ2 2017","FQ2 2017","Currency=USD","Period=FQ","BEST_FPERIOD_OVERRIDE=FQ","FILING_STATUS=MR","SCALING_FORMAT=MLN","FA_ADJUSTED=GAAP","Sort=A","Dates=H","DateFormat=P","Fill=—","Direction=H","UseDPDF=Y")</f>
        <v>3773</v>
      </c>
      <c r="E31" s="16">
        <f>_xll.BDH("WMT US Equity","NET_INCOME","FQ3 2017","FQ3 2017","Currency=USD","Period=FQ","BEST_FPERIOD_OVERRIDE=FQ","FILING_STATUS=MR","SCALING_FORMAT=MLN","FA_ADJUSTED=GAAP","Sort=A","Dates=H","DateFormat=P","Fill=—","Direction=H","UseDPDF=Y")</f>
        <v>3034</v>
      </c>
      <c r="F31" s="16">
        <f>_xll.BDH("WMT US Equity","NET_INCOME","FQ4 2017","FQ4 2017","Currency=USD","Period=FQ","BEST_FPERIOD_OVERRIDE=FQ","FILING_STATUS=MR","SCALING_FORMAT=MLN","FA_ADJUSTED=GAAP","Sort=A","Dates=H","DateFormat=P","Fill=—","Direction=H","UseDPDF=Y")</f>
        <v>3757</v>
      </c>
      <c r="G31" s="16">
        <f>_xll.BDH("WMT US Equity","NET_INCOME","FQ1 2018","FQ1 2018","Currency=USD","Period=FQ","BEST_FPERIOD_OVERRIDE=FQ","FILING_STATUS=MR","SCALING_FORMAT=MLN","FA_ADJUSTED=GAAP","Sort=A","Dates=H","DateFormat=P","Fill=—","Direction=H","UseDPDF=Y")</f>
        <v>3039</v>
      </c>
      <c r="H31" s="16">
        <f>_xll.BDH("WMT US Equity","NET_INCOME","FQ2 2018","FQ2 2018","Currency=USD","Period=FQ","BEST_FPERIOD_OVERRIDE=FQ","FILING_STATUS=MR","SCALING_FORMAT=MLN","FA_ADJUSTED=GAAP","Sort=A","Dates=H","DateFormat=P","Fill=—","Direction=H","UseDPDF=Y")</f>
        <v>2899</v>
      </c>
      <c r="I31" s="16">
        <f>_xll.BDH("WMT US Equity","NET_INCOME","FQ3 2018","FQ3 2018","Currency=USD","Period=FQ","BEST_FPERIOD_OVERRIDE=FQ","FILING_STATUS=MR","SCALING_FORMAT=MLN","FA_ADJUSTED=GAAP","Sort=A","Dates=H","DateFormat=P","Fill=—","Direction=H","UseDPDF=Y")</f>
        <v>1749</v>
      </c>
      <c r="J31" s="16">
        <f>_xll.BDH("WMT US Equity","NET_INCOME","FQ4 2018","FQ4 2018","Currency=USD","Period=FQ","BEST_FPERIOD_OVERRIDE=FQ","FILING_STATUS=MR","SCALING_FORMAT=MLN","FA_ADJUSTED=GAAP","Sort=A","Dates=H","DateFormat=P","Fill=—","Direction=H","UseDPDF=Y")</f>
        <v>2175</v>
      </c>
      <c r="K31" s="16">
        <f>_xll.BDH("WMT US Equity","NET_INCOME","FQ1 2019","FQ1 2019","Currency=USD","Period=FQ","BEST_FPERIOD_OVERRIDE=FQ","FILING_STATUS=MR","SCALING_FORMAT=MLN","FA_ADJUSTED=GAAP","Sort=A","Dates=H","DateFormat=P","Fill=—","Direction=H","UseDPDF=Y")</f>
        <v>2134</v>
      </c>
      <c r="L31" s="16">
        <f>_xll.BDH("WMT US Equity","NET_INCOME","FQ2 2019","FQ2 2019","Currency=USD","Period=FQ","BEST_FPERIOD_OVERRIDE=FQ","FILING_STATUS=MR","SCALING_FORMAT=MLN","FA_ADJUSTED=GAAP","Sort=A","Dates=H","DateFormat=P","Fill=—","Direction=H","UseDPDF=Y")</f>
        <v>-861</v>
      </c>
      <c r="M31" s="16">
        <f>_xll.BDH("WMT US Equity","NET_INCOME","FQ3 2019","FQ3 2019","Currency=USD","Period=FQ","BEST_FPERIOD_OVERRIDE=FQ","FILING_STATUS=MR","SCALING_FORMAT=MLN","FA_ADJUSTED=GAAP","Sort=A","Dates=H","DateFormat=P","Fill=—","Direction=H","UseDPDF=Y")</f>
        <v>1710</v>
      </c>
      <c r="N31" s="16">
        <f>_xll.BDH("WMT US Equity","NET_INCOME","FQ4 2019","FQ4 2019","Currency=USD","Period=FQ","BEST_FPERIOD_OVERRIDE=FQ","FILING_STATUS=MR","SCALING_FORMAT=MLN","FA_ADJUSTED=GAAP","Sort=A","Dates=H","DateFormat=P","Fill=—","Direction=H","UseDPDF=Y")</f>
        <v>3687</v>
      </c>
      <c r="O31" s="16">
        <f>_xll.BDH("WMT US Equity","NET_INCOME","FQ1 2020","FQ1 2020","Currency=USD","Period=FQ","BEST_FPERIOD_OVERRIDE=FQ","FILING_STATUS=MR","SCALING_FORMAT=MLN","FA_ADJUSTED=GAAP","Sort=A","Dates=H","DateFormat=P","Fill=—","Direction=H","UseDPDF=Y")</f>
        <v>3842</v>
      </c>
      <c r="P31" s="16">
        <f>_xll.BDH("WMT US Equity","NET_INCOME","FQ2 2020","FQ2 2020","Currency=USD","Period=FQ","BEST_FPERIOD_OVERRIDE=FQ","FILING_STATUS=MR","SCALING_FORMAT=MLN","FA_ADJUSTED=GAAP","Sort=A","Dates=H","DateFormat=P","Fill=—","Direction=H","UseDPDF=Y")</f>
        <v>3610</v>
      </c>
      <c r="Q31" s="16">
        <f>_xll.BDH("WMT US Equity","NET_INCOME","FQ3 2020","FQ3 2020","Currency=USD","Period=FQ","BEST_FPERIOD_OVERRIDE=FQ","FILING_STATUS=MR","SCALING_FORMAT=MLN","FA_ADJUSTED=GAAP","Sort=A","Dates=H","DateFormat=P","Fill=—","Direction=H","UseDPDF=Y")</f>
        <v>3288</v>
      </c>
      <c r="R31" s="16">
        <f>_xll.BDH("WMT US Equity","NET_INCOME","FQ4 2020","FQ4 2020","Currency=USD","Period=FQ","BEST_FPERIOD_OVERRIDE=FQ","FILING_STATUS=MR","SCALING_FORMAT=MLN","FA_ADJUSTED=GAAP","Sort=A","Dates=H","DateFormat=P","Fill=—","Direction=H","UseDPDF=Y")</f>
        <v>4141</v>
      </c>
      <c r="S31" s="16">
        <f>_xll.BDH("WMT US Equity","NET_INCOME","FQ1 2021","FQ1 2021","Currency=USD","Period=FQ","BEST_FPERIOD_OVERRIDE=FQ","FILING_STATUS=MR","SCALING_FORMAT=MLN","FA_ADJUSTED=GAAP","Sort=A","Dates=H","DateFormat=P","Fill=—","Direction=H","UseDPDF=Y")</f>
        <v>3990</v>
      </c>
      <c r="T31" s="16">
        <f>_xll.BDH("WMT US Equity","NET_INCOME","FQ2 2021","FQ2 2021","Currency=USD","Period=FQ","BEST_FPERIOD_OVERRIDE=FQ","FILING_STATUS=MR","SCALING_FORMAT=MLN","FA_ADJUSTED=GAAP","Sort=A","Dates=H","DateFormat=P","Fill=—","Direction=H","UseDPDF=Y")</f>
        <v>6476</v>
      </c>
      <c r="U31" s="16">
        <f>_xll.BDH("WMT US Equity","NET_INCOME","FQ3 2021","FQ3 2021","Currency=USD","Period=FQ","BEST_FPERIOD_OVERRIDE=FQ","FILING_STATUS=MR","SCALING_FORMAT=MLN","FA_ADJUSTED=GAAP","Sort=A","Dates=H","DateFormat=P","Fill=—","Direction=H","UseDPDF=Y")</f>
        <v>5135</v>
      </c>
      <c r="V31" s="16">
        <f>_xll.BDH("WMT US Equity","NET_INCOME","FQ4 2021","FQ4 2021","Currency=USD","Period=FQ","BEST_FPERIOD_OVERRIDE=FQ","FILING_STATUS=MR","SCALING_FORMAT=MLN","FA_ADJUSTED=GAAP","Sort=A","Dates=H","DateFormat=P","Fill=—","Direction=H","UseDPDF=Y")</f>
        <v>-2091</v>
      </c>
      <c r="W31" s="16">
        <f>_xll.BDH("WMT US Equity","NET_INCOME","FQ1 2022","FQ1 2022","Currency=USD","Period=FQ","BEST_FPERIOD_OVERRIDE=FQ","FILING_STATUS=MR","SCALING_FORMAT=MLN","FA_ADJUSTED=GAAP","Sort=A","Dates=H","DateFormat=P","Fill=—","Direction=H","UseDPDF=Y")</f>
        <v>2730</v>
      </c>
      <c r="X31" s="16">
        <f>_xll.BDH("WMT US Equity","NET_INCOME","FQ2 2022","FQ2 2022","Currency=USD","Period=FQ","BEST_FPERIOD_OVERRIDE=FQ","FILING_STATUS=MR","SCALING_FORMAT=MLN","FA_ADJUSTED=GAAP","Sort=A","Dates=H","DateFormat=P","Fill=—","Direction=H","UseDPDF=Y")</f>
        <v>4276</v>
      </c>
      <c r="Y31" s="16">
        <f>_xll.BDH("WMT US Equity","NET_INCOME","FQ3 2022","FQ3 2022","Currency=USD","Period=FQ","BEST_FPERIOD_OVERRIDE=FQ","FILING_STATUS=MR","SCALING_FORMAT=MLN","FA_ADJUSTED=GAAP","Sort=A","Dates=H","DateFormat=P","Fill=—","Direction=H","UseDPDF=Y")</f>
        <v>3105</v>
      </c>
      <c r="Z31" s="16">
        <f>_xll.BDH("WMT US Equity","NET_INCOME","FQ4 2022","FQ4 2022","Currency=USD","Period=FQ","BEST_FPERIOD_OVERRIDE=FQ","FILING_STATUS=MR","SCALING_FORMAT=MLN","FA_ADJUSTED=GAAP","Sort=A","Dates=H","DateFormat=P","Fill=—","Direction=H","UseDPDF=Y")</f>
        <v>3562</v>
      </c>
      <c r="AA31" s="16">
        <f>_xll.BDH("WMT US Equity","NET_INCOME","FQ1 2023","FQ1 2023","Currency=USD","Period=FQ","BEST_FPERIOD_OVERRIDE=FQ","FILING_STATUS=MR","SCALING_FORMAT=MLN","FA_ADJUSTED=GAAP","Sort=A","Dates=H","DateFormat=P","Fill=—","Direction=H","UseDPDF=Y")</f>
        <v>2054</v>
      </c>
      <c r="AB31" s="16">
        <f>_xll.BDH("WMT US Equity","NET_INCOME","FQ2 2023","FQ2 2023","Currency=USD","Period=FQ","BEST_FPERIOD_OVERRIDE=FQ","FILING_STATUS=MR","SCALING_FORMAT=MLN","FA_ADJUSTED=GAAP","Sort=A","Dates=H","DateFormat=P","Fill=—","Direction=H","UseDPDF=Y")</f>
        <v>5149</v>
      </c>
      <c r="AC31" s="16">
        <f>_xll.BDH("WMT US Equity","NET_INCOME","FQ3 2023","FQ3 2023","Currency=USD","Period=FQ","BEST_FPERIOD_OVERRIDE=FQ","FILING_STATUS=MR","SCALING_FORMAT=MLN","FA_ADJUSTED=GAAP","Sort=A","Dates=H","DateFormat=P","Fill=—","Direction=H","UseDPDF=Y")</f>
        <v>-1798</v>
      </c>
      <c r="AD31" s="16">
        <f>_xll.BDH("WMT US Equity","NET_INCOME","FQ4 2023","FQ4 2023","Currency=USD","Period=FQ","BEST_FPERIOD_OVERRIDE=FQ","FILING_STATUS=MR","SCALING_FORMAT=MLN","FA_ADJUSTED=GAAP","Sort=A","Dates=H","DateFormat=P","Fill=—","Direction=H","UseDPDF=Y")</f>
        <v>6275</v>
      </c>
      <c r="AE31" s="16">
        <f>_xll.BDH("WMT US Equity","NET_INCOME","FQ1 2024","FQ1 2024","Currency=USD","Period=FQ","BEST_FPERIOD_OVERRIDE=FQ","FILING_STATUS=MR","SCALING_FORMAT=MLN","FA_ADJUSTED=GAAP","Sort=A","Dates=H","DateFormat=P","Fill=—","Direction=H","UseDPDF=Y")</f>
        <v>1673</v>
      </c>
      <c r="AF31" s="16">
        <f>_xll.BDH("WMT US Equity","NET_INCOME","FQ2 2024","FQ2 2024","Currency=USD","Period=FQ","BEST_FPERIOD_OVERRIDE=FQ","FILING_STATUS=MR","SCALING_FORMAT=MLN","FA_ADJUSTED=GAAP","Sort=A","Dates=H","DateFormat=P","Fill=—","Direction=H","UseDPDF=Y")</f>
        <v>7891</v>
      </c>
      <c r="AG31" s="16">
        <f>_xll.BDH("WMT US Equity","NET_INCOME","FQ3 2024","FQ3 2024","Currency=USD","Period=FQ","BEST_FPERIOD_OVERRIDE=FQ","FILING_STATUS=MR","SCALING_FORMAT=MLN","FA_ADJUSTED=GAAP","Sort=A","Dates=H","DateFormat=P","Fill=—","Direction=H","UseDPDF=Y")</f>
        <v>453</v>
      </c>
      <c r="AH31" s="16">
        <f>_xll.BDH("WMT US Equity","NET_INCOME","FQ4 2024","FQ4 2024","Currency=USD","Period=FQ","BEST_FPERIOD_OVERRIDE=FQ","FILING_STATUS=MR","SCALING_FORMAT=MLN","FA_ADJUSTED=GAAP","Sort=A","Dates=H","DateFormat=P","Fill=—","Direction=H","UseDPDF=Y")</f>
        <v>5494</v>
      </c>
      <c r="AI31" s="16">
        <f>_xll.BDH("WMT US Equity","NET_INCOME","FQ1 2025","FQ1 2025","Currency=USD","Period=FQ","BEST_FPERIOD_OVERRIDE=FQ","FILING_STATUS=MR","SCALING_FORMAT=MLN","FA_ADJUSTED=GAAP","Sort=A","Dates=H","DateFormat=P","Fill=—","Direction=H","UseDPDF=Y")</f>
        <v>5104</v>
      </c>
      <c r="AJ31" s="16">
        <f>_xll.BDH("WMT US Equity","NET_INCOME","FQ2 2025","FQ2 2025","Currency=USD","Period=FQ","BEST_FPERIOD_OVERRIDE=FQ","FILING_STATUS=MR","SCALING_FORMAT=MLN","FA_ADJUSTED=GAAP","Sort=A","Dates=H","DateFormat=P","Fill=—","Direction=H","UseDPDF=Y")</f>
        <v>4501</v>
      </c>
      <c r="AK31" s="16">
        <f>_xll.BDH("WMT US Equity","NET_INCOME","FQ3 2025","FQ3 2025","Currency=USD","Period=FQ","BEST_FPERIOD_OVERRIDE=FQ","FILING_STATUS=MR","SCALING_FORMAT=MLN","FA_ADJUSTED=GAAP","Sort=A","Dates=H","DateFormat=P","Fill=—","Direction=H","UseDPDF=Y")</f>
        <v>4577</v>
      </c>
      <c r="AL31" s="16">
        <f>_xll.BDH("WMT US Equity","NET_INCOME","FQ4 2025","FQ4 2025","Currency=USD","Period=FQ","BEST_FPERIOD_OVERRIDE=FQ","FILING_STATUS=MR","SCALING_FORMAT=MLN","FA_ADJUSTED=GAAP","Sort=A","Dates=H","DateFormat=P","Fill=—","Direction=H","UseDPDF=Y")</f>
        <v>5254</v>
      </c>
      <c r="AM31" s="16">
        <f>_xll.BDH("WMT US Equity","NET_INCOME","FQ1 2026","FQ1 2026","Currency=USD","Period=FQ","BEST_FPERIOD_OVERRIDE=FQ","FILING_STATUS=MR","SCALING_FORMAT=MLN","FA_ADJUSTED=GAAP","Sort=A","Dates=H","DateFormat=P","Fill=—","Direction=H","UseDPDF=Y")</f>
        <v>4487</v>
      </c>
      <c r="AN31" s="16">
        <f>_xll.BDH("WMT US Equity","NET_INCOME","FQ2 2026","FQ2 2026","Currency=USD","Period=FQ","BEST_FPERIOD_OVERRIDE=FQ","FILING_STATUS=MR","SCALING_FORMAT=MLN","FA_ADJUSTED=GAAP","Sort=A","Dates=H","DateFormat=P","Fill=—","Direction=H","UseDPDF=Y")</f>
        <v>7026</v>
      </c>
      <c r="AO31" s="16">
        <v>4751.2</v>
      </c>
      <c r="AP31" s="16">
        <v>5716.1329999999998</v>
      </c>
    </row>
    <row r="32" spans="1:42" x14ac:dyDescent="0.3">
      <c r="A32" s="10" t="s">
        <v>187</v>
      </c>
      <c r="B32" s="10" t="s">
        <v>118</v>
      </c>
      <c r="C32" s="13">
        <f>_xll.BDH("WMT US Equity","IS_TOT_CASH_PFD_DVD","FQ1 2017","FQ1 2017","Currency=USD","Period=FQ","BEST_FPERIOD_OVERRIDE=FQ","FILING_STATUS=MR","SCALING_FORMAT=MLN","Sort=A","Dates=H","DateFormat=P","Fill=—","Direction=H","UseDPDF=Y")</f>
        <v>0</v>
      </c>
      <c r="D32" s="13">
        <f>_xll.BDH("WMT US Equity","IS_TOT_CASH_PFD_DVD","FQ2 2017","FQ2 2017","Currency=USD","Period=FQ","BEST_FPERIOD_OVERRIDE=FQ","FILING_STATUS=MR","SCALING_FORMAT=MLN","Sort=A","Dates=H","DateFormat=P","Fill=—","Direction=H","UseDPDF=Y")</f>
        <v>0</v>
      </c>
      <c r="E32" s="13">
        <f>_xll.BDH("WMT US Equity","IS_TOT_CASH_PFD_DVD","FQ3 2017","FQ3 2017","Currency=USD","Period=FQ","BEST_FPERIOD_OVERRIDE=FQ","FILING_STATUS=MR","SCALING_FORMAT=MLN","Sort=A","Dates=H","DateFormat=P","Fill=—","Direction=H","UseDPDF=Y")</f>
        <v>0</v>
      </c>
      <c r="F32" s="13">
        <f>_xll.BDH("WMT US Equity","IS_TOT_CASH_PFD_DVD","FQ4 2017","FQ4 2017","Currency=USD","Period=FQ","BEST_FPERIOD_OVERRIDE=FQ","FILING_STATUS=MR","SCALING_FORMAT=MLN","Sort=A","Dates=H","DateFormat=P","Fill=—","Direction=H","UseDPDF=Y")</f>
        <v>0</v>
      </c>
      <c r="G32" s="13">
        <f>_xll.BDH("WMT US Equity","IS_TOT_CASH_PFD_DVD","FQ1 2018","FQ1 2018","Currency=USD","Period=FQ","BEST_FPERIOD_OVERRIDE=FQ","FILING_STATUS=MR","SCALING_FORMAT=MLN","Sort=A","Dates=H","DateFormat=P","Fill=—","Direction=H","UseDPDF=Y")</f>
        <v>0</v>
      </c>
      <c r="H32" s="13">
        <f>_xll.BDH("WMT US Equity","IS_TOT_CASH_PFD_DVD","FQ2 2018","FQ2 2018","Currency=USD","Period=FQ","BEST_FPERIOD_OVERRIDE=FQ","FILING_STATUS=MR","SCALING_FORMAT=MLN","Sort=A","Dates=H","DateFormat=P","Fill=—","Direction=H","UseDPDF=Y")</f>
        <v>0</v>
      </c>
      <c r="I32" s="13">
        <f>_xll.BDH("WMT US Equity","IS_TOT_CASH_PFD_DVD","FQ3 2018","FQ3 2018","Currency=USD","Period=FQ","BEST_FPERIOD_OVERRIDE=FQ","FILING_STATUS=MR","SCALING_FORMAT=MLN","Sort=A","Dates=H","DateFormat=P","Fill=—","Direction=H","UseDPDF=Y")</f>
        <v>0</v>
      </c>
      <c r="J32" s="13">
        <f>_xll.BDH("WMT US Equity","IS_TOT_CASH_PFD_DVD","FQ4 2018","FQ4 2018","Currency=USD","Period=FQ","BEST_FPERIOD_OVERRIDE=FQ","FILING_STATUS=MR","SCALING_FORMAT=MLN","Sort=A","Dates=H","DateFormat=P","Fill=—","Direction=H","UseDPDF=Y")</f>
        <v>0</v>
      </c>
      <c r="K32" s="13">
        <f>_xll.BDH("WMT US Equity","IS_TOT_CASH_PFD_DVD","FQ1 2019","FQ1 2019","Currency=USD","Period=FQ","BEST_FPERIOD_OVERRIDE=FQ","FILING_STATUS=MR","SCALING_FORMAT=MLN","Sort=A","Dates=H","DateFormat=P","Fill=—","Direction=H","UseDPDF=Y")</f>
        <v>0</v>
      </c>
      <c r="L32" s="13">
        <f>_xll.BDH("WMT US Equity","IS_TOT_CASH_PFD_DVD","FQ2 2019","FQ2 2019","Currency=USD","Period=FQ","BEST_FPERIOD_OVERRIDE=FQ","FILING_STATUS=MR","SCALING_FORMAT=MLN","Sort=A","Dates=H","DateFormat=P","Fill=—","Direction=H","UseDPDF=Y")</f>
        <v>0</v>
      </c>
      <c r="M32" s="13">
        <f>_xll.BDH("WMT US Equity","IS_TOT_CASH_PFD_DVD","FQ3 2019","FQ3 2019","Currency=USD","Period=FQ","BEST_FPERIOD_OVERRIDE=FQ","FILING_STATUS=MR","SCALING_FORMAT=MLN","Sort=A","Dates=H","DateFormat=P","Fill=—","Direction=H","UseDPDF=Y")</f>
        <v>0</v>
      </c>
      <c r="N32" s="13">
        <f>_xll.BDH("WMT US Equity","IS_TOT_CASH_PFD_DVD","FQ4 2019","FQ4 2019","Currency=USD","Period=FQ","BEST_FPERIOD_OVERRIDE=FQ","FILING_STATUS=MR","SCALING_FORMAT=MLN","Sort=A","Dates=H","DateFormat=P","Fill=—","Direction=H","UseDPDF=Y")</f>
        <v>0</v>
      </c>
      <c r="O32" s="13">
        <f>_xll.BDH("WMT US Equity","IS_TOT_CASH_PFD_DVD","FQ1 2020","FQ1 2020","Currency=USD","Period=FQ","BEST_FPERIOD_OVERRIDE=FQ","FILING_STATUS=MR","SCALING_FORMAT=MLN","Sort=A","Dates=H","DateFormat=P","Fill=—","Direction=H","UseDPDF=Y")</f>
        <v>0</v>
      </c>
      <c r="P32" s="13">
        <f>_xll.BDH("WMT US Equity","IS_TOT_CASH_PFD_DVD","FQ2 2020","FQ2 2020","Currency=USD","Period=FQ","BEST_FPERIOD_OVERRIDE=FQ","FILING_STATUS=MR","SCALING_FORMAT=MLN","Sort=A","Dates=H","DateFormat=P","Fill=—","Direction=H","UseDPDF=Y")</f>
        <v>0</v>
      </c>
      <c r="Q32" s="13">
        <f>_xll.BDH("WMT US Equity","IS_TOT_CASH_PFD_DVD","FQ3 2020","FQ3 2020","Currency=USD","Period=FQ","BEST_FPERIOD_OVERRIDE=FQ","FILING_STATUS=MR","SCALING_FORMAT=MLN","Sort=A","Dates=H","DateFormat=P","Fill=—","Direction=H","UseDPDF=Y")</f>
        <v>0</v>
      </c>
      <c r="R32" s="13">
        <f>_xll.BDH("WMT US Equity","IS_TOT_CASH_PFD_DVD","FQ4 2020","FQ4 2020","Currency=USD","Period=FQ","BEST_FPERIOD_OVERRIDE=FQ","FILING_STATUS=MR","SCALING_FORMAT=MLN","Sort=A","Dates=H","DateFormat=P","Fill=—","Direction=H","UseDPDF=Y")</f>
        <v>0</v>
      </c>
      <c r="S32" s="13">
        <f>_xll.BDH("WMT US Equity","IS_TOT_CASH_PFD_DVD","FQ1 2021","FQ1 2021","Currency=USD","Period=FQ","BEST_FPERIOD_OVERRIDE=FQ","FILING_STATUS=MR","SCALING_FORMAT=MLN","Sort=A","Dates=H","DateFormat=P","Fill=—","Direction=H","UseDPDF=Y")</f>
        <v>0</v>
      </c>
      <c r="T32" s="13">
        <f>_xll.BDH("WMT US Equity","IS_TOT_CASH_PFD_DVD","FQ2 2021","FQ2 2021","Currency=USD","Period=FQ","BEST_FPERIOD_OVERRIDE=FQ","FILING_STATUS=MR","SCALING_FORMAT=MLN","Sort=A","Dates=H","DateFormat=P","Fill=—","Direction=H","UseDPDF=Y")</f>
        <v>0</v>
      </c>
      <c r="U32" s="13">
        <f>_xll.BDH("WMT US Equity","IS_TOT_CASH_PFD_DVD","FQ3 2021","FQ3 2021","Currency=USD","Period=FQ","BEST_FPERIOD_OVERRIDE=FQ","FILING_STATUS=MR","SCALING_FORMAT=MLN","Sort=A","Dates=H","DateFormat=P","Fill=—","Direction=H","UseDPDF=Y")</f>
        <v>0</v>
      </c>
      <c r="V32" s="13">
        <f>_xll.BDH("WMT US Equity","IS_TOT_CASH_PFD_DVD","FQ4 2021","FQ4 2021","Currency=USD","Period=FQ","BEST_FPERIOD_OVERRIDE=FQ","FILING_STATUS=MR","SCALING_FORMAT=MLN","Sort=A","Dates=H","DateFormat=P","Fill=—","Direction=H","UseDPDF=Y")</f>
        <v>0</v>
      </c>
      <c r="W32" s="13">
        <f>_xll.BDH("WMT US Equity","IS_TOT_CASH_PFD_DVD","FQ1 2022","FQ1 2022","Currency=USD","Period=FQ","BEST_FPERIOD_OVERRIDE=FQ","FILING_STATUS=MR","SCALING_FORMAT=MLN","Sort=A","Dates=H","DateFormat=P","Fill=—","Direction=H","UseDPDF=Y")</f>
        <v>0</v>
      </c>
      <c r="X32" s="13">
        <f>_xll.BDH("WMT US Equity","IS_TOT_CASH_PFD_DVD","FQ2 2022","FQ2 2022","Currency=USD","Period=FQ","BEST_FPERIOD_OVERRIDE=FQ","FILING_STATUS=MR","SCALING_FORMAT=MLN","Sort=A","Dates=H","DateFormat=P","Fill=—","Direction=H","UseDPDF=Y")</f>
        <v>0</v>
      </c>
      <c r="Y32" s="13">
        <f>_xll.BDH("WMT US Equity","IS_TOT_CASH_PFD_DVD","FQ3 2022","FQ3 2022","Currency=USD","Period=FQ","BEST_FPERIOD_OVERRIDE=FQ","FILING_STATUS=MR","SCALING_FORMAT=MLN","Sort=A","Dates=H","DateFormat=P","Fill=—","Direction=H","UseDPDF=Y")</f>
        <v>0</v>
      </c>
      <c r="Z32" s="13">
        <f>_xll.BDH("WMT US Equity","IS_TOT_CASH_PFD_DVD","FQ4 2022","FQ4 2022","Currency=USD","Period=FQ","BEST_FPERIOD_OVERRIDE=FQ","FILING_STATUS=MR","SCALING_FORMAT=MLN","Sort=A","Dates=H","DateFormat=P","Fill=—","Direction=H","UseDPDF=Y")</f>
        <v>0</v>
      </c>
      <c r="AA32" s="13">
        <f>_xll.BDH("WMT US Equity","IS_TOT_CASH_PFD_DVD","FQ1 2023","FQ1 2023","Currency=USD","Period=FQ","BEST_FPERIOD_OVERRIDE=FQ","FILING_STATUS=MR","SCALING_FORMAT=MLN","Sort=A","Dates=H","DateFormat=P","Fill=—","Direction=H","UseDPDF=Y")</f>
        <v>0</v>
      </c>
      <c r="AB32" s="13">
        <f>_xll.BDH("WMT US Equity","IS_TOT_CASH_PFD_DVD","FQ2 2023","FQ2 2023","Currency=USD","Period=FQ","BEST_FPERIOD_OVERRIDE=FQ","FILING_STATUS=MR","SCALING_FORMAT=MLN","Sort=A","Dates=H","DateFormat=P","Fill=—","Direction=H","UseDPDF=Y")</f>
        <v>0</v>
      </c>
      <c r="AC32" s="13">
        <f>_xll.BDH("WMT US Equity","IS_TOT_CASH_PFD_DVD","FQ3 2023","FQ3 2023","Currency=USD","Period=FQ","BEST_FPERIOD_OVERRIDE=FQ","FILING_STATUS=MR","SCALING_FORMAT=MLN","Sort=A","Dates=H","DateFormat=P","Fill=—","Direction=H","UseDPDF=Y")</f>
        <v>0</v>
      </c>
      <c r="AD32" s="13">
        <f>_xll.BDH("WMT US Equity","IS_TOT_CASH_PFD_DVD","FQ4 2023","FQ4 2023","Currency=USD","Period=FQ","BEST_FPERIOD_OVERRIDE=FQ","FILING_STATUS=MR","SCALING_FORMAT=MLN","Sort=A","Dates=H","DateFormat=P","Fill=—","Direction=H","UseDPDF=Y")</f>
        <v>0</v>
      </c>
      <c r="AE32" s="13">
        <f>_xll.BDH("WMT US Equity","IS_TOT_CASH_PFD_DVD","FQ1 2024","FQ1 2024","Currency=USD","Period=FQ","BEST_FPERIOD_OVERRIDE=FQ","FILING_STATUS=MR","SCALING_FORMAT=MLN","Sort=A","Dates=H","DateFormat=P","Fill=—","Direction=H","UseDPDF=Y")</f>
        <v>0</v>
      </c>
      <c r="AF32" s="13">
        <f>_xll.BDH("WMT US Equity","IS_TOT_CASH_PFD_DVD","FQ2 2024","FQ2 2024","Currency=USD","Period=FQ","BEST_FPERIOD_OVERRIDE=FQ","FILING_STATUS=MR","SCALING_FORMAT=MLN","Sort=A","Dates=H","DateFormat=P","Fill=—","Direction=H","UseDPDF=Y")</f>
        <v>0</v>
      </c>
      <c r="AG32" s="13">
        <f>_xll.BDH("WMT US Equity","IS_TOT_CASH_PFD_DVD","FQ3 2024","FQ3 2024","Currency=USD","Period=FQ","BEST_FPERIOD_OVERRIDE=FQ","FILING_STATUS=MR","SCALING_FORMAT=MLN","Sort=A","Dates=H","DateFormat=P","Fill=—","Direction=H","UseDPDF=Y")</f>
        <v>0</v>
      </c>
      <c r="AH32" s="13">
        <f>_xll.BDH("WMT US Equity","IS_TOT_CASH_PFD_DVD","FQ4 2024","FQ4 2024","Currency=USD","Period=FQ","BEST_FPERIOD_OVERRIDE=FQ","FILING_STATUS=MR","SCALING_FORMAT=MLN","Sort=A","Dates=H","DateFormat=P","Fill=—","Direction=H","UseDPDF=Y")</f>
        <v>0</v>
      </c>
      <c r="AI32" s="13">
        <f>_xll.BDH("WMT US Equity","IS_TOT_CASH_PFD_DVD","FQ1 2025","FQ1 2025","Currency=USD","Period=FQ","BEST_FPERIOD_OVERRIDE=FQ","FILING_STATUS=MR","SCALING_FORMAT=MLN","Sort=A","Dates=H","DateFormat=P","Fill=—","Direction=H","UseDPDF=Y")</f>
        <v>0</v>
      </c>
      <c r="AJ32" s="13">
        <f>_xll.BDH("WMT US Equity","IS_TOT_CASH_PFD_DVD","FQ2 2025","FQ2 2025","Currency=USD","Period=FQ","BEST_FPERIOD_OVERRIDE=FQ","FILING_STATUS=MR","SCALING_FORMAT=MLN","Sort=A","Dates=H","DateFormat=P","Fill=—","Direction=H","UseDPDF=Y")</f>
        <v>0</v>
      </c>
      <c r="AK32" s="13">
        <f>_xll.BDH("WMT US Equity","IS_TOT_CASH_PFD_DVD","FQ3 2025","FQ3 2025","Currency=USD","Period=FQ","BEST_FPERIOD_OVERRIDE=FQ","FILING_STATUS=MR","SCALING_FORMAT=MLN","Sort=A","Dates=H","DateFormat=P","Fill=—","Direction=H","UseDPDF=Y")</f>
        <v>0</v>
      </c>
      <c r="AL32" s="13">
        <f>_xll.BDH("WMT US Equity","IS_TOT_CASH_PFD_DVD","FQ4 2025","FQ4 2025","Currency=USD","Period=FQ","BEST_FPERIOD_OVERRIDE=FQ","FILING_STATUS=MR","SCALING_FORMAT=MLN","Sort=A","Dates=H","DateFormat=P","Fill=—","Direction=H","UseDPDF=Y")</f>
        <v>0</v>
      </c>
      <c r="AM32" s="13">
        <f>_xll.BDH("WMT US Equity","IS_TOT_CASH_PFD_DVD","FQ1 2026","FQ1 2026","Currency=USD","Period=FQ","BEST_FPERIOD_OVERRIDE=FQ","FILING_STATUS=MR","SCALING_FORMAT=MLN","Sort=A","Dates=H","DateFormat=P","Fill=—","Direction=H","UseDPDF=Y")</f>
        <v>0</v>
      </c>
      <c r="AN32" s="13">
        <f>_xll.BDH("WMT US Equity","IS_TOT_CASH_PFD_DVD","FQ2 2026","FQ2 2026","Currency=USD","Period=FQ","BEST_FPERIOD_OVERRIDE=FQ","FILING_STATUS=MR","SCALING_FORMAT=MLN","Sort=A","Dates=H","DateFormat=P","Fill=—","Direction=H","UseDPDF=Y")</f>
        <v>0</v>
      </c>
      <c r="AO32" s="13"/>
      <c r="AP32" s="13"/>
    </row>
    <row r="33" spans="1:42" x14ac:dyDescent="0.3">
      <c r="A33" s="10" t="s">
        <v>188</v>
      </c>
      <c r="B33" s="10" t="s">
        <v>119</v>
      </c>
      <c r="C33" s="13">
        <f>_xll.BDH("WMT US Equity","OTHER_ADJUSTMENTS","FQ1 2017","FQ1 2017","Currency=USD","Period=FQ","BEST_FPERIOD_OVERRIDE=FQ","FILING_STATUS=MR","SCALING_FORMAT=MLN","Sort=A","Dates=H","DateFormat=P","Fill=—","Direction=H","UseDPDF=Y")</f>
        <v>0</v>
      </c>
      <c r="D33" s="13">
        <f>_xll.BDH("WMT US Equity","OTHER_ADJUSTMENTS","FQ2 2017","FQ2 2017","Currency=USD","Period=FQ","BEST_FPERIOD_OVERRIDE=FQ","FILING_STATUS=MR","SCALING_FORMAT=MLN","Sort=A","Dates=H","DateFormat=P","Fill=—","Direction=H","UseDPDF=Y")</f>
        <v>0</v>
      </c>
      <c r="E33" s="13">
        <f>_xll.BDH("WMT US Equity","OTHER_ADJUSTMENTS","FQ3 2017","FQ3 2017","Currency=USD","Period=FQ","BEST_FPERIOD_OVERRIDE=FQ","FILING_STATUS=MR","SCALING_FORMAT=MLN","Sort=A","Dates=H","DateFormat=P","Fill=—","Direction=H","UseDPDF=Y")</f>
        <v>0</v>
      </c>
      <c r="F33" s="13">
        <f>_xll.BDH("WMT US Equity","OTHER_ADJUSTMENTS","FQ4 2017","FQ4 2017","Currency=USD","Period=FQ","BEST_FPERIOD_OVERRIDE=FQ","FILING_STATUS=MR","SCALING_FORMAT=MLN","Sort=A","Dates=H","DateFormat=P","Fill=—","Direction=H","UseDPDF=Y")</f>
        <v>0</v>
      </c>
      <c r="G33" s="13">
        <f>_xll.BDH("WMT US Equity","OTHER_ADJUSTMENTS","FQ1 2018","FQ1 2018","Currency=USD","Period=FQ","BEST_FPERIOD_OVERRIDE=FQ","FILING_STATUS=MR","SCALING_FORMAT=MLN","Sort=A","Dates=H","DateFormat=P","Fill=—","Direction=H","UseDPDF=Y")</f>
        <v>0</v>
      </c>
      <c r="H33" s="13">
        <f>_xll.BDH("WMT US Equity","OTHER_ADJUSTMENTS","FQ2 2018","FQ2 2018","Currency=USD","Period=FQ","BEST_FPERIOD_OVERRIDE=FQ","FILING_STATUS=MR","SCALING_FORMAT=MLN","Sort=A","Dates=H","DateFormat=P","Fill=—","Direction=H","UseDPDF=Y")</f>
        <v>0</v>
      </c>
      <c r="I33" s="13">
        <f>_xll.BDH("WMT US Equity","OTHER_ADJUSTMENTS","FQ3 2018","FQ3 2018","Currency=USD","Period=FQ","BEST_FPERIOD_OVERRIDE=FQ","FILING_STATUS=MR","SCALING_FORMAT=MLN","Sort=A","Dates=H","DateFormat=P","Fill=—","Direction=H","UseDPDF=Y")</f>
        <v>0</v>
      </c>
      <c r="J33" s="13">
        <f>_xll.BDH("WMT US Equity","OTHER_ADJUSTMENTS","FQ4 2018","FQ4 2018","Currency=USD","Period=FQ","BEST_FPERIOD_OVERRIDE=FQ","FILING_STATUS=MR","SCALING_FORMAT=MLN","Sort=A","Dates=H","DateFormat=P","Fill=—","Direction=H","UseDPDF=Y")</f>
        <v>0</v>
      </c>
      <c r="K33" s="13">
        <f>_xll.BDH("WMT US Equity","OTHER_ADJUSTMENTS","FQ1 2019","FQ1 2019","Currency=USD","Period=FQ","BEST_FPERIOD_OVERRIDE=FQ","FILING_STATUS=MR","SCALING_FORMAT=MLN","Sort=A","Dates=H","DateFormat=P","Fill=—","Direction=H","UseDPDF=Y")</f>
        <v>0</v>
      </c>
      <c r="L33" s="13">
        <f>_xll.BDH("WMT US Equity","OTHER_ADJUSTMENTS","FQ2 2019","FQ2 2019","Currency=USD","Period=FQ","BEST_FPERIOD_OVERRIDE=FQ","FILING_STATUS=MR","SCALING_FORMAT=MLN","Sort=A","Dates=H","DateFormat=P","Fill=—","Direction=H","UseDPDF=Y")</f>
        <v>0</v>
      </c>
      <c r="M33" s="13">
        <f>_xll.BDH("WMT US Equity","OTHER_ADJUSTMENTS","FQ3 2019","FQ3 2019","Currency=USD","Period=FQ","BEST_FPERIOD_OVERRIDE=FQ","FILING_STATUS=MR","SCALING_FORMAT=MLN","Sort=A","Dates=H","DateFormat=P","Fill=—","Direction=H","UseDPDF=Y")</f>
        <v>0</v>
      </c>
      <c r="N33" s="13">
        <f>_xll.BDH("WMT US Equity","OTHER_ADJUSTMENTS","FQ4 2019","FQ4 2019","Currency=USD","Period=FQ","BEST_FPERIOD_OVERRIDE=FQ","FILING_STATUS=MR","SCALING_FORMAT=MLN","Sort=A","Dates=H","DateFormat=P","Fill=—","Direction=H","UseDPDF=Y")</f>
        <v>0</v>
      </c>
      <c r="O33" s="13">
        <f>_xll.BDH("WMT US Equity","OTHER_ADJUSTMENTS","FQ1 2020","FQ1 2020","Currency=USD","Period=FQ","BEST_FPERIOD_OVERRIDE=FQ","FILING_STATUS=MR","SCALING_FORMAT=MLN","Sort=A","Dates=H","DateFormat=P","Fill=—","Direction=H","UseDPDF=Y")</f>
        <v>0</v>
      </c>
      <c r="P33" s="13">
        <f>_xll.BDH("WMT US Equity","OTHER_ADJUSTMENTS","FQ2 2020","FQ2 2020","Currency=USD","Period=FQ","BEST_FPERIOD_OVERRIDE=FQ","FILING_STATUS=MR","SCALING_FORMAT=MLN","Sort=A","Dates=H","DateFormat=P","Fill=—","Direction=H","UseDPDF=Y")</f>
        <v>0</v>
      </c>
      <c r="Q33" s="13">
        <f>_xll.BDH("WMT US Equity","OTHER_ADJUSTMENTS","FQ3 2020","FQ3 2020","Currency=USD","Period=FQ","BEST_FPERIOD_OVERRIDE=FQ","FILING_STATUS=MR","SCALING_FORMAT=MLN","Sort=A","Dates=H","DateFormat=P","Fill=—","Direction=H","UseDPDF=Y")</f>
        <v>0</v>
      </c>
      <c r="R33" s="13">
        <f>_xll.BDH("WMT US Equity","OTHER_ADJUSTMENTS","FQ4 2020","FQ4 2020","Currency=USD","Period=FQ","BEST_FPERIOD_OVERRIDE=FQ","FILING_STATUS=MR","SCALING_FORMAT=MLN","Sort=A","Dates=H","DateFormat=P","Fill=—","Direction=H","UseDPDF=Y")</f>
        <v>0</v>
      </c>
      <c r="S33" s="13">
        <f>_xll.BDH("WMT US Equity","OTHER_ADJUSTMENTS","FQ1 2021","FQ1 2021","Currency=USD","Period=FQ","BEST_FPERIOD_OVERRIDE=FQ","FILING_STATUS=MR","SCALING_FORMAT=MLN","Sort=A","Dates=H","DateFormat=P","Fill=—","Direction=H","UseDPDF=Y")</f>
        <v>0</v>
      </c>
      <c r="T33" s="13">
        <f>_xll.BDH("WMT US Equity","OTHER_ADJUSTMENTS","FQ2 2021","FQ2 2021","Currency=USD","Period=FQ","BEST_FPERIOD_OVERRIDE=FQ","FILING_STATUS=MR","SCALING_FORMAT=MLN","Sort=A","Dates=H","DateFormat=P","Fill=—","Direction=H","UseDPDF=Y")</f>
        <v>0</v>
      </c>
      <c r="U33" s="13">
        <f>_xll.BDH("WMT US Equity","OTHER_ADJUSTMENTS","FQ3 2021","FQ3 2021","Currency=USD","Period=FQ","BEST_FPERIOD_OVERRIDE=FQ","FILING_STATUS=MR","SCALING_FORMAT=MLN","Sort=A","Dates=H","DateFormat=P","Fill=—","Direction=H","UseDPDF=Y")</f>
        <v>0</v>
      </c>
      <c r="V33" s="13">
        <f>_xll.BDH("WMT US Equity","OTHER_ADJUSTMENTS","FQ4 2021","FQ4 2021","Currency=USD","Period=FQ","BEST_FPERIOD_OVERRIDE=FQ","FILING_STATUS=MR","SCALING_FORMAT=MLN","Sort=A","Dates=H","DateFormat=P","Fill=—","Direction=H","UseDPDF=Y")</f>
        <v>0</v>
      </c>
      <c r="W33" s="13">
        <f>_xll.BDH("WMT US Equity","OTHER_ADJUSTMENTS","FQ1 2022","FQ1 2022","Currency=USD","Period=FQ","BEST_FPERIOD_OVERRIDE=FQ","FILING_STATUS=MR","SCALING_FORMAT=MLN","Sort=A","Dates=H","DateFormat=P","Fill=—","Direction=H","UseDPDF=Y")</f>
        <v>0</v>
      </c>
      <c r="X33" s="13">
        <f>_xll.BDH("WMT US Equity","OTHER_ADJUSTMENTS","FQ2 2022","FQ2 2022","Currency=USD","Period=FQ","BEST_FPERIOD_OVERRIDE=FQ","FILING_STATUS=MR","SCALING_FORMAT=MLN","Sort=A","Dates=H","DateFormat=P","Fill=—","Direction=H","UseDPDF=Y")</f>
        <v>0</v>
      </c>
      <c r="Y33" s="13">
        <f>_xll.BDH("WMT US Equity","OTHER_ADJUSTMENTS","FQ3 2022","FQ3 2022","Currency=USD","Period=FQ","BEST_FPERIOD_OVERRIDE=FQ","FILING_STATUS=MR","SCALING_FORMAT=MLN","Sort=A","Dates=H","DateFormat=P","Fill=—","Direction=H","UseDPDF=Y")</f>
        <v>0</v>
      </c>
      <c r="Z33" s="13">
        <f>_xll.BDH("WMT US Equity","OTHER_ADJUSTMENTS","FQ4 2022","FQ4 2022","Currency=USD","Period=FQ","BEST_FPERIOD_OVERRIDE=FQ","FILING_STATUS=MR","SCALING_FORMAT=MLN","Sort=A","Dates=H","DateFormat=P","Fill=—","Direction=H","UseDPDF=Y")</f>
        <v>0</v>
      </c>
      <c r="AA33" s="13">
        <f>_xll.BDH("WMT US Equity","OTHER_ADJUSTMENTS","FQ1 2023","FQ1 2023","Currency=USD","Period=FQ","BEST_FPERIOD_OVERRIDE=FQ","FILING_STATUS=MR","SCALING_FORMAT=MLN","Sort=A","Dates=H","DateFormat=P","Fill=—","Direction=H","UseDPDF=Y")</f>
        <v>0</v>
      </c>
      <c r="AB33" s="13">
        <f>_xll.BDH("WMT US Equity","OTHER_ADJUSTMENTS","FQ2 2023","FQ2 2023","Currency=USD","Period=FQ","BEST_FPERIOD_OVERRIDE=FQ","FILING_STATUS=MR","SCALING_FORMAT=MLN","Sort=A","Dates=H","DateFormat=P","Fill=—","Direction=H","UseDPDF=Y")</f>
        <v>0</v>
      </c>
      <c r="AC33" s="13">
        <f>_xll.BDH("WMT US Equity","OTHER_ADJUSTMENTS","FQ3 2023","FQ3 2023","Currency=USD","Period=FQ","BEST_FPERIOD_OVERRIDE=FQ","FILING_STATUS=MR","SCALING_FORMAT=MLN","Sort=A","Dates=H","DateFormat=P","Fill=—","Direction=H","UseDPDF=Y")</f>
        <v>0</v>
      </c>
      <c r="AD33" s="13">
        <f>_xll.BDH("WMT US Equity","OTHER_ADJUSTMENTS","FQ4 2023","FQ4 2023","Currency=USD","Period=FQ","BEST_FPERIOD_OVERRIDE=FQ","FILING_STATUS=MR","SCALING_FORMAT=MLN","Sort=A","Dates=H","DateFormat=P","Fill=—","Direction=H","UseDPDF=Y")</f>
        <v>0</v>
      </c>
      <c r="AE33" s="13">
        <f>_xll.BDH("WMT US Equity","OTHER_ADJUSTMENTS","FQ1 2024","FQ1 2024","Currency=USD","Period=FQ","BEST_FPERIOD_OVERRIDE=FQ","FILING_STATUS=MR","SCALING_FORMAT=MLN","Sort=A","Dates=H","DateFormat=P","Fill=—","Direction=H","UseDPDF=Y")</f>
        <v>0</v>
      </c>
      <c r="AF33" s="13">
        <f>_xll.BDH("WMT US Equity","OTHER_ADJUSTMENTS","FQ2 2024","FQ2 2024","Currency=USD","Period=FQ","BEST_FPERIOD_OVERRIDE=FQ","FILING_STATUS=MR","SCALING_FORMAT=MLN","Sort=A","Dates=H","DateFormat=P","Fill=—","Direction=H","UseDPDF=Y")</f>
        <v>0</v>
      </c>
      <c r="AG33" s="13">
        <f>_xll.BDH("WMT US Equity","OTHER_ADJUSTMENTS","FQ3 2024","FQ3 2024","Currency=USD","Period=FQ","BEST_FPERIOD_OVERRIDE=FQ","FILING_STATUS=MR","SCALING_FORMAT=MLN","Sort=A","Dates=H","DateFormat=P","Fill=—","Direction=H","UseDPDF=Y")</f>
        <v>0</v>
      </c>
      <c r="AH33" s="13">
        <f>_xll.BDH("WMT US Equity","OTHER_ADJUSTMENTS","FQ4 2024","FQ4 2024","Currency=USD","Period=FQ","BEST_FPERIOD_OVERRIDE=FQ","FILING_STATUS=MR","SCALING_FORMAT=MLN","Sort=A","Dates=H","DateFormat=P","Fill=—","Direction=H","UseDPDF=Y")</f>
        <v>0</v>
      </c>
      <c r="AI33" s="13">
        <f>_xll.BDH("WMT US Equity","OTHER_ADJUSTMENTS","FQ1 2025","FQ1 2025","Currency=USD","Period=FQ","BEST_FPERIOD_OVERRIDE=FQ","FILING_STATUS=MR","SCALING_FORMAT=MLN","Sort=A","Dates=H","DateFormat=P","Fill=—","Direction=H","UseDPDF=Y")</f>
        <v>0</v>
      </c>
      <c r="AJ33" s="13">
        <f>_xll.BDH("WMT US Equity","OTHER_ADJUSTMENTS","FQ2 2025","FQ2 2025","Currency=USD","Period=FQ","BEST_FPERIOD_OVERRIDE=FQ","FILING_STATUS=MR","SCALING_FORMAT=MLN","Sort=A","Dates=H","DateFormat=P","Fill=—","Direction=H","UseDPDF=Y")</f>
        <v>0</v>
      </c>
      <c r="AK33" s="13">
        <f>_xll.BDH("WMT US Equity","OTHER_ADJUSTMENTS","FQ3 2025","FQ3 2025","Currency=USD","Period=FQ","BEST_FPERIOD_OVERRIDE=FQ","FILING_STATUS=MR","SCALING_FORMAT=MLN","Sort=A","Dates=H","DateFormat=P","Fill=—","Direction=H","UseDPDF=Y")</f>
        <v>0</v>
      </c>
      <c r="AL33" s="13">
        <f>_xll.BDH("WMT US Equity","OTHER_ADJUSTMENTS","FQ4 2025","FQ4 2025","Currency=USD","Period=FQ","BEST_FPERIOD_OVERRIDE=FQ","FILING_STATUS=MR","SCALING_FORMAT=MLN","Sort=A","Dates=H","DateFormat=P","Fill=—","Direction=H","UseDPDF=Y")</f>
        <v>0</v>
      </c>
      <c r="AM33" s="13">
        <f>_xll.BDH("WMT US Equity","OTHER_ADJUSTMENTS","FQ1 2026","FQ1 2026","Currency=USD","Period=FQ","BEST_FPERIOD_OVERRIDE=FQ","FILING_STATUS=MR","SCALING_FORMAT=MLN","Sort=A","Dates=H","DateFormat=P","Fill=—","Direction=H","UseDPDF=Y")</f>
        <v>0</v>
      </c>
      <c r="AN33" s="13">
        <f>_xll.BDH("WMT US Equity","OTHER_ADJUSTMENTS","FQ2 2026","FQ2 2026","Currency=USD","Period=FQ","BEST_FPERIOD_OVERRIDE=FQ","FILING_STATUS=MR","SCALING_FORMAT=MLN","Sort=A","Dates=H","DateFormat=P","Fill=—","Direction=H","UseDPDF=Y")</f>
        <v>0</v>
      </c>
      <c r="AO33" s="13"/>
      <c r="AP33" s="13"/>
    </row>
    <row r="34" spans="1:42" x14ac:dyDescent="0.3">
      <c r="A34" s="6" t="s">
        <v>120</v>
      </c>
      <c r="B34" s="6" t="s">
        <v>121</v>
      </c>
      <c r="C34" s="16">
        <f>_xll.BDH("WMT US Equity","EARN_FOR_COMMON","FQ1 2017","FQ1 2017","Currency=USD","Period=FQ","BEST_FPERIOD_OVERRIDE=FQ","FILING_STATUS=MR","SCALING_FORMAT=MLN","FA_ADJUSTED=GAAP","Sort=A","Dates=H","DateFormat=P","Fill=—","Direction=H","UseDPDF=Y")</f>
        <v>3079</v>
      </c>
      <c r="D34" s="16">
        <f>_xll.BDH("WMT US Equity","EARN_FOR_COMMON","FQ2 2017","FQ2 2017","Currency=USD","Period=FQ","BEST_FPERIOD_OVERRIDE=FQ","FILING_STATUS=MR","SCALING_FORMAT=MLN","FA_ADJUSTED=GAAP","Sort=A","Dates=H","DateFormat=P","Fill=—","Direction=H","UseDPDF=Y")</f>
        <v>3773</v>
      </c>
      <c r="E34" s="16">
        <f>_xll.BDH("WMT US Equity","EARN_FOR_COMMON","FQ3 2017","FQ3 2017","Currency=USD","Period=FQ","BEST_FPERIOD_OVERRIDE=FQ","FILING_STATUS=MR","SCALING_FORMAT=MLN","FA_ADJUSTED=GAAP","Sort=A","Dates=H","DateFormat=P","Fill=—","Direction=H","UseDPDF=Y")</f>
        <v>3034</v>
      </c>
      <c r="F34" s="16">
        <f>_xll.BDH("WMT US Equity","EARN_FOR_COMMON","FQ4 2017","FQ4 2017","Currency=USD","Period=FQ","BEST_FPERIOD_OVERRIDE=FQ","FILING_STATUS=MR","SCALING_FORMAT=MLN","FA_ADJUSTED=GAAP","Sort=A","Dates=H","DateFormat=P","Fill=—","Direction=H","UseDPDF=Y")</f>
        <v>3757</v>
      </c>
      <c r="G34" s="16">
        <f>_xll.BDH("WMT US Equity","EARN_FOR_COMMON","FQ1 2018","FQ1 2018","Currency=USD","Period=FQ","BEST_FPERIOD_OVERRIDE=FQ","FILING_STATUS=MR","SCALING_FORMAT=MLN","FA_ADJUSTED=GAAP","Sort=A","Dates=H","DateFormat=P","Fill=—","Direction=H","UseDPDF=Y")</f>
        <v>3039</v>
      </c>
      <c r="H34" s="16">
        <f>_xll.BDH("WMT US Equity","EARN_FOR_COMMON","FQ2 2018","FQ2 2018","Currency=USD","Period=FQ","BEST_FPERIOD_OVERRIDE=FQ","FILING_STATUS=MR","SCALING_FORMAT=MLN","FA_ADJUSTED=GAAP","Sort=A","Dates=H","DateFormat=P","Fill=—","Direction=H","UseDPDF=Y")</f>
        <v>2899</v>
      </c>
      <c r="I34" s="16">
        <f>_xll.BDH("WMT US Equity","EARN_FOR_COMMON","FQ3 2018","FQ3 2018","Currency=USD","Period=FQ","BEST_FPERIOD_OVERRIDE=FQ","FILING_STATUS=MR","SCALING_FORMAT=MLN","FA_ADJUSTED=GAAP","Sort=A","Dates=H","DateFormat=P","Fill=—","Direction=H","UseDPDF=Y")</f>
        <v>1749</v>
      </c>
      <c r="J34" s="16">
        <f>_xll.BDH("WMT US Equity","EARN_FOR_COMMON","FQ4 2018","FQ4 2018","Currency=USD","Period=FQ","BEST_FPERIOD_OVERRIDE=FQ","FILING_STATUS=MR","SCALING_FORMAT=MLN","FA_ADJUSTED=GAAP","Sort=A","Dates=H","DateFormat=P","Fill=—","Direction=H","UseDPDF=Y")</f>
        <v>2175</v>
      </c>
      <c r="K34" s="16">
        <f>_xll.BDH("WMT US Equity","EARN_FOR_COMMON","FQ1 2019","FQ1 2019","Currency=USD","Period=FQ","BEST_FPERIOD_OVERRIDE=FQ","FILING_STATUS=MR","SCALING_FORMAT=MLN","FA_ADJUSTED=GAAP","Sort=A","Dates=H","DateFormat=P","Fill=—","Direction=H","UseDPDF=Y")</f>
        <v>2134</v>
      </c>
      <c r="L34" s="16">
        <f>_xll.BDH("WMT US Equity","EARN_FOR_COMMON","FQ2 2019","FQ2 2019","Currency=USD","Period=FQ","BEST_FPERIOD_OVERRIDE=FQ","FILING_STATUS=MR","SCALING_FORMAT=MLN","FA_ADJUSTED=GAAP","Sort=A","Dates=H","DateFormat=P","Fill=—","Direction=H","UseDPDF=Y")</f>
        <v>-861</v>
      </c>
      <c r="M34" s="16">
        <f>_xll.BDH("WMT US Equity","EARN_FOR_COMMON","FQ3 2019","FQ3 2019","Currency=USD","Period=FQ","BEST_FPERIOD_OVERRIDE=FQ","FILING_STATUS=MR","SCALING_FORMAT=MLN","FA_ADJUSTED=GAAP","Sort=A","Dates=H","DateFormat=P","Fill=—","Direction=H","UseDPDF=Y")</f>
        <v>1710</v>
      </c>
      <c r="N34" s="16">
        <f>_xll.BDH("WMT US Equity","EARN_FOR_COMMON","FQ4 2019","FQ4 2019","Currency=USD","Period=FQ","BEST_FPERIOD_OVERRIDE=FQ","FILING_STATUS=MR","SCALING_FORMAT=MLN","FA_ADJUSTED=GAAP","Sort=A","Dates=H","DateFormat=P","Fill=—","Direction=H","UseDPDF=Y")</f>
        <v>3687</v>
      </c>
      <c r="O34" s="16">
        <f>_xll.BDH("WMT US Equity","EARN_FOR_COMMON","FQ1 2020","FQ1 2020","Currency=USD","Period=FQ","BEST_FPERIOD_OVERRIDE=FQ","FILING_STATUS=MR","SCALING_FORMAT=MLN","FA_ADJUSTED=GAAP","Sort=A","Dates=H","DateFormat=P","Fill=—","Direction=H","UseDPDF=Y")</f>
        <v>3842</v>
      </c>
      <c r="P34" s="16">
        <f>_xll.BDH("WMT US Equity","EARN_FOR_COMMON","FQ2 2020","FQ2 2020","Currency=USD","Period=FQ","BEST_FPERIOD_OVERRIDE=FQ","FILING_STATUS=MR","SCALING_FORMAT=MLN","FA_ADJUSTED=GAAP","Sort=A","Dates=H","DateFormat=P","Fill=—","Direction=H","UseDPDF=Y")</f>
        <v>3610</v>
      </c>
      <c r="Q34" s="16">
        <f>_xll.BDH("WMT US Equity","EARN_FOR_COMMON","FQ3 2020","FQ3 2020","Currency=USD","Period=FQ","BEST_FPERIOD_OVERRIDE=FQ","FILING_STATUS=MR","SCALING_FORMAT=MLN","FA_ADJUSTED=GAAP","Sort=A","Dates=H","DateFormat=P","Fill=—","Direction=H","UseDPDF=Y")</f>
        <v>3288</v>
      </c>
      <c r="R34" s="16">
        <f>_xll.BDH("WMT US Equity","EARN_FOR_COMMON","FQ4 2020","FQ4 2020","Currency=USD","Period=FQ","BEST_FPERIOD_OVERRIDE=FQ","FILING_STATUS=MR","SCALING_FORMAT=MLN","FA_ADJUSTED=GAAP","Sort=A","Dates=H","DateFormat=P","Fill=—","Direction=H","UseDPDF=Y")</f>
        <v>4141</v>
      </c>
      <c r="S34" s="16">
        <f>_xll.BDH("WMT US Equity","EARN_FOR_COMMON","FQ1 2021","FQ1 2021","Currency=USD","Period=FQ","BEST_FPERIOD_OVERRIDE=FQ","FILING_STATUS=MR","SCALING_FORMAT=MLN","FA_ADJUSTED=GAAP","Sort=A","Dates=H","DateFormat=P","Fill=—","Direction=H","UseDPDF=Y")</f>
        <v>3990</v>
      </c>
      <c r="T34" s="16">
        <f>_xll.BDH("WMT US Equity","EARN_FOR_COMMON","FQ2 2021","FQ2 2021","Currency=USD","Period=FQ","BEST_FPERIOD_OVERRIDE=FQ","FILING_STATUS=MR","SCALING_FORMAT=MLN","FA_ADJUSTED=GAAP","Sort=A","Dates=H","DateFormat=P","Fill=—","Direction=H","UseDPDF=Y")</f>
        <v>6476</v>
      </c>
      <c r="U34" s="16">
        <f>_xll.BDH("WMT US Equity","EARN_FOR_COMMON","FQ3 2021","FQ3 2021","Currency=USD","Period=FQ","BEST_FPERIOD_OVERRIDE=FQ","FILING_STATUS=MR","SCALING_FORMAT=MLN","FA_ADJUSTED=GAAP","Sort=A","Dates=H","DateFormat=P","Fill=—","Direction=H","UseDPDF=Y")</f>
        <v>5135</v>
      </c>
      <c r="V34" s="16">
        <f>_xll.BDH("WMT US Equity","EARN_FOR_COMMON","FQ4 2021","FQ4 2021","Currency=USD","Period=FQ","BEST_FPERIOD_OVERRIDE=FQ","FILING_STATUS=MR","SCALING_FORMAT=MLN","FA_ADJUSTED=GAAP","Sort=A","Dates=H","DateFormat=P","Fill=—","Direction=H","UseDPDF=Y")</f>
        <v>-2091</v>
      </c>
      <c r="W34" s="16">
        <f>_xll.BDH("WMT US Equity","EARN_FOR_COMMON","FQ1 2022","FQ1 2022","Currency=USD","Period=FQ","BEST_FPERIOD_OVERRIDE=FQ","FILING_STATUS=MR","SCALING_FORMAT=MLN","FA_ADJUSTED=GAAP","Sort=A","Dates=H","DateFormat=P","Fill=—","Direction=H","UseDPDF=Y")</f>
        <v>2730</v>
      </c>
      <c r="X34" s="16">
        <f>_xll.BDH("WMT US Equity","EARN_FOR_COMMON","FQ2 2022","FQ2 2022","Currency=USD","Period=FQ","BEST_FPERIOD_OVERRIDE=FQ","FILING_STATUS=MR","SCALING_FORMAT=MLN","FA_ADJUSTED=GAAP","Sort=A","Dates=H","DateFormat=P","Fill=—","Direction=H","UseDPDF=Y")</f>
        <v>4276</v>
      </c>
      <c r="Y34" s="16">
        <f>_xll.BDH("WMT US Equity","EARN_FOR_COMMON","FQ3 2022","FQ3 2022","Currency=USD","Period=FQ","BEST_FPERIOD_OVERRIDE=FQ","FILING_STATUS=MR","SCALING_FORMAT=MLN","FA_ADJUSTED=GAAP","Sort=A","Dates=H","DateFormat=P","Fill=—","Direction=H","UseDPDF=Y")</f>
        <v>3105</v>
      </c>
      <c r="Z34" s="16">
        <f>_xll.BDH("WMT US Equity","EARN_FOR_COMMON","FQ4 2022","FQ4 2022","Currency=USD","Period=FQ","BEST_FPERIOD_OVERRIDE=FQ","FILING_STATUS=MR","SCALING_FORMAT=MLN","FA_ADJUSTED=GAAP","Sort=A","Dates=H","DateFormat=P","Fill=—","Direction=H","UseDPDF=Y")</f>
        <v>3562</v>
      </c>
      <c r="AA34" s="16">
        <f>_xll.BDH("WMT US Equity","EARN_FOR_COMMON","FQ1 2023","FQ1 2023","Currency=USD","Period=FQ","BEST_FPERIOD_OVERRIDE=FQ","FILING_STATUS=MR","SCALING_FORMAT=MLN","FA_ADJUSTED=GAAP","Sort=A","Dates=H","DateFormat=P","Fill=—","Direction=H","UseDPDF=Y")</f>
        <v>2054</v>
      </c>
      <c r="AB34" s="16">
        <f>_xll.BDH("WMT US Equity","EARN_FOR_COMMON","FQ2 2023","FQ2 2023","Currency=USD","Period=FQ","BEST_FPERIOD_OVERRIDE=FQ","FILING_STATUS=MR","SCALING_FORMAT=MLN","FA_ADJUSTED=GAAP","Sort=A","Dates=H","DateFormat=P","Fill=—","Direction=H","UseDPDF=Y")</f>
        <v>5149</v>
      </c>
      <c r="AC34" s="16">
        <f>_xll.BDH("WMT US Equity","EARN_FOR_COMMON","FQ3 2023","FQ3 2023","Currency=USD","Period=FQ","BEST_FPERIOD_OVERRIDE=FQ","FILING_STATUS=MR","SCALING_FORMAT=MLN","FA_ADJUSTED=GAAP","Sort=A","Dates=H","DateFormat=P","Fill=—","Direction=H","UseDPDF=Y")</f>
        <v>-1798</v>
      </c>
      <c r="AD34" s="16">
        <f>_xll.BDH("WMT US Equity","EARN_FOR_COMMON","FQ4 2023","FQ4 2023","Currency=USD","Period=FQ","BEST_FPERIOD_OVERRIDE=FQ","FILING_STATUS=MR","SCALING_FORMAT=MLN","FA_ADJUSTED=GAAP","Sort=A","Dates=H","DateFormat=P","Fill=—","Direction=H","UseDPDF=Y")</f>
        <v>6275</v>
      </c>
      <c r="AE34" s="16">
        <f>_xll.BDH("WMT US Equity","EARN_FOR_COMMON","FQ1 2024","FQ1 2024","Currency=USD","Period=FQ","BEST_FPERIOD_OVERRIDE=FQ","FILING_STATUS=MR","SCALING_FORMAT=MLN","FA_ADJUSTED=GAAP","Sort=A","Dates=H","DateFormat=P","Fill=—","Direction=H","UseDPDF=Y")</f>
        <v>1673</v>
      </c>
      <c r="AF34" s="16">
        <f>_xll.BDH("WMT US Equity","EARN_FOR_COMMON","FQ2 2024","FQ2 2024","Currency=USD","Period=FQ","BEST_FPERIOD_OVERRIDE=FQ","FILING_STATUS=MR","SCALING_FORMAT=MLN","FA_ADJUSTED=GAAP","Sort=A","Dates=H","DateFormat=P","Fill=—","Direction=H","UseDPDF=Y")</f>
        <v>7891</v>
      </c>
      <c r="AG34" s="16">
        <f>_xll.BDH("WMT US Equity","EARN_FOR_COMMON","FQ3 2024","FQ3 2024","Currency=USD","Period=FQ","BEST_FPERIOD_OVERRIDE=FQ","FILING_STATUS=MR","SCALING_FORMAT=MLN","FA_ADJUSTED=GAAP","Sort=A","Dates=H","DateFormat=P","Fill=—","Direction=H","UseDPDF=Y")</f>
        <v>453</v>
      </c>
      <c r="AH34" s="16">
        <f>_xll.BDH("WMT US Equity","EARN_FOR_COMMON","FQ4 2024","FQ4 2024","Currency=USD","Period=FQ","BEST_FPERIOD_OVERRIDE=FQ","FILING_STATUS=MR","SCALING_FORMAT=MLN","FA_ADJUSTED=GAAP","Sort=A","Dates=H","DateFormat=P","Fill=—","Direction=H","UseDPDF=Y")</f>
        <v>5494</v>
      </c>
      <c r="AI34" s="16">
        <f>_xll.BDH("WMT US Equity","EARN_FOR_COMMON","FQ1 2025","FQ1 2025","Currency=USD","Period=FQ","BEST_FPERIOD_OVERRIDE=FQ","FILING_STATUS=MR","SCALING_FORMAT=MLN","FA_ADJUSTED=GAAP","Sort=A","Dates=H","DateFormat=P","Fill=—","Direction=H","UseDPDF=Y")</f>
        <v>5104</v>
      </c>
      <c r="AJ34" s="16">
        <f>_xll.BDH("WMT US Equity","EARN_FOR_COMMON","FQ2 2025","FQ2 2025","Currency=USD","Period=FQ","BEST_FPERIOD_OVERRIDE=FQ","FILING_STATUS=MR","SCALING_FORMAT=MLN","FA_ADJUSTED=GAAP","Sort=A","Dates=H","DateFormat=P","Fill=—","Direction=H","UseDPDF=Y")</f>
        <v>4501</v>
      </c>
      <c r="AK34" s="16">
        <f>_xll.BDH("WMT US Equity","EARN_FOR_COMMON","FQ3 2025","FQ3 2025","Currency=USD","Period=FQ","BEST_FPERIOD_OVERRIDE=FQ","FILING_STATUS=MR","SCALING_FORMAT=MLN","FA_ADJUSTED=GAAP","Sort=A","Dates=H","DateFormat=P","Fill=—","Direction=H","UseDPDF=Y")</f>
        <v>4577</v>
      </c>
      <c r="AL34" s="16">
        <f>_xll.BDH("WMT US Equity","EARN_FOR_COMMON","FQ4 2025","FQ4 2025","Currency=USD","Period=FQ","BEST_FPERIOD_OVERRIDE=FQ","FILING_STATUS=MR","SCALING_FORMAT=MLN","FA_ADJUSTED=GAAP","Sort=A","Dates=H","DateFormat=P","Fill=—","Direction=H","UseDPDF=Y")</f>
        <v>5254</v>
      </c>
      <c r="AM34" s="16">
        <f>_xll.BDH("WMT US Equity","EARN_FOR_COMMON","FQ1 2026","FQ1 2026","Currency=USD","Period=FQ","BEST_FPERIOD_OVERRIDE=FQ","FILING_STATUS=MR","SCALING_FORMAT=MLN","FA_ADJUSTED=GAAP","Sort=A","Dates=H","DateFormat=P","Fill=—","Direction=H","UseDPDF=Y")</f>
        <v>4487</v>
      </c>
      <c r="AN34" s="16">
        <f>_xll.BDH("WMT US Equity","EARN_FOR_COMMON","FQ2 2026","FQ2 2026","Currency=USD","Period=FQ","BEST_FPERIOD_OVERRIDE=FQ","FILING_STATUS=MR","SCALING_FORMAT=MLN","FA_ADJUSTED=GAAP","Sort=A","Dates=H","DateFormat=P","Fill=—","Direction=H","UseDPDF=Y")</f>
        <v>7026</v>
      </c>
      <c r="AO34" s="16">
        <v>4751.2</v>
      </c>
      <c r="AP34" s="16">
        <v>5716.1329999999998</v>
      </c>
    </row>
    <row r="35" spans="1:42" x14ac:dyDescent="0.3">
      <c r="A35" s="6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3">
      <c r="A36" s="6" t="s">
        <v>122</v>
      </c>
      <c r="B36" s="6" t="s">
        <v>121</v>
      </c>
      <c r="C36" s="16">
        <f>_xll.BDH("WMT US Equity","EARN_FOR_COMMON","FQ1 2017","FQ1 2017","Currency=USD","Period=FQ","BEST_FPERIOD_OVERRIDE=FQ","FILING_STATUS=MR","SCALING_FORMAT=MLN","FA_ADJUSTED=Adjusted","Sort=A","Dates=H","DateFormat=P","Fill=—","Direction=H","UseDPDF=Y")</f>
        <v>3079</v>
      </c>
      <c r="D36" s="16">
        <f>_xll.BDH("WMT US Equity","EARN_FOR_COMMON","FQ2 2017","FQ2 2017","Currency=USD","Period=FQ","BEST_FPERIOD_OVERRIDE=FQ","FILING_STATUS=MR","SCALING_FORMAT=MLN","FA_ADJUSTED=Adjusted","Sort=A","Dates=H","DateFormat=P","Fill=—","Direction=H","UseDPDF=Y")</f>
        <v>3336.34</v>
      </c>
      <c r="E36" s="16">
        <f>_xll.BDH("WMT US Equity","EARN_FOR_COMMON","FQ3 2017","FQ3 2017","Currency=USD","Period=FQ","BEST_FPERIOD_OVERRIDE=FQ","FILING_STATUS=MR","SCALING_FORMAT=MLN","FA_ADJUSTED=Adjusted","Sort=A","Dates=H","DateFormat=P","Fill=—","Direction=H","UseDPDF=Y")</f>
        <v>3034</v>
      </c>
      <c r="F36" s="16">
        <f>_xll.BDH("WMT US Equity","EARN_FOR_COMMON","FQ4 2017","FQ4 2017","Currency=USD","Period=FQ","BEST_FPERIOD_OVERRIDE=FQ","FILING_STATUS=MR","SCALING_FORMAT=MLN","FA_ADJUSTED=Adjusted","Sort=A","Dates=H","DateFormat=P","Fill=—","Direction=H","UseDPDF=Y")</f>
        <v>4003.16</v>
      </c>
      <c r="G36" s="16">
        <f>_xll.BDH("WMT US Equity","EARN_FOR_COMMON","FQ1 2018","FQ1 2018","Currency=USD","Period=FQ","BEST_FPERIOD_OVERRIDE=FQ","FILING_STATUS=MR","SCALING_FORMAT=MLN","FA_ADJUSTED=Adjusted","Sort=A","Dates=H","DateFormat=P","Fill=—","Direction=H","UseDPDF=Y")</f>
        <v>3039</v>
      </c>
      <c r="H36" s="16">
        <f>_xll.BDH("WMT US Equity","EARN_FOR_COMMON","FQ2 2018","FQ2 2018","Currency=USD","Period=FQ","BEST_FPERIOD_OVERRIDE=FQ","FILING_STATUS=MR","SCALING_FORMAT=MLN","FA_ADJUSTED=Adjusted","Sort=A","Dates=H","DateFormat=P","Fill=—","Direction=H","UseDPDF=Y")</f>
        <v>3261.52</v>
      </c>
      <c r="I36" s="16">
        <f>_xll.BDH("WMT US Equity","EARN_FOR_COMMON","FQ3 2018","FQ3 2018","Currency=USD","Period=FQ","BEST_FPERIOD_OVERRIDE=FQ","FILING_STATUS=MR","SCALING_FORMAT=MLN","FA_ADJUSTED=Adjusted","Sort=A","Dates=H","DateFormat=P","Fill=—","Direction=H","UseDPDF=Y")</f>
        <v>3007.32</v>
      </c>
      <c r="J36" s="16">
        <f>_xll.BDH("WMT US Equity","EARN_FOR_COMMON","FQ4 2018","FQ4 2018","Currency=USD","Period=FQ","BEST_FPERIOD_OVERRIDE=FQ","FILING_STATUS=MR","SCALING_FORMAT=MLN","FA_ADJUSTED=Adjusted","Sort=A","Dates=H","DateFormat=P","Fill=—","Direction=H","UseDPDF=Y")</f>
        <v>3961.8</v>
      </c>
      <c r="K36" s="16">
        <f>_xll.BDH("WMT US Equity","EARN_FOR_COMMON","FQ1 2019","FQ1 2019","Currency=USD","Period=FQ","BEST_FPERIOD_OVERRIDE=FQ","FILING_STATUS=MR","SCALING_FORMAT=MLN","FA_ADJUSTED=Adjusted","Sort=A","Dates=H","DateFormat=P","Fill=—","Direction=H","UseDPDF=Y")</f>
        <v>3380.14</v>
      </c>
      <c r="L36" s="16">
        <f>_xll.BDH("WMT US Equity","EARN_FOR_COMMON","FQ2 2019","FQ2 2019","Currency=USD","Period=FQ","BEST_FPERIOD_OVERRIDE=FQ","FILING_STATUS=MR","SCALING_FORMAT=MLN","FA_ADJUSTED=Adjusted","Sort=A","Dates=H","DateFormat=P","Fill=—","Direction=H","UseDPDF=Y")</f>
        <v>3793.68</v>
      </c>
      <c r="M36" s="16">
        <f>_xll.BDH("WMT US Equity","EARN_FOR_COMMON","FQ3 2019","FQ3 2019","Currency=USD","Period=FQ","BEST_FPERIOD_OVERRIDE=FQ","FILING_STATUS=MR","SCALING_FORMAT=MLN","FA_ADJUSTED=Adjusted","Sort=A","Dates=H","DateFormat=P","Fill=—","Direction=H","UseDPDF=Y")</f>
        <v>3180.5</v>
      </c>
      <c r="N36" s="16">
        <f>_xll.BDH("WMT US Equity","EARN_FOR_COMMON","FQ4 2019","FQ4 2019","Currency=USD","Period=FQ","BEST_FPERIOD_OVERRIDE=FQ","FILING_STATUS=MR","SCALING_FORMAT=MLN","FA_ADJUSTED=Adjusted","Sort=A","Dates=H","DateFormat=P","Fill=—","Direction=H","UseDPDF=Y")</f>
        <v>4094.96</v>
      </c>
      <c r="O36" s="16">
        <f>_xll.BDH("WMT US Equity","EARN_FOR_COMMON","FQ1 2020","FQ1 2020","Currency=USD","Period=FQ","BEST_FPERIOD_OVERRIDE=FQ","FILING_STATUS=MR","SCALING_FORMAT=MLN","FA_ADJUSTED=Adjusted","Sort=A","Dates=H","DateFormat=P","Fill=—","Direction=H","UseDPDF=Y")</f>
        <v>3264.8</v>
      </c>
      <c r="P36" s="16">
        <f>_xll.BDH("WMT US Equity","EARN_FOR_COMMON","FQ2 2020","FQ2 2020","Currency=USD","Period=FQ","BEST_FPERIOD_OVERRIDE=FQ","FILING_STATUS=MR","SCALING_FORMAT=MLN","FA_ADJUSTED=Adjusted","Sort=A","Dates=H","DateFormat=P","Fill=—","Direction=H","UseDPDF=Y")</f>
        <v>3638.69</v>
      </c>
      <c r="Q36" s="16">
        <f>_xll.BDH("WMT US Equity","EARN_FOR_COMMON","FQ3 2020","FQ3 2020","Currency=USD","Period=FQ","BEST_FPERIOD_OVERRIDE=FQ","FILING_STATUS=MR","SCALING_FORMAT=MLN","FA_ADJUSTED=Adjusted","Sort=A","Dates=H","DateFormat=P","Fill=—","Direction=H","UseDPDF=Y")</f>
        <v>3315.82</v>
      </c>
      <c r="R36" s="16">
        <f>_xll.BDH("WMT US Equity","EARN_FOR_COMMON","FQ4 2020","FQ4 2020","Currency=USD","Period=FQ","BEST_FPERIOD_OVERRIDE=FQ","FILING_STATUS=MR","SCALING_FORMAT=MLN","FA_ADJUSTED=Adjusted","Sort=A","Dates=H","DateFormat=P","Fill=—","Direction=H","UseDPDF=Y")</f>
        <v>3941.15</v>
      </c>
      <c r="S36" s="16">
        <f>_xll.BDH("WMT US Equity","EARN_FOR_COMMON","FQ1 2021","FQ1 2021","Currency=USD","Period=FQ","BEST_FPERIOD_OVERRIDE=FQ","FILING_STATUS=MR","SCALING_FORMAT=MLN","FA_ADJUSTED=Adjusted","Sort=A","Dates=H","DateFormat=P","Fill=—","Direction=H","UseDPDF=Y")</f>
        <v>3363.22</v>
      </c>
      <c r="T36" s="16">
        <f>_xll.BDH("WMT US Equity","EARN_FOR_COMMON","FQ2 2021","FQ2 2021","Currency=USD","Period=FQ","BEST_FPERIOD_OVERRIDE=FQ","FILING_STATUS=MR","SCALING_FORMAT=MLN","FA_ADJUSTED=Adjusted","Sort=A","Dates=H","DateFormat=P","Fill=—","Direction=H","UseDPDF=Y")</f>
        <v>4332.3100000000004</v>
      </c>
      <c r="U36" s="16">
        <f>_xll.BDH("WMT US Equity","EARN_FOR_COMMON","FQ3 2021","FQ3 2021","Currency=USD","Period=FQ","BEST_FPERIOD_OVERRIDE=FQ","FILING_STATUS=MR","SCALING_FORMAT=MLN","FA_ADJUSTED=Adjusted","Sort=A","Dates=H","DateFormat=P","Fill=—","Direction=H","UseDPDF=Y")</f>
        <v>3824.46</v>
      </c>
      <c r="V36" s="16">
        <f>_xll.BDH("WMT US Equity","EARN_FOR_COMMON","FQ4 2021","FQ4 2021","Currency=USD","Period=FQ","BEST_FPERIOD_OVERRIDE=FQ","FILING_STATUS=MR","SCALING_FORMAT=MLN","FA_ADJUSTED=Adjusted","Sort=A","Dates=H","DateFormat=P","Fill=—","Direction=H","UseDPDF=Y")</f>
        <v>3928.38</v>
      </c>
      <c r="W36" s="16">
        <f>_xll.BDH("WMT US Equity","EARN_FOR_COMMON","FQ1 2022","FQ1 2022","Currency=USD","Period=FQ","BEST_FPERIOD_OVERRIDE=FQ","FILING_STATUS=MR","SCALING_FORMAT=MLN","FA_ADJUSTED=Adjusted","Sort=A","Dates=H","DateFormat=P","Fill=—","Direction=H","UseDPDF=Y")</f>
        <v>4766.88</v>
      </c>
      <c r="X36" s="16">
        <f>_xll.BDH("WMT US Equity","EARN_FOR_COMMON","FQ2 2022","FQ2 2022","Currency=USD","Period=FQ","BEST_FPERIOD_OVERRIDE=FQ","FILING_STATUS=MR","SCALING_FORMAT=MLN","FA_ADJUSTED=Adjusted","Sort=A","Dates=H","DateFormat=P","Fill=—","Direction=H","UseDPDF=Y")</f>
        <v>5007.12</v>
      </c>
      <c r="Y36" s="16">
        <f>_xll.BDH("WMT US Equity","EARN_FOR_COMMON","FQ3 2022","FQ3 2022","Currency=USD","Period=FQ","BEST_FPERIOD_OVERRIDE=FQ","FILING_STATUS=MR","SCALING_FORMAT=MLN","FA_ADJUSTED=Adjusted","Sort=A","Dates=H","DateFormat=P","Fill=—","Direction=H","UseDPDF=Y")</f>
        <v>4055.98</v>
      </c>
      <c r="Z36" s="16">
        <f>_xll.BDH("WMT US Equity","EARN_FOR_COMMON","FQ4 2022","FQ4 2022","Currency=USD","Period=FQ","BEST_FPERIOD_OVERRIDE=FQ","FILING_STATUS=MR","SCALING_FORMAT=MLN","FA_ADJUSTED=Adjusted","Sort=A","Dates=H","DateFormat=P","Fill=—","Direction=H","UseDPDF=Y")</f>
        <v>4257.5</v>
      </c>
      <c r="AA36" s="16">
        <f>_xll.BDH("WMT US Equity","EARN_FOR_COMMON","FQ1 2023","FQ1 2023","Currency=USD","Period=FQ","BEST_FPERIOD_OVERRIDE=FQ","FILING_STATUS=MR","SCALING_FORMAT=MLN","FA_ADJUSTED=Adjusted","Sort=A","Dates=H","DateFormat=P","Fill=—","Direction=H","UseDPDF=Y")</f>
        <v>3602.4</v>
      </c>
      <c r="AB36" s="16">
        <f>_xll.BDH("WMT US Equity","EARN_FOR_COMMON","FQ2 2023","FQ2 2023","Currency=USD","Period=FQ","BEST_FPERIOD_OVERRIDE=FQ","FILING_STATUS=MR","SCALING_FORMAT=MLN","FA_ADJUSTED=Adjusted","Sort=A","Dates=H","DateFormat=P","Fill=—","Direction=H","UseDPDF=Y")</f>
        <v>4847.05</v>
      </c>
      <c r="AC36" s="16">
        <f>_xll.BDH("WMT US Equity","EARN_FOR_COMMON","FQ3 2023","FQ3 2023","Currency=USD","Period=FQ","BEST_FPERIOD_OVERRIDE=FQ","FILING_STATUS=MR","SCALING_FORMAT=MLN","FA_ADJUSTED=Adjusted","Sort=A","Dates=H","DateFormat=P","Fill=—","Direction=H","UseDPDF=Y")</f>
        <v>1211.21</v>
      </c>
      <c r="AD36" s="16">
        <f>_xll.BDH("WMT US Equity","EARN_FOR_COMMON","FQ4 2023","FQ4 2023","Currency=USD","Period=FQ","BEST_FPERIOD_OVERRIDE=FQ","FILING_STATUS=MR","SCALING_FORMAT=MLN","FA_ADJUSTED=Adjusted","Sort=A","Dates=H","DateFormat=P","Fill=—","Direction=H","UseDPDF=Y")</f>
        <v>4623.7299999999996</v>
      </c>
      <c r="AE36" s="16">
        <f>_xll.BDH("WMT US Equity","EARN_FOR_COMMON","FQ1 2024","FQ1 2024","Currency=USD","Period=FQ","BEST_FPERIOD_OVERRIDE=FQ","FILING_STATUS=MR","SCALING_FORMAT=MLN","FA_ADJUSTED=Adjusted","Sort=A","Dates=H","DateFormat=P","Fill=—","Direction=H","UseDPDF=Y")</f>
        <v>3971.4</v>
      </c>
      <c r="AF36" s="16">
        <f>_xll.BDH("WMT US Equity","EARN_FOR_COMMON","FQ2 2024","FQ2 2024","Currency=USD","Period=FQ","BEST_FPERIOD_OVERRIDE=FQ","FILING_STATUS=MR","SCALING_FORMAT=MLN","FA_ADJUSTED=Adjusted","Sort=A","Dates=H","DateFormat=P","Fill=—","Direction=H","UseDPDF=Y")</f>
        <v>4971.76</v>
      </c>
      <c r="AG36" s="16">
        <f>_xll.BDH("WMT US Equity","EARN_FOR_COMMON","FQ3 2024","FQ3 2024","Currency=USD","Period=FQ","BEST_FPERIOD_OVERRIDE=FQ","FILING_STATUS=MR","SCALING_FORMAT=MLN","FA_ADJUSTED=Adjusted","Sort=A","Dates=H","DateFormat=P","Fill=—","Direction=H","UseDPDF=Y")</f>
        <v>4210.17</v>
      </c>
      <c r="AH36" s="16">
        <f>_xll.BDH("WMT US Equity","EARN_FOR_COMMON","FQ4 2024","FQ4 2024","Currency=USD","Period=FQ","BEST_FPERIOD_OVERRIDE=FQ","FILING_STATUS=MR","SCALING_FORMAT=MLN","FA_ADJUSTED=Adjusted","Sort=A","Dates=H","DateFormat=P","Fill=—","Direction=H","UseDPDF=Y")</f>
        <v>4872.7700000000004</v>
      </c>
      <c r="AI36" s="16">
        <f>_xll.BDH("WMT US Equity","EARN_FOR_COMMON","FQ1 2025","FQ1 2025","Currency=USD","Period=FQ","BEST_FPERIOD_OVERRIDE=FQ","FILING_STATUS=MR","SCALING_FORMAT=MLN","FA_ADJUSTED=Adjusted","Sort=A","Dates=H","DateFormat=P","Fill=—","Direction=H","UseDPDF=Y")</f>
        <v>4861.4799999999996</v>
      </c>
      <c r="AJ36" s="16">
        <f>_xll.BDH("WMT US Equity","EARN_FOR_COMMON","FQ2 2025","FQ2 2025","Currency=USD","Period=FQ","BEST_FPERIOD_OVERRIDE=FQ","FILING_STATUS=MR","SCALING_FORMAT=MLN","FA_ADJUSTED=Adjusted","Sort=A","Dates=H","DateFormat=P","Fill=—","Direction=H","UseDPDF=Y")</f>
        <v>5295.11</v>
      </c>
      <c r="AK36" s="16">
        <f>_xll.BDH("WMT US Equity","EARN_FOR_COMMON","FQ3 2025","FQ3 2025","Currency=USD","Period=FQ","BEST_FPERIOD_OVERRIDE=FQ","FILING_STATUS=MR","SCALING_FORMAT=MLN","FA_ADJUSTED=Adjusted","Sort=A","Dates=H","DateFormat=P","Fill=—","Direction=H","UseDPDF=Y")</f>
        <v>4657.82</v>
      </c>
      <c r="AL36" s="16">
        <f>_xll.BDH("WMT US Equity","EARN_FOR_COMMON","FQ4 2025","FQ4 2025","Currency=USD","Period=FQ","BEST_FPERIOD_OVERRIDE=FQ","FILING_STATUS=MR","SCALING_FORMAT=MLN","FA_ADJUSTED=Adjusted","Sort=A","Dates=H","DateFormat=P","Fill=—","Direction=H","UseDPDF=Y")</f>
        <v>5334.78</v>
      </c>
      <c r="AM36" s="16">
        <f>_xll.BDH("WMT US Equity","EARN_FOR_COMMON","FQ1 2026","FQ1 2026","Currency=USD","Period=FQ","BEST_FPERIOD_OVERRIDE=FQ","FILING_STATUS=MR","SCALING_FORMAT=MLN","FA_ADJUSTED=Adjusted","Sort=A","Dates=H","DateFormat=P","Fill=—","Direction=H","UseDPDF=Y")</f>
        <v>4889.55</v>
      </c>
      <c r="AN36" s="16">
        <f>_xll.BDH("WMT US Equity","EARN_FOR_COMMON","FQ2 2026","FQ2 2026","Currency=USD","Period=FQ","BEST_FPERIOD_OVERRIDE=FQ","FILING_STATUS=MR","SCALING_FORMAT=MLN","FA_ADJUSTED=Adjusted","Sort=A","Dates=H","DateFormat=P","Fill=—","Direction=H","UseDPDF=Y")</f>
        <v>5422.8</v>
      </c>
      <c r="AO36" s="16">
        <v>4809.3450000000003</v>
      </c>
      <c r="AP36" s="16">
        <v>5819.5519999999997</v>
      </c>
    </row>
    <row r="37" spans="1:42" x14ac:dyDescent="0.3">
      <c r="A37" s="10" t="s">
        <v>123</v>
      </c>
      <c r="B37" s="10" t="s">
        <v>124</v>
      </c>
      <c r="C37" s="13">
        <f>_xll.BDH("WMT US Equity","IS_NET_ABNORMAL_ITEMS","FQ1 2017","FQ1 2017","Currency=USD","Period=FQ","BEST_FPERIOD_OVERRIDE=FQ","FILING_STATUS=MR","SCALING_FORMAT=MLN","Sort=A","Dates=H","DateFormat=P","Fill=—","Direction=H","UseDPDF=Y")</f>
        <v>0</v>
      </c>
      <c r="D37" s="13">
        <f>_xll.BDH("WMT US Equity","IS_NET_ABNORMAL_ITEMS","FQ2 2017","FQ2 2017","Currency=USD","Period=FQ","BEST_FPERIOD_OVERRIDE=FQ","FILING_STATUS=MR","SCALING_FORMAT=MLN","Sort=A","Dates=H","DateFormat=P","Fill=—","Direction=H","UseDPDF=Y")</f>
        <v>-436.66</v>
      </c>
      <c r="E37" s="13">
        <f>_xll.BDH("WMT US Equity","IS_NET_ABNORMAL_ITEMS","FQ3 2017","FQ3 2017","Currency=USD","Period=FQ","BEST_FPERIOD_OVERRIDE=FQ","FILING_STATUS=MR","SCALING_FORMAT=MLN","Sort=A","Dates=H","DateFormat=P","Fill=—","Direction=H","UseDPDF=Y")</f>
        <v>0</v>
      </c>
      <c r="F37" s="13">
        <f>_xll.BDH("WMT US Equity","IS_NET_ABNORMAL_ITEMS","FQ4 2017","FQ4 2017","Currency=USD","Period=FQ","BEST_FPERIOD_OVERRIDE=FQ","FILING_STATUS=MR","SCALING_FORMAT=MLN","Sort=A","Dates=H","DateFormat=P","Fill=—","Direction=H","UseDPDF=Y")</f>
        <v>246.16</v>
      </c>
      <c r="G37" s="13">
        <f>_xll.BDH("WMT US Equity","IS_NET_ABNORMAL_ITEMS","FQ1 2018","FQ1 2018","Currency=USD","Period=FQ","BEST_FPERIOD_OVERRIDE=FQ","FILING_STATUS=MR","SCALING_FORMAT=MLN","Sort=A","Dates=H","DateFormat=P","Fill=—","Direction=H","UseDPDF=Y")</f>
        <v>0</v>
      </c>
      <c r="H37" s="13">
        <f>_xll.BDH("WMT US Equity","IS_NET_ABNORMAL_ITEMS","FQ2 2018","FQ2 2018","Currency=USD","Period=FQ","BEST_FPERIOD_OVERRIDE=FQ","FILING_STATUS=MR","SCALING_FORMAT=MLN","Sort=A","Dates=H","DateFormat=P","Fill=—","Direction=H","UseDPDF=Y")</f>
        <v>362.52</v>
      </c>
      <c r="I37" s="13">
        <f>_xll.BDH("WMT US Equity","IS_NET_ABNORMAL_ITEMS","FQ3 2018","FQ3 2018","Currency=USD","Period=FQ","BEST_FPERIOD_OVERRIDE=FQ","FILING_STATUS=MR","SCALING_FORMAT=MLN","Sort=A","Dates=H","DateFormat=P","Fill=—","Direction=H","UseDPDF=Y")</f>
        <v>1258.32</v>
      </c>
      <c r="J37" s="13">
        <f>_xll.BDH("WMT US Equity","IS_NET_ABNORMAL_ITEMS","FQ4 2018","FQ4 2018","Currency=USD","Period=FQ","BEST_FPERIOD_OVERRIDE=FQ","FILING_STATUS=MR","SCALING_FORMAT=MLN","Sort=A","Dates=H","DateFormat=P","Fill=—","Direction=H","UseDPDF=Y")</f>
        <v>1786.8</v>
      </c>
      <c r="K37" s="13">
        <f>_xll.BDH("WMT US Equity","IS_NET_ABNORMAL_ITEMS","FQ1 2019","FQ1 2019","Currency=USD","Period=FQ","BEST_FPERIOD_OVERRIDE=FQ","FILING_STATUS=MR","SCALING_FORMAT=MLN","Sort=A","Dates=H","DateFormat=P","Fill=—","Direction=H","UseDPDF=Y")</f>
        <v>1246.1400000000001</v>
      </c>
      <c r="L37" s="13">
        <f>_xll.BDH("WMT US Equity","IS_NET_ABNORMAL_ITEMS","FQ2 2019","FQ2 2019","Currency=USD","Period=FQ","BEST_FPERIOD_OVERRIDE=FQ","FILING_STATUS=MR","SCALING_FORMAT=MLN","Sort=A","Dates=H","DateFormat=P","Fill=—","Direction=H","UseDPDF=Y")</f>
        <v>4654.68</v>
      </c>
      <c r="M37" s="13">
        <f>_xll.BDH("WMT US Equity","IS_NET_ABNORMAL_ITEMS","FQ3 2019","FQ3 2019","Currency=USD","Period=FQ","BEST_FPERIOD_OVERRIDE=FQ","FILING_STATUS=MR","SCALING_FORMAT=MLN","Sort=A","Dates=H","DateFormat=P","Fill=—","Direction=H","UseDPDF=Y")</f>
        <v>1470.5</v>
      </c>
      <c r="N37" s="13">
        <f>_xll.BDH("WMT US Equity","IS_NET_ABNORMAL_ITEMS","FQ4 2019","FQ4 2019","Currency=USD","Period=FQ","BEST_FPERIOD_OVERRIDE=FQ","FILING_STATUS=MR","SCALING_FORMAT=MLN","Sort=A","Dates=H","DateFormat=P","Fill=—","Direction=H","UseDPDF=Y")</f>
        <v>407.96</v>
      </c>
      <c r="O37" s="13">
        <f>_xll.BDH("WMT US Equity","IS_NET_ABNORMAL_ITEMS","FQ1 2020","FQ1 2020","Currency=USD","Period=FQ","BEST_FPERIOD_OVERRIDE=FQ","FILING_STATUS=MR","SCALING_FORMAT=MLN","Sort=A","Dates=H","DateFormat=P","Fill=—","Direction=H","UseDPDF=Y")</f>
        <v>-577.20000000000005</v>
      </c>
      <c r="P37" s="13">
        <f>_xll.BDH("WMT US Equity","IS_NET_ABNORMAL_ITEMS","FQ2 2020","FQ2 2020","Currency=USD","Period=FQ","BEST_FPERIOD_OVERRIDE=FQ","FILING_STATUS=MR","SCALING_FORMAT=MLN","Sort=A","Dates=H","DateFormat=P","Fill=—","Direction=H","UseDPDF=Y")</f>
        <v>28.69</v>
      </c>
      <c r="Q37" s="13">
        <f>_xll.BDH("WMT US Equity","IS_NET_ABNORMAL_ITEMS","FQ3 2020","FQ3 2020","Currency=USD","Period=FQ","BEST_FPERIOD_OVERRIDE=FQ","FILING_STATUS=MR","SCALING_FORMAT=MLN","Sort=A","Dates=H","DateFormat=P","Fill=—","Direction=H","UseDPDF=Y")</f>
        <v>27.82</v>
      </c>
      <c r="R37" s="13">
        <f>_xll.BDH("WMT US Equity","IS_NET_ABNORMAL_ITEMS","FQ4 2020","FQ4 2020","Currency=USD","Period=FQ","BEST_FPERIOD_OVERRIDE=FQ","FILING_STATUS=MR","SCALING_FORMAT=MLN","Sort=A","Dates=H","DateFormat=P","Fill=—","Direction=H","UseDPDF=Y")</f>
        <v>-199.85</v>
      </c>
      <c r="S37" s="13">
        <f>_xll.BDH("WMT US Equity","IS_NET_ABNORMAL_ITEMS","FQ1 2021","FQ1 2021","Currency=USD","Period=FQ","BEST_FPERIOD_OVERRIDE=FQ","FILING_STATUS=MR","SCALING_FORMAT=MLN","Sort=A","Dates=H","DateFormat=P","Fill=—","Direction=H","UseDPDF=Y")</f>
        <v>-626.78</v>
      </c>
      <c r="T37" s="13">
        <f>_xll.BDH("WMT US Equity","IS_NET_ABNORMAL_ITEMS","FQ2 2021","FQ2 2021","Currency=USD","Period=FQ","BEST_FPERIOD_OVERRIDE=FQ","FILING_STATUS=MR","SCALING_FORMAT=MLN","Sort=A","Dates=H","DateFormat=P","Fill=—","Direction=H","UseDPDF=Y")</f>
        <v>-2143.69</v>
      </c>
      <c r="U37" s="13">
        <f>_xll.BDH("WMT US Equity","IS_NET_ABNORMAL_ITEMS","FQ3 2021","FQ3 2021","Currency=USD","Period=FQ","BEST_FPERIOD_OVERRIDE=FQ","FILING_STATUS=MR","SCALING_FORMAT=MLN","Sort=A","Dates=H","DateFormat=P","Fill=—","Direction=H","UseDPDF=Y")</f>
        <v>-1310.54</v>
      </c>
      <c r="V37" s="13">
        <f>_xll.BDH("WMT US Equity","IS_NET_ABNORMAL_ITEMS","FQ4 2021","FQ4 2021","Currency=USD","Period=FQ","BEST_FPERIOD_OVERRIDE=FQ","FILING_STATUS=MR","SCALING_FORMAT=MLN","Sort=A","Dates=H","DateFormat=P","Fill=—","Direction=H","UseDPDF=Y")</f>
        <v>6019.38</v>
      </c>
      <c r="W37" s="13">
        <f>_xll.BDH("WMT US Equity","IS_NET_ABNORMAL_ITEMS","FQ1 2022","FQ1 2022","Currency=USD","Period=FQ","BEST_FPERIOD_OVERRIDE=FQ","FILING_STATUS=MR","SCALING_FORMAT=MLN","Sort=A","Dates=H","DateFormat=P","Fill=—","Direction=H","UseDPDF=Y")</f>
        <v>2036.88</v>
      </c>
      <c r="X37" s="13">
        <f>_xll.BDH("WMT US Equity","IS_NET_ABNORMAL_ITEMS","FQ2 2022","FQ2 2022","Currency=USD","Period=FQ","BEST_FPERIOD_OVERRIDE=FQ","FILING_STATUS=MR","SCALING_FORMAT=MLN","Sort=A","Dates=H","DateFormat=P","Fill=—","Direction=H","UseDPDF=Y")</f>
        <v>731.12</v>
      </c>
      <c r="Y37" s="13">
        <f>_xll.BDH("WMT US Equity","IS_NET_ABNORMAL_ITEMS","FQ3 2022","FQ3 2022","Currency=USD","Period=FQ","BEST_FPERIOD_OVERRIDE=FQ","FILING_STATUS=MR","SCALING_FORMAT=MLN","Sort=A","Dates=H","DateFormat=P","Fill=—","Direction=H","UseDPDF=Y")</f>
        <v>950.98</v>
      </c>
      <c r="Z37" s="13">
        <f>_xll.BDH("WMT US Equity","IS_NET_ABNORMAL_ITEMS","FQ4 2022","FQ4 2022","Currency=USD","Period=FQ","BEST_FPERIOD_OVERRIDE=FQ","FILING_STATUS=MR","SCALING_FORMAT=MLN","Sort=A","Dates=H","DateFormat=P","Fill=—","Direction=H","UseDPDF=Y")</f>
        <v>695.5</v>
      </c>
      <c r="AA37" s="13">
        <f>_xll.BDH("WMT US Equity","IS_NET_ABNORMAL_ITEMS","FQ1 2023","FQ1 2023","Currency=USD","Period=FQ","BEST_FPERIOD_OVERRIDE=FQ","FILING_STATUS=MR","SCALING_FORMAT=MLN","Sort=A","Dates=H","DateFormat=P","Fill=—","Direction=H","UseDPDF=Y")</f>
        <v>1548.4</v>
      </c>
      <c r="AB37" s="13">
        <f>_xll.BDH("WMT US Equity","IS_NET_ABNORMAL_ITEMS","FQ2 2023","FQ2 2023","Currency=USD","Period=FQ","BEST_FPERIOD_OVERRIDE=FQ","FILING_STATUS=MR","SCALING_FORMAT=MLN","Sort=A","Dates=H","DateFormat=P","Fill=—","Direction=H","UseDPDF=Y")</f>
        <v>-301.95</v>
      </c>
      <c r="AC37" s="13">
        <f>_xll.BDH("WMT US Equity","IS_NET_ABNORMAL_ITEMS","FQ3 2023","FQ3 2023","Currency=USD","Period=FQ","BEST_FPERIOD_OVERRIDE=FQ","FILING_STATUS=MR","SCALING_FORMAT=MLN","Sort=A","Dates=H","DateFormat=P","Fill=—","Direction=H","UseDPDF=Y")</f>
        <v>3009.21</v>
      </c>
      <c r="AD37" s="13">
        <f>_xll.BDH("WMT US Equity","IS_NET_ABNORMAL_ITEMS","FQ4 2023","FQ4 2023","Currency=USD","Period=FQ","BEST_FPERIOD_OVERRIDE=FQ","FILING_STATUS=MR","SCALING_FORMAT=MLN","Sort=A","Dates=H","DateFormat=P","Fill=—","Direction=H","UseDPDF=Y")</f>
        <v>-1651.27</v>
      </c>
      <c r="AE37" s="13">
        <f>_xll.BDH("WMT US Equity","IS_NET_ABNORMAL_ITEMS","FQ1 2024","FQ1 2024","Currency=USD","Period=FQ","BEST_FPERIOD_OVERRIDE=FQ","FILING_STATUS=MR","SCALING_FORMAT=MLN","Sort=A","Dates=H","DateFormat=P","Fill=—","Direction=H","UseDPDF=Y")</f>
        <v>2298.4</v>
      </c>
      <c r="AF37" s="13">
        <f>_xll.BDH("WMT US Equity","IS_NET_ABNORMAL_ITEMS","FQ2 2024","FQ2 2024","Currency=USD","Period=FQ","BEST_FPERIOD_OVERRIDE=FQ","FILING_STATUS=MR","SCALING_FORMAT=MLN","Sort=A","Dates=H","DateFormat=P","Fill=—","Direction=H","UseDPDF=Y")</f>
        <v>-2919.24</v>
      </c>
      <c r="AG37" s="13">
        <f>_xll.BDH("WMT US Equity","IS_NET_ABNORMAL_ITEMS","FQ3 2024","FQ3 2024","Currency=USD","Period=FQ","BEST_FPERIOD_OVERRIDE=FQ","FILING_STATUS=MR","SCALING_FORMAT=MLN","Sort=A","Dates=H","DateFormat=P","Fill=—","Direction=H","UseDPDF=Y")</f>
        <v>3757.17</v>
      </c>
      <c r="AH37" s="13">
        <f>_xll.BDH("WMT US Equity","IS_NET_ABNORMAL_ITEMS","FQ4 2024","FQ4 2024","Currency=USD","Period=FQ","BEST_FPERIOD_OVERRIDE=FQ","FILING_STATUS=MR","SCALING_FORMAT=MLN","Sort=A","Dates=H","DateFormat=P","Fill=—","Direction=H","UseDPDF=Y")</f>
        <v>-621.23</v>
      </c>
      <c r="AI37" s="13">
        <f>_xll.BDH("WMT US Equity","IS_NET_ABNORMAL_ITEMS","FQ1 2025","FQ1 2025","Currency=USD","Period=FQ","BEST_FPERIOD_OVERRIDE=FQ","FILING_STATUS=MR","SCALING_FORMAT=MLN","Sort=A","Dates=H","DateFormat=P","Fill=—","Direction=H","UseDPDF=Y")</f>
        <v>-242.52</v>
      </c>
      <c r="AJ37" s="13">
        <f>_xll.BDH("WMT US Equity","IS_NET_ABNORMAL_ITEMS","FQ2 2025","FQ2 2025","Currency=USD","Period=FQ","BEST_FPERIOD_OVERRIDE=FQ","FILING_STATUS=MR","SCALING_FORMAT=MLN","Sort=A","Dates=H","DateFormat=P","Fill=—","Direction=H","UseDPDF=Y")</f>
        <v>794.11</v>
      </c>
      <c r="AK37" s="13">
        <f>_xll.BDH("WMT US Equity","IS_NET_ABNORMAL_ITEMS","FQ3 2025","FQ3 2025","Currency=USD","Period=FQ","BEST_FPERIOD_OVERRIDE=FQ","FILING_STATUS=MR","SCALING_FORMAT=MLN","Sort=A","Dates=H","DateFormat=P","Fill=—","Direction=H","UseDPDF=Y")</f>
        <v>80.819999999999993</v>
      </c>
      <c r="AL37" s="13">
        <f>_xll.BDH("WMT US Equity","IS_NET_ABNORMAL_ITEMS","FQ4 2025","FQ4 2025","Currency=USD","Period=FQ","BEST_FPERIOD_OVERRIDE=FQ","FILING_STATUS=MR","SCALING_FORMAT=MLN","Sort=A","Dates=H","DateFormat=P","Fill=—","Direction=H","UseDPDF=Y")</f>
        <v>80.78</v>
      </c>
      <c r="AM37" s="13">
        <f>_xll.BDH("WMT US Equity","IS_NET_ABNORMAL_ITEMS","FQ1 2026","FQ1 2026","Currency=USD","Period=FQ","BEST_FPERIOD_OVERRIDE=FQ","FILING_STATUS=MR","SCALING_FORMAT=MLN","Sort=A","Dates=H","DateFormat=P","Fill=—","Direction=H","UseDPDF=Y")</f>
        <v>402.55</v>
      </c>
      <c r="AN37" s="13">
        <f>_xll.BDH("WMT US Equity","IS_NET_ABNORMAL_ITEMS","FQ2 2026","FQ2 2026","Currency=USD","Period=FQ","BEST_FPERIOD_OVERRIDE=FQ","FILING_STATUS=MR","SCALING_FORMAT=MLN","Sort=A","Dates=H","DateFormat=P","Fill=—","Direction=H","UseDPDF=Y")</f>
        <v>-1603.2</v>
      </c>
      <c r="AO37" s="13"/>
      <c r="AP37" s="13"/>
    </row>
    <row r="38" spans="1:42" x14ac:dyDescent="0.3">
      <c r="A38" s="10" t="s">
        <v>125</v>
      </c>
      <c r="B38" s="10" t="s">
        <v>110</v>
      </c>
      <c r="C38" s="13">
        <f>_xll.BDH("WMT US Equity","XO_GL_NET_OF_TAX","FQ1 2017","FQ1 2017","Currency=USD","Period=FQ","BEST_FPERIOD_OVERRIDE=FQ","FILING_STATUS=MR","SCALING_FORMAT=MLN","Sort=A","Dates=H","DateFormat=P","Fill=—","Direction=H","UseDPDF=Y")</f>
        <v>0</v>
      </c>
      <c r="D38" s="13">
        <f>_xll.BDH("WMT US Equity","XO_GL_NET_OF_TAX","FQ2 2017","FQ2 2017","Currency=USD","Period=FQ","BEST_FPERIOD_OVERRIDE=FQ","FILING_STATUS=MR","SCALING_FORMAT=MLN","Sort=A","Dates=H","DateFormat=P","Fill=—","Direction=H","UseDPDF=Y")</f>
        <v>0</v>
      </c>
      <c r="E38" s="13">
        <f>_xll.BDH("WMT US Equity","XO_GL_NET_OF_TAX","FQ3 2017","FQ3 2017","Currency=USD","Period=FQ","BEST_FPERIOD_OVERRIDE=FQ","FILING_STATUS=MR","SCALING_FORMAT=MLN","Sort=A","Dates=H","DateFormat=P","Fill=—","Direction=H","UseDPDF=Y")</f>
        <v>0</v>
      </c>
      <c r="F38" s="13">
        <f>_xll.BDH("WMT US Equity","XO_GL_NET_OF_TAX","FQ4 2017","FQ4 2017","Currency=USD","Period=FQ","BEST_FPERIOD_OVERRIDE=FQ","FILING_STATUS=MR","SCALING_FORMAT=MLN","Sort=A","Dates=H","DateFormat=P","Fill=—","Direction=H","UseDPDF=Y")</f>
        <v>0</v>
      </c>
      <c r="G38" s="13">
        <f>_xll.BDH("WMT US Equity","XO_GL_NET_OF_TAX","FQ1 2018","FQ1 2018","Currency=USD","Period=FQ","BEST_FPERIOD_OVERRIDE=FQ","FILING_STATUS=MR","SCALING_FORMAT=MLN","Sort=A","Dates=H","DateFormat=P","Fill=—","Direction=H","UseDPDF=Y")</f>
        <v>0</v>
      </c>
      <c r="H38" s="13">
        <f>_xll.BDH("WMT US Equity","XO_GL_NET_OF_TAX","FQ2 2018","FQ2 2018","Currency=USD","Period=FQ","BEST_FPERIOD_OVERRIDE=FQ","FILING_STATUS=MR","SCALING_FORMAT=MLN","Sort=A","Dates=H","DateFormat=P","Fill=—","Direction=H","UseDPDF=Y")</f>
        <v>0</v>
      </c>
      <c r="I38" s="13">
        <f>_xll.BDH("WMT US Equity","XO_GL_NET_OF_TAX","FQ3 2018","FQ3 2018","Currency=USD","Period=FQ","BEST_FPERIOD_OVERRIDE=FQ","FILING_STATUS=MR","SCALING_FORMAT=MLN","Sort=A","Dates=H","DateFormat=P","Fill=—","Direction=H","UseDPDF=Y")</f>
        <v>0</v>
      </c>
      <c r="J38" s="13">
        <f>_xll.BDH("WMT US Equity","XO_GL_NET_OF_TAX","FQ4 2018","FQ4 2018","Currency=USD","Period=FQ","BEST_FPERIOD_OVERRIDE=FQ","FILING_STATUS=MR","SCALING_FORMAT=MLN","Sort=A","Dates=H","DateFormat=P","Fill=—","Direction=H","UseDPDF=Y")</f>
        <v>0</v>
      </c>
      <c r="K38" s="13">
        <f>_xll.BDH("WMT US Equity","XO_GL_NET_OF_TAX","FQ1 2019","FQ1 2019","Currency=USD","Period=FQ","BEST_FPERIOD_OVERRIDE=FQ","FILING_STATUS=MR","SCALING_FORMAT=MLN","Sort=A","Dates=H","DateFormat=P","Fill=—","Direction=H","UseDPDF=Y")</f>
        <v>0</v>
      </c>
      <c r="L38" s="13">
        <f>_xll.BDH("WMT US Equity","XO_GL_NET_OF_TAX","FQ2 2019","FQ2 2019","Currency=USD","Period=FQ","BEST_FPERIOD_OVERRIDE=FQ","FILING_STATUS=MR","SCALING_FORMAT=MLN","Sort=A","Dates=H","DateFormat=P","Fill=—","Direction=H","UseDPDF=Y")</f>
        <v>0</v>
      </c>
      <c r="M38" s="13">
        <f>_xll.BDH("WMT US Equity","XO_GL_NET_OF_TAX","FQ3 2019","FQ3 2019","Currency=USD","Period=FQ","BEST_FPERIOD_OVERRIDE=FQ","FILING_STATUS=MR","SCALING_FORMAT=MLN","Sort=A","Dates=H","DateFormat=P","Fill=—","Direction=H","UseDPDF=Y")</f>
        <v>0</v>
      </c>
      <c r="N38" s="13">
        <f>_xll.BDH("WMT US Equity","XO_GL_NET_OF_TAX","FQ4 2019","FQ4 2019","Currency=USD","Period=FQ","BEST_FPERIOD_OVERRIDE=FQ","FILING_STATUS=MR","SCALING_FORMAT=MLN","Sort=A","Dates=H","DateFormat=P","Fill=—","Direction=H","UseDPDF=Y")</f>
        <v>0</v>
      </c>
      <c r="O38" s="13">
        <f>_xll.BDH("WMT US Equity","XO_GL_NET_OF_TAX","FQ1 2020","FQ1 2020","Currency=USD","Period=FQ","BEST_FPERIOD_OVERRIDE=FQ","FILING_STATUS=MR","SCALING_FORMAT=MLN","Sort=A","Dates=H","DateFormat=P","Fill=—","Direction=H","UseDPDF=Y")</f>
        <v>0</v>
      </c>
      <c r="P38" s="13">
        <f>_xll.BDH("WMT US Equity","XO_GL_NET_OF_TAX","FQ2 2020","FQ2 2020","Currency=USD","Period=FQ","BEST_FPERIOD_OVERRIDE=FQ","FILING_STATUS=MR","SCALING_FORMAT=MLN","Sort=A","Dates=H","DateFormat=P","Fill=—","Direction=H","UseDPDF=Y")</f>
        <v>0</v>
      </c>
      <c r="Q38" s="13">
        <f>_xll.BDH("WMT US Equity","XO_GL_NET_OF_TAX","FQ3 2020","FQ3 2020","Currency=USD","Period=FQ","BEST_FPERIOD_OVERRIDE=FQ","FILING_STATUS=MR","SCALING_FORMAT=MLN","Sort=A","Dates=H","DateFormat=P","Fill=—","Direction=H","UseDPDF=Y")</f>
        <v>0</v>
      </c>
      <c r="R38" s="13">
        <f>_xll.BDH("WMT US Equity","XO_GL_NET_OF_TAX","FQ4 2020","FQ4 2020","Currency=USD","Period=FQ","BEST_FPERIOD_OVERRIDE=FQ","FILING_STATUS=MR","SCALING_FORMAT=MLN","Sort=A","Dates=H","DateFormat=P","Fill=—","Direction=H","UseDPDF=Y")</f>
        <v>0</v>
      </c>
      <c r="S38" s="13">
        <f>_xll.BDH("WMT US Equity","XO_GL_NET_OF_TAX","FQ1 2021","FQ1 2021","Currency=USD","Period=FQ","BEST_FPERIOD_OVERRIDE=FQ","FILING_STATUS=MR","SCALING_FORMAT=MLN","Sort=A","Dates=H","DateFormat=P","Fill=—","Direction=H","UseDPDF=Y")</f>
        <v>0</v>
      </c>
      <c r="T38" s="13">
        <f>_xll.BDH("WMT US Equity","XO_GL_NET_OF_TAX","FQ2 2021","FQ2 2021","Currency=USD","Period=FQ","BEST_FPERIOD_OVERRIDE=FQ","FILING_STATUS=MR","SCALING_FORMAT=MLN","Sort=A","Dates=H","DateFormat=P","Fill=—","Direction=H","UseDPDF=Y")</f>
        <v>0</v>
      </c>
      <c r="U38" s="13">
        <f>_xll.BDH("WMT US Equity","XO_GL_NET_OF_TAX","FQ3 2021","FQ3 2021","Currency=USD","Period=FQ","BEST_FPERIOD_OVERRIDE=FQ","FILING_STATUS=MR","SCALING_FORMAT=MLN","Sort=A","Dates=H","DateFormat=P","Fill=—","Direction=H","UseDPDF=Y")</f>
        <v>0</v>
      </c>
      <c r="V38" s="13">
        <f>_xll.BDH("WMT US Equity","XO_GL_NET_OF_TAX","FQ4 2021","FQ4 2021","Currency=USD","Period=FQ","BEST_FPERIOD_OVERRIDE=FQ","FILING_STATUS=MR","SCALING_FORMAT=MLN","Sort=A","Dates=H","DateFormat=P","Fill=—","Direction=H","UseDPDF=Y")</f>
        <v>0</v>
      </c>
      <c r="W38" s="13">
        <f>_xll.BDH("WMT US Equity","XO_GL_NET_OF_TAX","FQ1 2022","FQ1 2022","Currency=USD","Period=FQ","BEST_FPERIOD_OVERRIDE=FQ","FILING_STATUS=MR","SCALING_FORMAT=MLN","Sort=A","Dates=H","DateFormat=P","Fill=—","Direction=H","UseDPDF=Y")</f>
        <v>0</v>
      </c>
      <c r="X38" s="13">
        <f>_xll.BDH("WMT US Equity","XO_GL_NET_OF_TAX","FQ2 2022","FQ2 2022","Currency=USD","Period=FQ","BEST_FPERIOD_OVERRIDE=FQ","FILING_STATUS=MR","SCALING_FORMAT=MLN","Sort=A","Dates=H","DateFormat=P","Fill=—","Direction=H","UseDPDF=Y")</f>
        <v>0</v>
      </c>
      <c r="Y38" s="13">
        <f>_xll.BDH("WMT US Equity","XO_GL_NET_OF_TAX","FQ3 2022","FQ3 2022","Currency=USD","Period=FQ","BEST_FPERIOD_OVERRIDE=FQ","FILING_STATUS=MR","SCALING_FORMAT=MLN","Sort=A","Dates=H","DateFormat=P","Fill=—","Direction=H","UseDPDF=Y")</f>
        <v>0</v>
      </c>
      <c r="Z38" s="13">
        <f>_xll.BDH("WMT US Equity","XO_GL_NET_OF_TAX","FQ4 2022","FQ4 2022","Currency=USD","Period=FQ","BEST_FPERIOD_OVERRIDE=FQ","FILING_STATUS=MR","SCALING_FORMAT=MLN","Sort=A","Dates=H","DateFormat=P","Fill=—","Direction=H","UseDPDF=Y")</f>
        <v>0</v>
      </c>
      <c r="AA38" s="13">
        <f>_xll.BDH("WMT US Equity","XO_GL_NET_OF_TAX","FQ1 2023","FQ1 2023","Currency=USD","Period=FQ","BEST_FPERIOD_OVERRIDE=FQ","FILING_STATUS=MR","SCALING_FORMAT=MLN","Sort=A","Dates=H","DateFormat=P","Fill=—","Direction=H","UseDPDF=Y")</f>
        <v>0</v>
      </c>
      <c r="AB38" s="13">
        <f>_xll.BDH("WMT US Equity","XO_GL_NET_OF_TAX","FQ2 2023","FQ2 2023","Currency=USD","Period=FQ","BEST_FPERIOD_OVERRIDE=FQ","FILING_STATUS=MR","SCALING_FORMAT=MLN","Sort=A","Dates=H","DateFormat=P","Fill=—","Direction=H","UseDPDF=Y")</f>
        <v>0</v>
      </c>
      <c r="AC38" s="13">
        <f>_xll.BDH("WMT US Equity","XO_GL_NET_OF_TAX","FQ3 2023","FQ3 2023","Currency=USD","Period=FQ","BEST_FPERIOD_OVERRIDE=FQ","FILING_STATUS=MR","SCALING_FORMAT=MLN","Sort=A","Dates=H","DateFormat=P","Fill=—","Direction=H","UseDPDF=Y")</f>
        <v>0</v>
      </c>
      <c r="AD38" s="13">
        <f>_xll.BDH("WMT US Equity","XO_GL_NET_OF_TAX","FQ4 2023","FQ4 2023","Currency=USD","Period=FQ","BEST_FPERIOD_OVERRIDE=FQ","FILING_STATUS=MR","SCALING_FORMAT=MLN","Sort=A","Dates=H","DateFormat=P","Fill=—","Direction=H","UseDPDF=Y")</f>
        <v>0</v>
      </c>
      <c r="AE38" s="13">
        <f>_xll.BDH("WMT US Equity","XO_GL_NET_OF_TAX","FQ1 2024","FQ1 2024","Currency=USD","Period=FQ","BEST_FPERIOD_OVERRIDE=FQ","FILING_STATUS=MR","SCALING_FORMAT=MLN","Sort=A","Dates=H","DateFormat=P","Fill=—","Direction=H","UseDPDF=Y")</f>
        <v>0</v>
      </c>
      <c r="AF38" s="13">
        <f>_xll.BDH("WMT US Equity","XO_GL_NET_OF_TAX","FQ2 2024","FQ2 2024","Currency=USD","Period=FQ","BEST_FPERIOD_OVERRIDE=FQ","FILING_STATUS=MR","SCALING_FORMAT=MLN","Sort=A","Dates=H","DateFormat=P","Fill=—","Direction=H","UseDPDF=Y")</f>
        <v>0</v>
      </c>
      <c r="AG38" s="13">
        <f>_xll.BDH("WMT US Equity","XO_GL_NET_OF_TAX","FQ3 2024","FQ3 2024","Currency=USD","Period=FQ","BEST_FPERIOD_OVERRIDE=FQ","FILING_STATUS=MR","SCALING_FORMAT=MLN","Sort=A","Dates=H","DateFormat=P","Fill=—","Direction=H","UseDPDF=Y")</f>
        <v>0</v>
      </c>
      <c r="AH38" s="13">
        <f>_xll.BDH("WMT US Equity","XO_GL_NET_OF_TAX","FQ4 2024","FQ4 2024","Currency=USD","Period=FQ","BEST_FPERIOD_OVERRIDE=FQ","FILING_STATUS=MR","SCALING_FORMAT=MLN","Sort=A","Dates=H","DateFormat=P","Fill=—","Direction=H","UseDPDF=Y")</f>
        <v>0</v>
      </c>
      <c r="AI38" s="13">
        <f>_xll.BDH("WMT US Equity","XO_GL_NET_OF_TAX","FQ1 2025","FQ1 2025","Currency=USD","Period=FQ","BEST_FPERIOD_OVERRIDE=FQ","FILING_STATUS=MR","SCALING_FORMAT=MLN","Sort=A","Dates=H","DateFormat=P","Fill=—","Direction=H","UseDPDF=Y")</f>
        <v>0</v>
      </c>
      <c r="AJ38" s="13">
        <f>_xll.BDH("WMT US Equity","XO_GL_NET_OF_TAX","FQ2 2025","FQ2 2025","Currency=USD","Period=FQ","BEST_FPERIOD_OVERRIDE=FQ","FILING_STATUS=MR","SCALING_FORMAT=MLN","Sort=A","Dates=H","DateFormat=P","Fill=—","Direction=H","UseDPDF=Y")</f>
        <v>0</v>
      </c>
      <c r="AK38" s="13">
        <f>_xll.BDH("WMT US Equity","XO_GL_NET_OF_TAX","FQ3 2025","FQ3 2025","Currency=USD","Period=FQ","BEST_FPERIOD_OVERRIDE=FQ","FILING_STATUS=MR","SCALING_FORMAT=MLN","Sort=A","Dates=H","DateFormat=P","Fill=—","Direction=H","UseDPDF=Y")</f>
        <v>0</v>
      </c>
      <c r="AL38" s="13">
        <f>_xll.BDH("WMT US Equity","XO_GL_NET_OF_TAX","FQ4 2025","FQ4 2025","Currency=USD","Period=FQ","BEST_FPERIOD_OVERRIDE=FQ","FILING_STATUS=MR","SCALING_FORMAT=MLN","Sort=A","Dates=H","DateFormat=P","Fill=—","Direction=H","UseDPDF=Y")</f>
        <v>0</v>
      </c>
      <c r="AM38" s="13">
        <f>_xll.BDH("WMT US Equity","XO_GL_NET_OF_TAX","FQ1 2026","FQ1 2026","Currency=USD","Period=FQ","BEST_FPERIOD_OVERRIDE=FQ","FILING_STATUS=MR","SCALING_FORMAT=MLN","Sort=A","Dates=H","DateFormat=P","Fill=—","Direction=H","UseDPDF=Y")</f>
        <v>0</v>
      </c>
      <c r="AN38" s="13">
        <f>_xll.BDH("WMT US Equity","XO_GL_NET_OF_TAX","FQ2 2026","FQ2 2026","Currency=USD","Period=FQ","BEST_FPERIOD_OVERRIDE=FQ","FILING_STATUS=MR","SCALING_FORMAT=MLN","Sort=A","Dates=H","DateFormat=P","Fill=—","Direction=H","UseDPDF=Y")</f>
        <v>0</v>
      </c>
      <c r="AO38" s="13"/>
      <c r="AP38" s="13"/>
    </row>
    <row r="39" spans="1:42" x14ac:dyDescent="0.3">
      <c r="A39" s="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3">
      <c r="A40" s="10" t="s">
        <v>126</v>
      </c>
      <c r="B40" s="10" t="s">
        <v>127</v>
      </c>
      <c r="C40" s="13">
        <f>_xll.BDH("WMT US Equity","IS_AVG_NUM_SH_FOR_EPS","FQ1 2017","FQ1 2017","Currency=USD","Period=FQ","BEST_FPERIOD_OVERRIDE=FQ","FILING_STATUS=MR","Sort=A","Dates=H","DateFormat=P","Fill=—","Direction=H","UseDPDF=Y")</f>
        <v>9432</v>
      </c>
      <c r="D40" s="13">
        <f>_xll.BDH("WMT US Equity","IS_AVG_NUM_SH_FOR_EPS","FQ2 2017","FQ2 2017","Currency=USD","Period=FQ","BEST_FPERIOD_OVERRIDE=FQ","FILING_STATUS=MR","Sort=A","Dates=H","DateFormat=P","Fill=—","Direction=H","UseDPDF=Y")</f>
        <v>9327</v>
      </c>
      <c r="E40" s="13">
        <f>_xll.BDH("WMT US Equity","IS_AVG_NUM_SH_FOR_EPS","FQ3 2017","FQ3 2017","Currency=USD","Period=FQ","BEST_FPERIOD_OVERRIDE=FQ","FILING_STATUS=MR","Sort=A","Dates=H","DateFormat=P","Fill=—","Direction=H","UseDPDF=Y")</f>
        <v>9267</v>
      </c>
      <c r="F40" s="13">
        <f>_xll.BDH("WMT US Equity","IS_AVG_NUM_SH_FOR_EPS","FQ4 2017","FQ4 2017","Currency=USD","Period=FQ","BEST_FPERIOD_OVERRIDE=FQ","FILING_STATUS=MR","Sort=A","Dates=H","DateFormat=P","Fill=—","Direction=H","UseDPDF=Y")</f>
        <v>9195</v>
      </c>
      <c r="G40" s="13">
        <f>_xll.BDH("WMT US Equity","IS_AVG_NUM_SH_FOR_EPS","FQ1 2018","FQ1 2018","Currency=USD","Period=FQ","BEST_FPERIOD_OVERRIDE=FQ","FILING_STATUS=MR","Sort=A","Dates=H","DateFormat=P","Fill=—","Direction=H","UseDPDF=Y")</f>
        <v>9105</v>
      </c>
      <c r="H40" s="13">
        <f>_xll.BDH("WMT US Equity","IS_AVG_NUM_SH_FOR_EPS","FQ2 2018","FQ2 2018","Currency=USD","Period=FQ","BEST_FPERIOD_OVERRIDE=FQ","FILING_STATUS=MR","Sort=A","Dates=H","DateFormat=P","Fill=—","Direction=H","UseDPDF=Y")</f>
        <v>9024</v>
      </c>
      <c r="I40" s="13">
        <f>_xll.BDH("WMT US Equity","IS_AVG_NUM_SH_FOR_EPS","FQ3 2018","FQ3 2018","Currency=USD","Period=FQ","BEST_FPERIOD_OVERRIDE=FQ","FILING_STATUS=MR","Sort=A","Dates=H","DateFormat=P","Fill=—","Direction=H","UseDPDF=Y")</f>
        <v>8943</v>
      </c>
      <c r="J40" s="13">
        <f>_xll.BDH("WMT US Equity","IS_AVG_NUM_SH_FOR_EPS","FQ4 2018","FQ4 2018","Currency=USD","Period=FQ","BEST_FPERIOD_OVERRIDE=FQ","FILING_STATUS=MR","Sort=A","Dates=H","DateFormat=P","Fill=—","Direction=H","UseDPDF=Y")</f>
        <v>8877</v>
      </c>
      <c r="K40" s="13">
        <f>_xll.BDH("WMT US Equity","IS_AVG_NUM_SH_FOR_EPS","FQ1 2019","FQ1 2019","Currency=USD","Period=FQ","BEST_FPERIOD_OVERRIDE=FQ","FILING_STATUS=MR","Sort=A","Dates=H","DateFormat=P","Fill=—","Direction=H","UseDPDF=Y")</f>
        <v>8850</v>
      </c>
      <c r="L40" s="13">
        <f>_xll.BDH("WMT US Equity","IS_AVG_NUM_SH_FOR_EPS","FQ2 2019","FQ2 2019","Currency=USD","Period=FQ","BEST_FPERIOD_OVERRIDE=FQ","FILING_STATUS=MR","Sort=A","Dates=H","DateFormat=P","Fill=—","Direction=H","UseDPDF=Y")</f>
        <v>8838</v>
      </c>
      <c r="M40" s="13">
        <f>_xll.BDH("WMT US Equity","IS_AVG_NUM_SH_FOR_EPS","FQ3 2019","FQ3 2019","Currency=USD","Period=FQ","BEST_FPERIOD_OVERRIDE=FQ","FILING_STATUS=MR","Sort=A","Dates=H","DateFormat=P","Fill=—","Direction=H","UseDPDF=Y")</f>
        <v>8772</v>
      </c>
      <c r="N40" s="13">
        <f>_xll.BDH("WMT US Equity","IS_AVG_NUM_SH_FOR_EPS","FQ4 2019","FQ4 2019","Currency=USD","Period=FQ","BEST_FPERIOD_OVERRIDE=FQ","FILING_STATUS=MR","Sort=A","Dates=H","DateFormat=P","Fill=—","Direction=H","UseDPDF=Y")</f>
        <v>8688</v>
      </c>
      <c r="O40" s="13">
        <f>_xll.BDH("WMT US Equity","IS_AVG_NUM_SH_FOR_EPS","FQ1 2020","FQ1 2020","Currency=USD","Period=FQ","BEST_FPERIOD_OVERRIDE=FQ","FILING_STATUS=MR","Sort=A","Dates=H","DateFormat=P","Fill=—","Direction=H","UseDPDF=Y")</f>
        <v>8607</v>
      </c>
      <c r="P40" s="13">
        <f>_xll.BDH("WMT US Equity","IS_AVG_NUM_SH_FOR_EPS","FQ2 2020","FQ2 2020","Currency=USD","Period=FQ","BEST_FPERIOD_OVERRIDE=FQ","FILING_STATUS=MR","Sort=A","Dates=H","DateFormat=P","Fill=—","Direction=H","UseDPDF=Y")</f>
        <v>8559</v>
      </c>
      <c r="Q40" s="13">
        <f>_xll.BDH("WMT US Equity","IS_AVG_NUM_SH_FOR_EPS","FQ3 2020","FQ3 2020","Currency=USD","Period=FQ","BEST_FPERIOD_OVERRIDE=FQ","FILING_STATUS=MR","Sort=A","Dates=H","DateFormat=P","Fill=—","Direction=H","UseDPDF=Y")</f>
        <v>8529</v>
      </c>
      <c r="R40" s="13">
        <f>_xll.BDH("WMT US Equity","IS_AVG_NUM_SH_FOR_EPS","FQ4 2020","FQ4 2020","Currency=USD","Period=FQ","BEST_FPERIOD_OVERRIDE=FQ","FILING_STATUS=MR","Sort=A","Dates=H","DateFormat=P","Fill=—","Direction=H","UseDPDF=Y")</f>
        <v>8508</v>
      </c>
      <c r="S40" s="13">
        <f>_xll.BDH("WMT US Equity","IS_AVG_NUM_SH_FOR_EPS","FQ1 2021","FQ1 2021","Currency=USD","Period=FQ","BEST_FPERIOD_OVERRIDE=FQ","FILING_STATUS=MR","Sort=A","Dates=H","DateFormat=P","Fill=—","Direction=H","UseDPDF=Y")</f>
        <v>8493</v>
      </c>
      <c r="T40" s="13">
        <f>_xll.BDH("WMT US Equity","IS_AVG_NUM_SH_FOR_EPS","FQ2 2021","FQ2 2021","Currency=USD","Period=FQ","BEST_FPERIOD_OVERRIDE=FQ","FILING_STATUS=MR","Sort=A","Dates=H","DateFormat=P","Fill=—","Direction=H","UseDPDF=Y")</f>
        <v>8496</v>
      </c>
      <c r="U40" s="13">
        <f>_xll.BDH("WMT US Equity","IS_AVG_NUM_SH_FOR_EPS","FQ3 2021","FQ3 2021","Currency=USD","Period=FQ","BEST_FPERIOD_OVERRIDE=FQ","FILING_STATUS=MR","Sort=A","Dates=H","DateFormat=P","Fill=—","Direction=H","UseDPDF=Y")</f>
        <v>8499</v>
      </c>
      <c r="V40" s="13">
        <f>_xll.BDH("WMT US Equity","IS_AVG_NUM_SH_FOR_EPS","FQ4 2021","FQ4 2021","Currency=USD","Period=FQ","BEST_FPERIOD_OVERRIDE=FQ","FILING_STATUS=MR","Sort=A","Dates=H","DateFormat=P","Fill=—","Direction=H","UseDPDF=Y")</f>
        <v>8478</v>
      </c>
      <c r="W40" s="13">
        <f>_xll.BDH("WMT US Equity","IS_AVG_NUM_SH_FOR_EPS","FQ1 2022","FQ1 2022","Currency=USD","Period=FQ","BEST_FPERIOD_OVERRIDE=FQ","FILING_STATUS=MR","Sort=A","Dates=H","DateFormat=P","Fill=—","Direction=H","UseDPDF=Y")</f>
        <v>8445</v>
      </c>
      <c r="X40" s="13">
        <f>_xll.BDH("WMT US Equity","IS_AVG_NUM_SH_FOR_EPS","FQ2 2022","FQ2 2022","Currency=USD","Period=FQ","BEST_FPERIOD_OVERRIDE=FQ","FILING_STATUS=MR","Sort=A","Dates=H","DateFormat=P","Fill=—","Direction=H","UseDPDF=Y")</f>
        <v>8397</v>
      </c>
      <c r="Y40" s="13">
        <f>_xll.BDH("WMT US Equity","IS_AVG_NUM_SH_FOR_EPS","FQ3 2022","FQ3 2022","Currency=USD","Period=FQ","BEST_FPERIOD_OVERRIDE=FQ","FILING_STATUS=MR","Sort=A","Dates=H","DateFormat=P","Fill=—","Direction=H","UseDPDF=Y")</f>
        <v>8355</v>
      </c>
      <c r="Z40" s="13">
        <f>_xll.BDH("WMT US Equity","IS_AVG_NUM_SH_FOR_EPS","FQ4 2022","FQ4 2022","Currency=USD","Period=FQ","BEST_FPERIOD_OVERRIDE=FQ","FILING_STATUS=MR","Sort=A","Dates=H","DateFormat=P","Fill=—","Direction=H","UseDPDF=Y")</f>
        <v>8307</v>
      </c>
      <c r="AA40" s="13">
        <f>_xll.BDH("WMT US Equity","IS_AVG_NUM_SH_FOR_EPS","FQ1 2023","FQ1 2023","Currency=USD","Period=FQ","BEST_FPERIOD_OVERRIDE=FQ","FILING_STATUS=MR","Sort=A","Dates=H","DateFormat=P","Fill=—","Direction=H","UseDPDF=Y")</f>
        <v>8262</v>
      </c>
      <c r="AB40" s="13">
        <f>_xll.BDH("WMT US Equity","IS_AVG_NUM_SH_FOR_EPS","FQ2 2023","FQ2 2023","Currency=USD","Period=FQ","BEST_FPERIOD_OVERRIDE=FQ","FILING_STATUS=MR","Sort=A","Dates=H","DateFormat=P","Fill=—","Direction=H","UseDPDF=Y")</f>
        <v>8208</v>
      </c>
      <c r="AC40" s="13">
        <f>_xll.BDH("WMT US Equity","IS_AVG_NUM_SH_FOR_EPS","FQ3 2023","FQ3 2023","Currency=USD","Period=FQ","BEST_FPERIOD_OVERRIDE=FQ","FILING_STATUS=MR","Sort=A","Dates=H","DateFormat=P","Fill=—","Direction=H","UseDPDF=Y")</f>
        <v>8133</v>
      </c>
      <c r="AD40" s="13">
        <f>_xll.BDH("WMT US Equity","IS_AVG_NUM_SH_FOR_EPS","FQ4 2023","FQ4 2023","Currency=USD","Period=FQ","BEST_FPERIOD_OVERRIDE=FQ","FILING_STATUS=MR","Sort=A","Dates=H","DateFormat=P","Fill=—","Direction=H","UseDPDF=Y")</f>
        <v>8088</v>
      </c>
      <c r="AE40" s="13">
        <f>_xll.BDH("WMT US Equity","IS_AVG_NUM_SH_FOR_EPS","FQ1 2024","FQ1 2024","Currency=USD","Period=FQ","BEST_FPERIOD_OVERRIDE=FQ","FILING_STATUS=MR","Sort=A","Dates=H","DateFormat=P","Fill=—","Direction=H","UseDPDF=Y")</f>
        <v>8082</v>
      </c>
      <c r="AF40" s="13">
        <f>_xll.BDH("WMT US Equity","IS_AVG_NUM_SH_FOR_EPS","FQ2 2024","FQ2 2024","Currency=USD","Period=FQ","BEST_FPERIOD_OVERRIDE=FQ","FILING_STATUS=MR","Sort=A","Dates=H","DateFormat=P","Fill=—","Direction=H","UseDPDF=Y")</f>
        <v>8079</v>
      </c>
      <c r="AG40" s="13">
        <f>_xll.BDH("WMT US Equity","IS_AVG_NUM_SH_FOR_EPS","FQ3 2024","FQ3 2024","Currency=USD","Period=FQ","BEST_FPERIOD_OVERRIDE=FQ","FILING_STATUS=MR","Sort=A","Dates=H","DateFormat=P","Fill=—","Direction=H","UseDPDF=Y")</f>
        <v>8079</v>
      </c>
      <c r="AH40" s="13">
        <f>_xll.BDH("WMT US Equity","IS_AVG_NUM_SH_FOR_EPS","FQ4 2024","FQ4 2024","Currency=USD","Period=FQ","BEST_FPERIOD_OVERRIDE=FQ","FILING_STATUS=MR","Sort=A","Dates=H","DateFormat=P","Fill=—","Direction=H","UseDPDF=Y")</f>
        <v>8070</v>
      </c>
      <c r="AI40" s="13">
        <f>_xll.BDH("WMT US Equity","IS_AVG_NUM_SH_FOR_EPS","FQ1 2025","FQ1 2025","Currency=USD","Period=FQ","BEST_FPERIOD_OVERRIDE=FQ","FILING_STATUS=MR","Sort=A","Dates=H","DateFormat=P","Fill=—","Direction=H","UseDPDF=Y")</f>
        <v>8053</v>
      </c>
      <c r="AJ40" s="13">
        <f>_xll.BDH("WMT US Equity","IS_AVG_NUM_SH_FOR_EPS","FQ2 2025","FQ2 2025","Currency=USD","Period=FQ","BEST_FPERIOD_OVERRIDE=FQ","FILING_STATUS=MR","Sort=A","Dates=H","DateFormat=P","Fill=—","Direction=H","UseDPDF=Y")</f>
        <v>8044</v>
      </c>
      <c r="AK40" s="13">
        <f>_xll.BDH("WMT US Equity","IS_AVG_NUM_SH_FOR_EPS","FQ3 2025","FQ3 2025","Currency=USD","Period=FQ","BEST_FPERIOD_OVERRIDE=FQ","FILING_STATUS=MR","Sort=A","Dates=H","DateFormat=P","Fill=—","Direction=H","UseDPDF=Y")</f>
        <v>8038</v>
      </c>
      <c r="AL40" s="13">
        <f>_xll.BDH("WMT US Equity","IS_AVG_NUM_SH_FOR_EPS","FQ4 2025","FQ4 2025","Currency=USD","Period=FQ","BEST_FPERIOD_OVERRIDE=FQ","FILING_STATUS=MR","Sort=A","Dates=H","DateFormat=P","Fill=—","Direction=H","UseDPDF=Y")</f>
        <v>8029</v>
      </c>
      <c r="AM40" s="13">
        <f>_xll.BDH("WMT US Equity","IS_AVG_NUM_SH_FOR_EPS","FQ1 2026","FQ1 2026","Currency=USD","Period=FQ","BEST_FPERIOD_OVERRIDE=FQ","FILING_STATUS=MR","Sort=A","Dates=H","DateFormat=P","Fill=—","Direction=H","UseDPDF=Y")</f>
        <v>8011</v>
      </c>
      <c r="AN40" s="13">
        <f>_xll.BDH("WMT US Equity","IS_AVG_NUM_SH_FOR_EPS","FQ2 2026","FQ2 2026","Currency=USD","Period=FQ","BEST_FPERIOD_OVERRIDE=FQ","FILING_STATUS=MR","Sort=A","Dates=H","DateFormat=P","Fill=—","Direction=H","UseDPDF=Y")</f>
        <v>7978</v>
      </c>
      <c r="AO40" s="13"/>
      <c r="AP40" s="13"/>
    </row>
    <row r="41" spans="1:42" x14ac:dyDescent="0.3">
      <c r="A41" s="6" t="s">
        <v>128</v>
      </c>
      <c r="B41" s="6" t="s">
        <v>129</v>
      </c>
      <c r="C41" s="17">
        <f>_xll.BDH("WMT US Equity","IS_EPS","FQ1 2017","FQ1 2017","Currency=USD","Period=FQ","BEST_FPERIOD_OVERRIDE=FQ","FILING_STATUS=MR","FA_ADJUSTED=GAAP","Sort=A","Dates=H","DateFormat=P","Fill=—","Direction=H","UseDPDF=Y")</f>
        <v>0.32669999999999999</v>
      </c>
      <c r="D41" s="17">
        <f>_xll.BDH("WMT US Equity","IS_EPS","FQ2 2017","FQ2 2017","Currency=USD","Period=FQ","BEST_FPERIOD_OVERRIDE=FQ","FILING_STATUS=MR","FA_ADJUSTED=GAAP","Sort=A","Dates=H","DateFormat=P","Fill=—","Direction=H","UseDPDF=Y")</f>
        <v>0.40329999999999999</v>
      </c>
      <c r="E41" s="17">
        <f>_xll.BDH("WMT US Equity","IS_EPS","FQ3 2017","FQ3 2017","Currency=USD","Period=FQ","BEST_FPERIOD_OVERRIDE=FQ","FILING_STATUS=MR","FA_ADJUSTED=GAAP","Sort=A","Dates=H","DateFormat=P","Fill=—","Direction=H","UseDPDF=Y")</f>
        <v>0.32669999999999999</v>
      </c>
      <c r="F41" s="17">
        <f>_xll.BDH("WMT US Equity","IS_EPS","FQ4 2017","FQ4 2017","Currency=USD","Period=FQ","BEST_FPERIOD_OVERRIDE=FQ","FILING_STATUS=MR","FA_ADJUSTED=GAAP","Sort=A","Dates=H","DateFormat=P","Fill=—","Direction=H","UseDPDF=Y")</f>
        <v>0.41</v>
      </c>
      <c r="G41" s="17">
        <f>_xll.BDH("WMT US Equity","IS_EPS","FQ1 2018","FQ1 2018","Currency=USD","Period=FQ","BEST_FPERIOD_OVERRIDE=FQ","FILING_STATUS=MR","FA_ADJUSTED=GAAP","Sort=A","Dates=H","DateFormat=P","Fill=—","Direction=H","UseDPDF=Y")</f>
        <v>0.33329999999999999</v>
      </c>
      <c r="H41" s="17">
        <f>_xll.BDH("WMT US Equity","IS_EPS","FQ2 2018","FQ2 2018","Currency=USD","Period=FQ","BEST_FPERIOD_OVERRIDE=FQ","FILING_STATUS=MR","FA_ADJUSTED=GAAP","Sort=A","Dates=H","DateFormat=P","Fill=—","Direction=H","UseDPDF=Y")</f>
        <v>0.32</v>
      </c>
      <c r="I41" s="17">
        <f>_xll.BDH("WMT US Equity","IS_EPS","FQ3 2018","FQ3 2018","Currency=USD","Period=FQ","BEST_FPERIOD_OVERRIDE=FQ","FILING_STATUS=MR","FA_ADJUSTED=GAAP","Sort=A","Dates=H","DateFormat=P","Fill=—","Direction=H","UseDPDF=Y")</f>
        <v>0.19670000000000001</v>
      </c>
      <c r="J41" s="17">
        <f>_xll.BDH("WMT US Equity","IS_EPS","FQ4 2018","FQ4 2018","Currency=USD","Period=FQ","BEST_FPERIOD_OVERRIDE=FQ","FILING_STATUS=MR","FA_ADJUSTED=GAAP","Sort=A","Dates=H","DateFormat=P","Fill=—","Direction=H","UseDPDF=Y")</f>
        <v>0.2467</v>
      </c>
      <c r="K41" s="17">
        <f>_xll.BDH("WMT US Equity","IS_EPS","FQ1 2019","FQ1 2019","Currency=USD","Period=FQ","BEST_FPERIOD_OVERRIDE=FQ","FILING_STATUS=MR","FA_ADJUSTED=GAAP","Sort=A","Dates=H","DateFormat=P","Fill=—","Direction=H","UseDPDF=Y")</f>
        <v>0.24</v>
      </c>
      <c r="L41" s="17">
        <f>_xll.BDH("WMT US Equity","IS_EPS","FQ2 2019","FQ2 2019","Currency=USD","Period=FQ","BEST_FPERIOD_OVERRIDE=FQ","FILING_STATUS=MR","FA_ADJUSTED=GAAP","Sort=A","Dates=H","DateFormat=P","Fill=—","Direction=H","UseDPDF=Y")</f>
        <v>-9.6699999999999994E-2</v>
      </c>
      <c r="M41" s="17">
        <f>_xll.BDH("WMT US Equity","IS_EPS","FQ3 2019","FQ3 2019","Currency=USD","Period=FQ","BEST_FPERIOD_OVERRIDE=FQ","FILING_STATUS=MR","FA_ADJUSTED=GAAP","Sort=A","Dates=H","DateFormat=P","Fill=—","Direction=H","UseDPDF=Y")</f>
        <v>0.1933</v>
      </c>
      <c r="N41" s="17">
        <f>_xll.BDH("WMT US Equity","IS_EPS","FQ4 2019","FQ4 2019","Currency=USD","Period=FQ","BEST_FPERIOD_OVERRIDE=FQ","FILING_STATUS=MR","FA_ADJUSTED=GAAP","Sort=A","Dates=H","DateFormat=P","Fill=—","Direction=H","UseDPDF=Y")</f>
        <v>0.42330000000000001</v>
      </c>
      <c r="O41" s="17">
        <f>_xll.BDH("WMT US Equity","IS_EPS","FQ1 2020","FQ1 2020","Currency=USD","Period=FQ","BEST_FPERIOD_OVERRIDE=FQ","FILING_STATUS=MR","FA_ADJUSTED=GAAP","Sort=A","Dates=H","DateFormat=P","Fill=—","Direction=H","UseDPDF=Y")</f>
        <v>0.44669999999999999</v>
      </c>
      <c r="P41" s="17">
        <f>_xll.BDH("WMT US Equity","IS_EPS","FQ2 2020","FQ2 2020","Currency=USD","Period=FQ","BEST_FPERIOD_OVERRIDE=FQ","FILING_STATUS=MR","FA_ADJUSTED=GAAP","Sort=A","Dates=H","DateFormat=P","Fill=—","Direction=H","UseDPDF=Y")</f>
        <v>0.42330000000000001</v>
      </c>
      <c r="Q41" s="17">
        <f>_xll.BDH("WMT US Equity","IS_EPS","FQ3 2020","FQ3 2020","Currency=USD","Period=FQ","BEST_FPERIOD_OVERRIDE=FQ","FILING_STATUS=MR","FA_ADJUSTED=GAAP","Sort=A","Dates=H","DateFormat=P","Fill=—","Direction=H","UseDPDF=Y")</f>
        <v>0.38669999999999999</v>
      </c>
      <c r="R41" s="17">
        <f>_xll.BDH("WMT US Equity","IS_EPS","FQ4 2020","FQ4 2020","Currency=USD","Period=FQ","BEST_FPERIOD_OVERRIDE=FQ","FILING_STATUS=MR","FA_ADJUSTED=GAAP","Sort=A","Dates=H","DateFormat=P","Fill=—","Direction=H","UseDPDF=Y")</f>
        <v>0.48670000000000002</v>
      </c>
      <c r="S41" s="17">
        <f>_xll.BDH("WMT US Equity","IS_EPS","FQ1 2021","FQ1 2021","Currency=USD","Period=FQ","BEST_FPERIOD_OVERRIDE=FQ","FILING_STATUS=MR","FA_ADJUSTED=GAAP","Sort=A","Dates=H","DateFormat=P","Fill=—","Direction=H","UseDPDF=Y")</f>
        <v>0.47</v>
      </c>
      <c r="T41" s="17">
        <f>_xll.BDH("WMT US Equity","IS_EPS","FQ2 2021","FQ2 2021","Currency=USD","Period=FQ","BEST_FPERIOD_OVERRIDE=FQ","FILING_STATUS=MR","FA_ADJUSTED=GAAP","Sort=A","Dates=H","DateFormat=P","Fill=—","Direction=H","UseDPDF=Y")</f>
        <v>0.76329999999999998</v>
      </c>
      <c r="U41" s="17">
        <f>_xll.BDH("WMT US Equity","IS_EPS","FQ3 2021","FQ3 2021","Currency=USD","Period=FQ","BEST_FPERIOD_OVERRIDE=FQ","FILING_STATUS=MR","FA_ADJUSTED=GAAP","Sort=A","Dates=H","DateFormat=P","Fill=—","Direction=H","UseDPDF=Y")</f>
        <v>0.60329999999999995</v>
      </c>
      <c r="V41" s="17">
        <f>_xll.BDH("WMT US Equity","IS_EPS","FQ4 2021","FQ4 2021","Currency=USD","Period=FQ","BEST_FPERIOD_OVERRIDE=FQ","FILING_STATUS=MR","FA_ADJUSTED=GAAP","Sort=A","Dates=H","DateFormat=P","Fill=—","Direction=H","UseDPDF=Y")</f>
        <v>-0.2467</v>
      </c>
      <c r="W41" s="17">
        <f>_xll.BDH("WMT US Equity","IS_EPS","FQ1 2022","FQ1 2022","Currency=USD","Period=FQ","BEST_FPERIOD_OVERRIDE=FQ","FILING_STATUS=MR","FA_ADJUSTED=GAAP","Sort=A","Dates=H","DateFormat=P","Fill=—","Direction=H","UseDPDF=Y")</f>
        <v>0.32329999999999998</v>
      </c>
      <c r="X41" s="17">
        <f>_xll.BDH("WMT US Equity","IS_EPS","FQ2 2022","FQ2 2022","Currency=USD","Period=FQ","BEST_FPERIOD_OVERRIDE=FQ","FILING_STATUS=MR","FA_ADJUSTED=GAAP","Sort=A","Dates=H","DateFormat=P","Fill=—","Direction=H","UseDPDF=Y")</f>
        <v>0.51</v>
      </c>
      <c r="Y41" s="17">
        <f>_xll.BDH("WMT US Equity","IS_EPS","FQ3 2022","FQ3 2022","Currency=USD","Period=FQ","BEST_FPERIOD_OVERRIDE=FQ","FILING_STATUS=MR","FA_ADJUSTED=GAAP","Sort=A","Dates=H","DateFormat=P","Fill=—","Direction=H","UseDPDF=Y")</f>
        <v>0.37</v>
      </c>
      <c r="Z41" s="17">
        <f>_xll.BDH("WMT US Equity","IS_EPS","FQ4 2022","FQ4 2022","Currency=USD","Period=FQ","BEST_FPERIOD_OVERRIDE=FQ","FILING_STATUS=MR","FA_ADJUSTED=GAAP","Sort=A","Dates=H","DateFormat=P","Fill=—","Direction=H","UseDPDF=Y")</f>
        <v>0.43</v>
      </c>
      <c r="AA41" s="17">
        <f>_xll.BDH("WMT US Equity","IS_EPS","FQ1 2023","FQ1 2023","Currency=USD","Period=FQ","BEST_FPERIOD_OVERRIDE=FQ","FILING_STATUS=MR","FA_ADJUSTED=GAAP","Sort=A","Dates=H","DateFormat=P","Fill=—","Direction=H","UseDPDF=Y")</f>
        <v>0.25</v>
      </c>
      <c r="AB41" s="17">
        <f>_xll.BDH("WMT US Equity","IS_EPS","FQ2 2023","FQ2 2023","Currency=USD","Period=FQ","BEST_FPERIOD_OVERRIDE=FQ","FILING_STATUS=MR","FA_ADJUSTED=GAAP","Sort=A","Dates=H","DateFormat=P","Fill=—","Direction=H","UseDPDF=Y")</f>
        <v>0.62670000000000003</v>
      </c>
      <c r="AC41" s="17">
        <f>_xll.BDH("WMT US Equity","IS_EPS","FQ3 2023","FQ3 2023","Currency=USD","Period=FQ","BEST_FPERIOD_OVERRIDE=FQ","FILING_STATUS=MR","FA_ADJUSTED=GAAP","Sort=A","Dates=H","DateFormat=P","Fill=—","Direction=H","UseDPDF=Y")</f>
        <v>-0.22</v>
      </c>
      <c r="AD41" s="17">
        <f>_xll.BDH("WMT US Equity","IS_EPS","FQ4 2023","FQ4 2023","Currency=USD","Period=FQ","BEST_FPERIOD_OVERRIDE=FQ","FILING_STATUS=MR","FA_ADJUSTED=GAAP","Sort=A","Dates=H","DateFormat=P","Fill=—","Direction=H","UseDPDF=Y")</f>
        <v>0.77669999999999995</v>
      </c>
      <c r="AE41" s="17">
        <f>_xll.BDH("WMT US Equity","IS_EPS","FQ1 2024","FQ1 2024","Currency=USD","Period=FQ","BEST_FPERIOD_OVERRIDE=FQ","FILING_STATUS=MR","FA_ADJUSTED=GAAP","Sort=A","Dates=H","DateFormat=P","Fill=—","Direction=H","UseDPDF=Y")</f>
        <v>0.20669999999999999</v>
      </c>
      <c r="AF41" s="17">
        <f>_xll.BDH("WMT US Equity","IS_EPS","FQ2 2024","FQ2 2024","Currency=USD","Period=FQ","BEST_FPERIOD_OVERRIDE=FQ","FILING_STATUS=MR","FA_ADJUSTED=GAAP","Sort=A","Dates=H","DateFormat=P","Fill=—","Direction=H","UseDPDF=Y")</f>
        <v>0.97670000000000001</v>
      </c>
      <c r="AG41" s="17">
        <f>_xll.BDH("WMT US Equity","IS_EPS","FQ3 2024","FQ3 2024","Currency=USD","Period=FQ","BEST_FPERIOD_OVERRIDE=FQ","FILING_STATUS=MR","FA_ADJUSTED=GAAP","Sort=A","Dates=H","DateFormat=P","Fill=—","Direction=H","UseDPDF=Y")</f>
        <v>5.67E-2</v>
      </c>
      <c r="AH41" s="17">
        <f>_xll.BDH("WMT US Equity","IS_EPS","FQ4 2024","FQ4 2024","Currency=USD","Period=FQ","BEST_FPERIOD_OVERRIDE=FQ","FILING_STATUS=MR","FA_ADJUSTED=GAAP","Sort=A","Dates=H","DateFormat=P","Fill=—","Direction=H","UseDPDF=Y")</f>
        <v>0.68079999999999996</v>
      </c>
      <c r="AI41" s="17">
        <f>_xll.BDH("WMT US Equity","IS_EPS","FQ1 2025","FQ1 2025","Currency=USD","Period=FQ","BEST_FPERIOD_OVERRIDE=FQ","FILING_STATUS=MR","FA_ADJUSTED=GAAP","Sort=A","Dates=H","DateFormat=P","Fill=—","Direction=H","UseDPDF=Y")</f>
        <v>0.63</v>
      </c>
      <c r="AJ41" s="17">
        <f>_xll.BDH("WMT US Equity","IS_EPS","FQ2 2025","FQ2 2025","Currency=USD","Period=FQ","BEST_FPERIOD_OVERRIDE=FQ","FILING_STATUS=MR","FA_ADJUSTED=GAAP","Sort=A","Dates=H","DateFormat=P","Fill=—","Direction=H","UseDPDF=Y")</f>
        <v>0.56000000000000005</v>
      </c>
      <c r="AK41" s="17">
        <f>_xll.BDH("WMT US Equity","IS_EPS","FQ3 2025","FQ3 2025","Currency=USD","Period=FQ","BEST_FPERIOD_OVERRIDE=FQ","FILING_STATUS=MR","FA_ADJUSTED=GAAP","Sort=A","Dates=H","DateFormat=P","Fill=—","Direction=H","UseDPDF=Y")</f>
        <v>0.56999999999999995</v>
      </c>
      <c r="AL41" s="17">
        <f>_xll.BDH("WMT US Equity","IS_EPS","FQ4 2025","FQ4 2025","Currency=USD","Period=FQ","BEST_FPERIOD_OVERRIDE=FQ","FILING_STATUS=MR","FA_ADJUSTED=GAAP","Sort=A","Dates=H","DateFormat=P","Fill=—","Direction=H","UseDPDF=Y")</f>
        <v>0.65</v>
      </c>
      <c r="AM41" s="17">
        <f>_xll.BDH("WMT US Equity","IS_EPS","FQ1 2026","FQ1 2026","Currency=USD","Period=FQ","BEST_FPERIOD_OVERRIDE=FQ","FILING_STATUS=MR","FA_ADJUSTED=GAAP","Sort=A","Dates=H","DateFormat=P","Fill=—","Direction=H","UseDPDF=Y")</f>
        <v>0.56000000000000005</v>
      </c>
      <c r="AN41" s="17">
        <f>_xll.BDH("WMT US Equity","IS_EPS","FQ2 2026","FQ2 2026","Currency=USD","Period=FQ","BEST_FPERIOD_OVERRIDE=FQ","FILING_STATUS=MR","FA_ADJUSTED=GAAP","Sort=A","Dates=H","DateFormat=P","Fill=—","Direction=H","UseDPDF=Y")</f>
        <v>0.88</v>
      </c>
      <c r="AO41" s="17">
        <v>0.59</v>
      </c>
      <c r="AP41" s="17">
        <v>0.71399999999999997</v>
      </c>
    </row>
    <row r="42" spans="1:42" x14ac:dyDescent="0.3">
      <c r="A42" s="6" t="s">
        <v>130</v>
      </c>
      <c r="B42" s="6" t="s">
        <v>131</v>
      </c>
      <c r="C42" s="17">
        <f>_xll.BDH("WMT US Equity","IS_EARN_BEF_XO_ITEMS_PER_SH","FQ1 2017","FQ1 2017","Currency=USD","Period=FQ","BEST_FPERIOD_OVERRIDE=FQ","FILING_STATUS=MR","Sort=A","Dates=H","DateFormat=P","Fill=—","Direction=H","UseDPDF=Y")</f>
        <v>0.32669999999999999</v>
      </c>
      <c r="D42" s="17">
        <f>_xll.BDH("WMT US Equity","IS_EARN_BEF_XO_ITEMS_PER_SH","FQ2 2017","FQ2 2017","Currency=USD","Period=FQ","BEST_FPERIOD_OVERRIDE=FQ","FILING_STATUS=MR","Sort=A","Dates=H","DateFormat=P","Fill=—","Direction=H","UseDPDF=Y")</f>
        <v>0.40329999999999999</v>
      </c>
      <c r="E42" s="17">
        <f>_xll.BDH("WMT US Equity","IS_EARN_BEF_XO_ITEMS_PER_SH","FQ3 2017","FQ3 2017","Currency=USD","Period=FQ","BEST_FPERIOD_OVERRIDE=FQ","FILING_STATUS=MR","Sort=A","Dates=H","DateFormat=P","Fill=—","Direction=H","UseDPDF=Y")</f>
        <v>0.32669999999999999</v>
      </c>
      <c r="F42" s="17">
        <f>_xll.BDH("WMT US Equity","IS_EARN_BEF_XO_ITEMS_PER_SH","FQ4 2017","FQ4 2017","Currency=USD","Period=FQ","BEST_FPERIOD_OVERRIDE=FQ","FILING_STATUS=MR","Sort=A","Dates=H","DateFormat=P","Fill=—","Direction=H","UseDPDF=Y")</f>
        <v>0.41</v>
      </c>
      <c r="G42" s="17">
        <f>_xll.BDH("WMT US Equity","IS_EARN_BEF_XO_ITEMS_PER_SH","FQ1 2018","FQ1 2018","Currency=USD","Period=FQ","BEST_FPERIOD_OVERRIDE=FQ","FILING_STATUS=MR","Sort=A","Dates=H","DateFormat=P","Fill=—","Direction=H","UseDPDF=Y")</f>
        <v>0.33329999999999999</v>
      </c>
      <c r="H42" s="17">
        <f>_xll.BDH("WMT US Equity","IS_EARN_BEF_XO_ITEMS_PER_SH","FQ2 2018","FQ2 2018","Currency=USD","Period=FQ","BEST_FPERIOD_OVERRIDE=FQ","FILING_STATUS=MR","Sort=A","Dates=H","DateFormat=P","Fill=—","Direction=H","UseDPDF=Y")</f>
        <v>0.32</v>
      </c>
      <c r="I42" s="17">
        <f>_xll.BDH("WMT US Equity","IS_EARN_BEF_XO_ITEMS_PER_SH","FQ3 2018","FQ3 2018","Currency=USD","Period=FQ","BEST_FPERIOD_OVERRIDE=FQ","FILING_STATUS=MR","Sort=A","Dates=H","DateFormat=P","Fill=—","Direction=H","UseDPDF=Y")</f>
        <v>0.19670000000000001</v>
      </c>
      <c r="J42" s="17">
        <f>_xll.BDH("WMT US Equity","IS_EARN_BEF_XO_ITEMS_PER_SH","FQ4 2018","FQ4 2018","Currency=USD","Period=FQ","BEST_FPERIOD_OVERRIDE=FQ","FILING_STATUS=MR","Sort=A","Dates=H","DateFormat=P","Fill=—","Direction=H","UseDPDF=Y")</f>
        <v>0.2467</v>
      </c>
      <c r="K42" s="17">
        <f>_xll.BDH("WMT US Equity","IS_EARN_BEF_XO_ITEMS_PER_SH","FQ1 2019","FQ1 2019","Currency=USD","Period=FQ","BEST_FPERIOD_OVERRIDE=FQ","FILING_STATUS=MR","Sort=A","Dates=H","DateFormat=P","Fill=—","Direction=H","UseDPDF=Y")</f>
        <v>0.24</v>
      </c>
      <c r="L42" s="17">
        <f>_xll.BDH("WMT US Equity","IS_EARN_BEF_XO_ITEMS_PER_SH","FQ2 2019","FQ2 2019","Currency=USD","Period=FQ","BEST_FPERIOD_OVERRIDE=FQ","FILING_STATUS=MR","Sort=A","Dates=H","DateFormat=P","Fill=—","Direction=H","UseDPDF=Y")</f>
        <v>-9.6699999999999994E-2</v>
      </c>
      <c r="M42" s="17">
        <f>_xll.BDH("WMT US Equity","IS_EARN_BEF_XO_ITEMS_PER_SH","FQ3 2019","FQ3 2019","Currency=USD","Period=FQ","BEST_FPERIOD_OVERRIDE=FQ","FILING_STATUS=MR","Sort=A","Dates=H","DateFormat=P","Fill=—","Direction=H","UseDPDF=Y")</f>
        <v>0.1933</v>
      </c>
      <c r="N42" s="17">
        <f>_xll.BDH("WMT US Equity","IS_EARN_BEF_XO_ITEMS_PER_SH","FQ4 2019","FQ4 2019","Currency=USD","Period=FQ","BEST_FPERIOD_OVERRIDE=FQ","FILING_STATUS=MR","Sort=A","Dates=H","DateFormat=P","Fill=—","Direction=H","UseDPDF=Y")</f>
        <v>0.42330000000000001</v>
      </c>
      <c r="O42" s="17">
        <f>_xll.BDH("WMT US Equity","IS_EARN_BEF_XO_ITEMS_PER_SH","FQ1 2020","FQ1 2020","Currency=USD","Period=FQ","BEST_FPERIOD_OVERRIDE=FQ","FILING_STATUS=MR","Sort=A","Dates=H","DateFormat=P","Fill=—","Direction=H","UseDPDF=Y")</f>
        <v>0.44669999999999999</v>
      </c>
      <c r="P42" s="17">
        <f>_xll.BDH("WMT US Equity","IS_EARN_BEF_XO_ITEMS_PER_SH","FQ2 2020","FQ2 2020","Currency=USD","Period=FQ","BEST_FPERIOD_OVERRIDE=FQ","FILING_STATUS=MR","Sort=A","Dates=H","DateFormat=P","Fill=—","Direction=H","UseDPDF=Y")</f>
        <v>0.42330000000000001</v>
      </c>
      <c r="Q42" s="17">
        <f>_xll.BDH("WMT US Equity","IS_EARN_BEF_XO_ITEMS_PER_SH","FQ3 2020","FQ3 2020","Currency=USD","Period=FQ","BEST_FPERIOD_OVERRIDE=FQ","FILING_STATUS=MR","Sort=A","Dates=H","DateFormat=P","Fill=—","Direction=H","UseDPDF=Y")</f>
        <v>0.38669999999999999</v>
      </c>
      <c r="R42" s="17">
        <f>_xll.BDH("WMT US Equity","IS_EARN_BEF_XO_ITEMS_PER_SH","FQ4 2020","FQ4 2020","Currency=USD","Period=FQ","BEST_FPERIOD_OVERRIDE=FQ","FILING_STATUS=MR","Sort=A","Dates=H","DateFormat=P","Fill=—","Direction=H","UseDPDF=Y")</f>
        <v>0.48670000000000002</v>
      </c>
      <c r="S42" s="17">
        <f>_xll.BDH("WMT US Equity","IS_EARN_BEF_XO_ITEMS_PER_SH","FQ1 2021","FQ1 2021","Currency=USD","Period=FQ","BEST_FPERIOD_OVERRIDE=FQ","FILING_STATUS=MR","Sort=A","Dates=H","DateFormat=P","Fill=—","Direction=H","UseDPDF=Y")</f>
        <v>0.47</v>
      </c>
      <c r="T42" s="17">
        <f>_xll.BDH("WMT US Equity","IS_EARN_BEF_XO_ITEMS_PER_SH","FQ2 2021","FQ2 2021","Currency=USD","Period=FQ","BEST_FPERIOD_OVERRIDE=FQ","FILING_STATUS=MR","Sort=A","Dates=H","DateFormat=P","Fill=—","Direction=H","UseDPDF=Y")</f>
        <v>0.76329999999999998</v>
      </c>
      <c r="U42" s="17">
        <f>_xll.BDH("WMT US Equity","IS_EARN_BEF_XO_ITEMS_PER_SH","FQ3 2021","FQ3 2021","Currency=USD","Period=FQ","BEST_FPERIOD_OVERRIDE=FQ","FILING_STATUS=MR","Sort=A","Dates=H","DateFormat=P","Fill=—","Direction=H","UseDPDF=Y")</f>
        <v>0.60329999999999995</v>
      </c>
      <c r="V42" s="17">
        <f>_xll.BDH("WMT US Equity","IS_EARN_BEF_XO_ITEMS_PER_SH","FQ4 2021","FQ4 2021","Currency=USD","Period=FQ","BEST_FPERIOD_OVERRIDE=FQ","FILING_STATUS=MR","Sort=A","Dates=H","DateFormat=P","Fill=—","Direction=H","UseDPDF=Y")</f>
        <v>-0.2467</v>
      </c>
      <c r="W42" s="17">
        <f>_xll.BDH("WMT US Equity","IS_EARN_BEF_XO_ITEMS_PER_SH","FQ1 2022","FQ1 2022","Currency=USD","Period=FQ","BEST_FPERIOD_OVERRIDE=FQ","FILING_STATUS=MR","Sort=A","Dates=H","DateFormat=P","Fill=—","Direction=H","UseDPDF=Y")</f>
        <v>0.32329999999999998</v>
      </c>
      <c r="X42" s="17">
        <f>_xll.BDH("WMT US Equity","IS_EARN_BEF_XO_ITEMS_PER_SH","FQ2 2022","FQ2 2022","Currency=USD","Period=FQ","BEST_FPERIOD_OVERRIDE=FQ","FILING_STATUS=MR","Sort=A","Dates=H","DateFormat=P","Fill=—","Direction=H","UseDPDF=Y")</f>
        <v>0.51</v>
      </c>
      <c r="Y42" s="17">
        <f>_xll.BDH("WMT US Equity","IS_EARN_BEF_XO_ITEMS_PER_SH","FQ3 2022","FQ3 2022","Currency=USD","Period=FQ","BEST_FPERIOD_OVERRIDE=FQ","FILING_STATUS=MR","Sort=A","Dates=H","DateFormat=P","Fill=—","Direction=H","UseDPDF=Y")</f>
        <v>0.37</v>
      </c>
      <c r="Z42" s="17">
        <f>_xll.BDH("WMT US Equity","IS_EARN_BEF_XO_ITEMS_PER_SH","FQ4 2022","FQ4 2022","Currency=USD","Period=FQ","BEST_FPERIOD_OVERRIDE=FQ","FILING_STATUS=MR","Sort=A","Dates=H","DateFormat=P","Fill=—","Direction=H","UseDPDF=Y")</f>
        <v>0.43</v>
      </c>
      <c r="AA42" s="17">
        <f>_xll.BDH("WMT US Equity","IS_EARN_BEF_XO_ITEMS_PER_SH","FQ1 2023","FQ1 2023","Currency=USD","Period=FQ","BEST_FPERIOD_OVERRIDE=FQ","FILING_STATUS=MR","Sort=A","Dates=H","DateFormat=P","Fill=—","Direction=H","UseDPDF=Y")</f>
        <v>0.25</v>
      </c>
      <c r="AB42" s="17">
        <f>_xll.BDH("WMT US Equity","IS_EARN_BEF_XO_ITEMS_PER_SH","FQ2 2023","FQ2 2023","Currency=USD","Period=FQ","BEST_FPERIOD_OVERRIDE=FQ","FILING_STATUS=MR","Sort=A","Dates=H","DateFormat=P","Fill=—","Direction=H","UseDPDF=Y")</f>
        <v>0.62670000000000003</v>
      </c>
      <c r="AC42" s="17">
        <f>_xll.BDH("WMT US Equity","IS_EARN_BEF_XO_ITEMS_PER_SH","FQ3 2023","FQ3 2023","Currency=USD","Period=FQ","BEST_FPERIOD_OVERRIDE=FQ","FILING_STATUS=MR","Sort=A","Dates=H","DateFormat=P","Fill=—","Direction=H","UseDPDF=Y")</f>
        <v>-0.22</v>
      </c>
      <c r="AD42" s="17">
        <f>_xll.BDH("WMT US Equity","IS_EARN_BEF_XO_ITEMS_PER_SH","FQ4 2023","FQ4 2023","Currency=USD","Period=FQ","BEST_FPERIOD_OVERRIDE=FQ","FILING_STATUS=MR","Sort=A","Dates=H","DateFormat=P","Fill=—","Direction=H","UseDPDF=Y")</f>
        <v>0.77669999999999995</v>
      </c>
      <c r="AE42" s="17">
        <f>_xll.BDH("WMT US Equity","IS_EARN_BEF_XO_ITEMS_PER_SH","FQ1 2024","FQ1 2024","Currency=USD","Period=FQ","BEST_FPERIOD_OVERRIDE=FQ","FILING_STATUS=MR","Sort=A","Dates=H","DateFormat=P","Fill=—","Direction=H","UseDPDF=Y")</f>
        <v>0.20669999999999999</v>
      </c>
      <c r="AF42" s="17">
        <f>_xll.BDH("WMT US Equity","IS_EARN_BEF_XO_ITEMS_PER_SH","FQ2 2024","FQ2 2024","Currency=USD","Period=FQ","BEST_FPERIOD_OVERRIDE=FQ","FILING_STATUS=MR","Sort=A","Dates=H","DateFormat=P","Fill=—","Direction=H","UseDPDF=Y")</f>
        <v>0.97670000000000001</v>
      </c>
      <c r="AG42" s="17">
        <f>_xll.BDH("WMT US Equity","IS_EARN_BEF_XO_ITEMS_PER_SH","FQ3 2024","FQ3 2024","Currency=USD","Period=FQ","BEST_FPERIOD_OVERRIDE=FQ","FILING_STATUS=MR","Sort=A","Dates=H","DateFormat=P","Fill=—","Direction=H","UseDPDF=Y")</f>
        <v>5.67E-2</v>
      </c>
      <c r="AH42" s="17">
        <f>_xll.BDH("WMT US Equity","IS_EARN_BEF_XO_ITEMS_PER_SH","FQ4 2024","FQ4 2024","Currency=USD","Period=FQ","BEST_FPERIOD_OVERRIDE=FQ","FILING_STATUS=MR","Sort=A","Dates=H","DateFormat=P","Fill=—","Direction=H","UseDPDF=Y")</f>
        <v>0.68079999999999996</v>
      </c>
      <c r="AI42" s="17">
        <f>_xll.BDH("WMT US Equity","IS_EARN_BEF_XO_ITEMS_PER_SH","FQ1 2025","FQ1 2025","Currency=USD","Period=FQ","BEST_FPERIOD_OVERRIDE=FQ","FILING_STATUS=MR","Sort=A","Dates=H","DateFormat=P","Fill=—","Direction=H","UseDPDF=Y")</f>
        <v>0.63</v>
      </c>
      <c r="AJ42" s="17">
        <f>_xll.BDH("WMT US Equity","IS_EARN_BEF_XO_ITEMS_PER_SH","FQ2 2025","FQ2 2025","Currency=USD","Period=FQ","BEST_FPERIOD_OVERRIDE=FQ","FILING_STATUS=MR","Sort=A","Dates=H","DateFormat=P","Fill=—","Direction=H","UseDPDF=Y")</f>
        <v>0.56000000000000005</v>
      </c>
      <c r="AK42" s="17">
        <f>_xll.BDH("WMT US Equity","IS_EARN_BEF_XO_ITEMS_PER_SH","FQ3 2025","FQ3 2025","Currency=USD","Period=FQ","BEST_FPERIOD_OVERRIDE=FQ","FILING_STATUS=MR","Sort=A","Dates=H","DateFormat=P","Fill=—","Direction=H","UseDPDF=Y")</f>
        <v>0.56999999999999995</v>
      </c>
      <c r="AL42" s="17">
        <f>_xll.BDH("WMT US Equity","IS_EARN_BEF_XO_ITEMS_PER_SH","FQ4 2025","FQ4 2025","Currency=USD","Period=FQ","BEST_FPERIOD_OVERRIDE=FQ","FILING_STATUS=MR","Sort=A","Dates=H","DateFormat=P","Fill=—","Direction=H","UseDPDF=Y")</f>
        <v>0.65</v>
      </c>
      <c r="AM42" s="17">
        <f>_xll.BDH("WMT US Equity","IS_EARN_BEF_XO_ITEMS_PER_SH","FQ1 2026","FQ1 2026","Currency=USD","Period=FQ","BEST_FPERIOD_OVERRIDE=FQ","FILING_STATUS=MR","Sort=A","Dates=H","DateFormat=P","Fill=—","Direction=H","UseDPDF=Y")</f>
        <v>0.56000000000000005</v>
      </c>
      <c r="AN42" s="17">
        <f>_xll.BDH("WMT US Equity","IS_EARN_BEF_XO_ITEMS_PER_SH","FQ2 2026","FQ2 2026","Currency=USD","Period=FQ","BEST_FPERIOD_OVERRIDE=FQ","FILING_STATUS=MR","Sort=A","Dates=H","DateFormat=P","Fill=—","Direction=H","UseDPDF=Y")</f>
        <v>0.88</v>
      </c>
      <c r="AO42" s="17">
        <v>0.59</v>
      </c>
      <c r="AP42" s="17">
        <v>0.71399999999999997</v>
      </c>
    </row>
    <row r="43" spans="1:42" x14ac:dyDescent="0.3">
      <c r="A43" s="6" t="s">
        <v>132</v>
      </c>
      <c r="B43" s="6" t="s">
        <v>133</v>
      </c>
      <c r="C43" s="17">
        <f>_xll.BDH("WMT US Equity","IS_BASIC_EPS_CONT_OPS","FQ1 2017","FQ1 2017","Currency=USD","Period=FQ","BEST_FPERIOD_OVERRIDE=FQ","FILING_STATUS=MR","Sort=A","Dates=H","DateFormat=P","Fill=—","Direction=H","UseDPDF=Y")</f>
        <v>0.32669999999999999</v>
      </c>
      <c r="D43" s="17">
        <f>_xll.BDH("WMT US Equity","IS_BASIC_EPS_CONT_OPS","FQ2 2017","FQ2 2017","Currency=USD","Period=FQ","BEST_FPERIOD_OVERRIDE=FQ","FILING_STATUS=MR","Sort=A","Dates=H","DateFormat=P","Fill=—","Direction=H","UseDPDF=Y")</f>
        <v>0.35770000000000002</v>
      </c>
      <c r="E43" s="17">
        <f>_xll.BDH("WMT US Equity","IS_BASIC_EPS_CONT_OPS","FQ3 2017","FQ3 2017","Currency=USD","Period=FQ","BEST_FPERIOD_OVERRIDE=FQ","FILING_STATUS=MR","Sort=A","Dates=H","DateFormat=P","Fill=—","Direction=H","UseDPDF=Y")</f>
        <v>0.32669999999999999</v>
      </c>
      <c r="F43" s="17">
        <f>_xll.BDH("WMT US Equity","IS_BASIC_EPS_CONT_OPS","FQ4 2017","FQ4 2017","Currency=USD","Period=FQ","BEST_FPERIOD_OVERRIDE=FQ","FILING_STATUS=MR","Sort=A","Dates=H","DateFormat=P","Fill=—","Direction=H","UseDPDF=Y")</f>
        <v>0.43540000000000001</v>
      </c>
      <c r="G43" s="17">
        <f>_xll.BDH("WMT US Equity","IS_BASIC_EPS_CONT_OPS","FQ1 2018","FQ1 2018","Currency=USD","Period=FQ","BEST_FPERIOD_OVERRIDE=FQ","FILING_STATUS=MR","Sort=A","Dates=H","DateFormat=P","Fill=—","Direction=H","UseDPDF=Y")</f>
        <v>0.33329999999999999</v>
      </c>
      <c r="H43" s="17">
        <f>_xll.BDH("WMT US Equity","IS_BASIC_EPS_CONT_OPS","FQ2 2018","FQ2 2018","Currency=USD","Period=FQ","BEST_FPERIOD_OVERRIDE=FQ","FILING_STATUS=MR","Sort=A","Dates=H","DateFormat=P","Fill=—","Direction=H","UseDPDF=Y")</f>
        <v>0.3614</v>
      </c>
      <c r="I43" s="17">
        <f>_xll.BDH("WMT US Equity","IS_BASIC_EPS_CONT_OPS","FQ3 2018","FQ3 2018","Currency=USD","Period=FQ","BEST_FPERIOD_OVERRIDE=FQ","FILING_STATUS=MR","Sort=A","Dates=H","DateFormat=P","Fill=—","Direction=H","UseDPDF=Y")</f>
        <v>0.33629999999999999</v>
      </c>
      <c r="J43" s="17">
        <f>_xll.BDH("WMT US Equity","IS_BASIC_EPS_CONT_OPS","FQ4 2018","FQ4 2018","Currency=USD","Period=FQ","BEST_FPERIOD_OVERRIDE=FQ","FILING_STATUS=MR","Sort=A","Dates=H","DateFormat=P","Fill=—","Direction=H","UseDPDF=Y")</f>
        <v>0.44629999999999997</v>
      </c>
      <c r="K43" s="17">
        <f>_xll.BDH("WMT US Equity","IS_BASIC_EPS_CONT_OPS","FQ1 2019","FQ1 2019","Currency=USD","Period=FQ","BEST_FPERIOD_OVERRIDE=FQ","FILING_STATUS=MR","Sort=A","Dates=H","DateFormat=P","Fill=—","Direction=H","UseDPDF=Y")</f>
        <v>0.38190000000000002</v>
      </c>
      <c r="L43" s="17">
        <f>_xll.BDH("WMT US Equity","IS_BASIC_EPS_CONT_OPS","FQ2 2019","FQ2 2019","Currency=USD","Period=FQ","BEST_FPERIOD_OVERRIDE=FQ","FILING_STATUS=MR","Sort=A","Dates=H","DateFormat=P","Fill=—","Direction=H","UseDPDF=Y")</f>
        <v>0.42920000000000003</v>
      </c>
      <c r="M43" s="17">
        <f>_xll.BDH("WMT US Equity","IS_BASIC_EPS_CONT_OPS","FQ3 2019","FQ3 2019","Currency=USD","Period=FQ","BEST_FPERIOD_OVERRIDE=FQ","FILING_STATUS=MR","Sort=A","Dates=H","DateFormat=P","Fill=—","Direction=H","UseDPDF=Y")</f>
        <v>0.36259999999999998</v>
      </c>
      <c r="N43" s="17">
        <f>_xll.BDH("WMT US Equity","IS_BASIC_EPS_CONT_OPS","FQ4 2019","FQ4 2019","Currency=USD","Period=FQ","BEST_FPERIOD_OVERRIDE=FQ","FILING_STATUS=MR","Sort=A","Dates=H","DateFormat=P","Fill=—","Direction=H","UseDPDF=Y")</f>
        <v>0.4713</v>
      </c>
      <c r="O43" s="17">
        <f>_xll.BDH("WMT US Equity","IS_BASIC_EPS_CONT_OPS","FQ1 2020","FQ1 2020","Currency=USD","Period=FQ","BEST_FPERIOD_OVERRIDE=FQ","FILING_STATUS=MR","Sort=A","Dates=H","DateFormat=P","Fill=—","Direction=H","UseDPDF=Y")</f>
        <v>0.37930000000000003</v>
      </c>
      <c r="P43" s="17">
        <f>_xll.BDH("WMT US Equity","IS_BASIC_EPS_CONT_OPS","FQ2 2020","FQ2 2020","Currency=USD","Period=FQ","BEST_FPERIOD_OVERRIDE=FQ","FILING_STATUS=MR","Sort=A","Dates=H","DateFormat=P","Fill=—","Direction=H","UseDPDF=Y")</f>
        <v>0.42509999999999998</v>
      </c>
      <c r="Q43" s="17">
        <f>_xll.BDH("WMT US Equity","IS_BASIC_EPS_CONT_OPS","FQ3 2020","FQ3 2020","Currency=USD","Period=FQ","BEST_FPERIOD_OVERRIDE=FQ","FILING_STATUS=MR","Sort=A","Dates=H","DateFormat=P","Fill=—","Direction=H","UseDPDF=Y")</f>
        <v>0.38879999999999998</v>
      </c>
      <c r="R43" s="17">
        <f>_xll.BDH("WMT US Equity","IS_BASIC_EPS_CONT_OPS","FQ4 2020","FQ4 2020","Currency=USD","Period=FQ","BEST_FPERIOD_OVERRIDE=FQ","FILING_STATUS=MR","Sort=A","Dates=H","DateFormat=P","Fill=—","Direction=H","UseDPDF=Y")</f>
        <v>0.4632</v>
      </c>
      <c r="S43" s="17">
        <f>_xll.BDH("WMT US Equity","IS_BASIC_EPS_CONT_OPS","FQ1 2021","FQ1 2021","Currency=USD","Period=FQ","BEST_FPERIOD_OVERRIDE=FQ","FILING_STATUS=MR","Sort=A","Dates=H","DateFormat=P","Fill=—","Direction=H","UseDPDF=Y")</f>
        <v>0.39600000000000002</v>
      </c>
      <c r="T43" s="17">
        <f>_xll.BDH("WMT US Equity","IS_BASIC_EPS_CONT_OPS","FQ2 2021","FQ2 2021","Currency=USD","Period=FQ","BEST_FPERIOD_OVERRIDE=FQ","FILING_STATUS=MR","Sort=A","Dates=H","DateFormat=P","Fill=—","Direction=H","UseDPDF=Y")</f>
        <v>0.50990000000000002</v>
      </c>
      <c r="U43" s="17">
        <f>_xll.BDH("WMT US Equity","IS_BASIC_EPS_CONT_OPS","FQ3 2021","FQ3 2021","Currency=USD","Period=FQ","BEST_FPERIOD_OVERRIDE=FQ","FILING_STATUS=MR","Sort=A","Dates=H","DateFormat=P","Fill=—","Direction=H","UseDPDF=Y")</f>
        <v>0.45</v>
      </c>
      <c r="V43" s="17">
        <f>_xll.BDH("WMT US Equity","IS_BASIC_EPS_CONT_OPS","FQ4 2021","FQ4 2021","Currency=USD","Period=FQ","BEST_FPERIOD_OVERRIDE=FQ","FILING_STATUS=MR","Sort=A","Dates=H","DateFormat=P","Fill=—","Direction=H","UseDPDF=Y")</f>
        <v>0.46339999999999998</v>
      </c>
      <c r="W43" s="17">
        <f>_xll.BDH("WMT US Equity","IS_BASIC_EPS_CONT_OPS","FQ1 2022","FQ1 2022","Currency=USD","Period=FQ","BEST_FPERIOD_OVERRIDE=FQ","FILING_STATUS=MR","Sort=A","Dates=H","DateFormat=P","Fill=—","Direction=H","UseDPDF=Y")</f>
        <v>0.5645</v>
      </c>
      <c r="X43" s="17">
        <f>_xll.BDH("WMT US Equity","IS_BASIC_EPS_CONT_OPS","FQ2 2022","FQ2 2022","Currency=USD","Period=FQ","BEST_FPERIOD_OVERRIDE=FQ","FILING_STATUS=MR","Sort=A","Dates=H","DateFormat=P","Fill=—","Direction=H","UseDPDF=Y")</f>
        <v>0.59630000000000005</v>
      </c>
      <c r="Y43" s="17">
        <f>_xll.BDH("WMT US Equity","IS_BASIC_EPS_CONT_OPS","FQ3 2022","FQ3 2022","Currency=USD","Period=FQ","BEST_FPERIOD_OVERRIDE=FQ","FILING_STATUS=MR","Sort=A","Dates=H","DateFormat=P","Fill=—","Direction=H","UseDPDF=Y")</f>
        <v>0.48549999999999999</v>
      </c>
      <c r="Z43" s="17">
        <f>_xll.BDH("WMT US Equity","IS_BASIC_EPS_CONT_OPS","FQ4 2022","FQ4 2022","Currency=USD","Period=FQ","BEST_FPERIOD_OVERRIDE=FQ","FILING_STATUS=MR","Sort=A","Dates=H","DateFormat=P","Fill=—","Direction=H","UseDPDF=Y")</f>
        <v>0.51249999999999996</v>
      </c>
      <c r="AA43" s="17">
        <f>_xll.BDH("WMT US Equity","IS_BASIC_EPS_CONT_OPS","FQ1 2023","FQ1 2023","Currency=USD","Period=FQ","BEST_FPERIOD_OVERRIDE=FQ","FILING_STATUS=MR","Sort=A","Dates=H","DateFormat=P","Fill=—","Direction=H","UseDPDF=Y")</f>
        <v>0.436</v>
      </c>
      <c r="AB43" s="17">
        <f>_xll.BDH("WMT US Equity","IS_BASIC_EPS_CONT_OPS","FQ2 2023","FQ2 2023","Currency=USD","Period=FQ","BEST_FPERIOD_OVERRIDE=FQ","FILING_STATUS=MR","Sort=A","Dates=H","DateFormat=P","Fill=—","Direction=H","UseDPDF=Y")</f>
        <v>0.59050000000000002</v>
      </c>
      <c r="AC43" s="17">
        <f>_xll.BDH("WMT US Equity","IS_BASIC_EPS_CONT_OPS","FQ3 2023","FQ3 2023","Currency=USD","Period=FQ","BEST_FPERIOD_OVERRIDE=FQ","FILING_STATUS=MR","Sort=A","Dates=H","DateFormat=P","Fill=—","Direction=H","UseDPDF=Y")</f>
        <v>0.1489</v>
      </c>
      <c r="AD43" s="17">
        <f>_xll.BDH("WMT US Equity","IS_BASIC_EPS_CONT_OPS","FQ4 2023","FQ4 2023","Currency=USD","Period=FQ","BEST_FPERIOD_OVERRIDE=FQ","FILING_STATUS=MR","Sort=A","Dates=H","DateFormat=P","Fill=—","Direction=H","UseDPDF=Y")</f>
        <v>0.57169999999999999</v>
      </c>
      <c r="AE43" s="17">
        <f>_xll.BDH("WMT US Equity","IS_BASIC_EPS_CONT_OPS","FQ1 2024","FQ1 2024","Currency=USD","Period=FQ","BEST_FPERIOD_OVERRIDE=FQ","FILING_STATUS=MR","Sort=A","Dates=H","DateFormat=P","Fill=—","Direction=H","UseDPDF=Y")</f>
        <v>0.4914</v>
      </c>
      <c r="AF43" s="17">
        <f>_xll.BDH("WMT US Equity","IS_BASIC_EPS_CONT_OPS","FQ2 2024","FQ2 2024","Currency=USD","Period=FQ","BEST_FPERIOD_OVERRIDE=FQ","FILING_STATUS=MR","Sort=A","Dates=H","DateFormat=P","Fill=—","Direction=H","UseDPDF=Y")</f>
        <v>0.61539999999999995</v>
      </c>
      <c r="AG43" s="17">
        <f>_xll.BDH("WMT US Equity","IS_BASIC_EPS_CONT_OPS","FQ3 2024","FQ3 2024","Currency=USD","Period=FQ","BEST_FPERIOD_OVERRIDE=FQ","FILING_STATUS=MR","Sort=A","Dates=H","DateFormat=P","Fill=—","Direction=H","UseDPDF=Y")</f>
        <v>0.52110000000000001</v>
      </c>
      <c r="AH43" s="17">
        <f>_xll.BDH("WMT US Equity","IS_BASIC_EPS_CONT_OPS","FQ4 2024","FQ4 2024","Currency=USD","Period=FQ","BEST_FPERIOD_OVERRIDE=FQ","FILING_STATUS=MR","Sort=A","Dates=H","DateFormat=P","Fill=—","Direction=H","UseDPDF=Y")</f>
        <v>0.6038</v>
      </c>
      <c r="AI43" s="17">
        <f>_xll.BDH("WMT US Equity","IS_BASIC_EPS_CONT_OPS","FQ1 2025","FQ1 2025","Currency=USD","Period=FQ","BEST_FPERIOD_OVERRIDE=FQ","FILING_STATUS=MR","Sort=A","Dates=H","DateFormat=P","Fill=—","Direction=H","UseDPDF=Y")</f>
        <v>0.60370000000000001</v>
      </c>
      <c r="AJ43" s="17">
        <f>_xll.BDH("WMT US Equity","IS_BASIC_EPS_CONT_OPS","FQ2 2025","FQ2 2025","Currency=USD","Period=FQ","BEST_FPERIOD_OVERRIDE=FQ","FILING_STATUS=MR","Sort=A","Dates=H","DateFormat=P","Fill=—","Direction=H","UseDPDF=Y")</f>
        <v>0.6583</v>
      </c>
      <c r="AK43" s="17">
        <f>_xll.BDH("WMT US Equity","IS_BASIC_EPS_CONT_OPS","FQ3 2025","FQ3 2025","Currency=USD","Period=FQ","BEST_FPERIOD_OVERRIDE=FQ","FILING_STATUS=MR","Sort=A","Dates=H","DateFormat=P","Fill=—","Direction=H","UseDPDF=Y")</f>
        <v>0.57950000000000002</v>
      </c>
      <c r="AL43" s="17">
        <f>_xll.BDH("WMT US Equity","IS_BASIC_EPS_CONT_OPS","FQ4 2025","FQ4 2025","Currency=USD","Period=FQ","BEST_FPERIOD_OVERRIDE=FQ","FILING_STATUS=MR","Sort=A","Dates=H","DateFormat=P","Fill=—","Direction=H","UseDPDF=Y")</f>
        <v>0.66439999999999999</v>
      </c>
      <c r="AM43" s="17">
        <f>_xll.BDH("WMT US Equity","IS_BASIC_EPS_CONT_OPS","FQ1 2026","FQ1 2026","Currency=USD","Period=FQ","BEST_FPERIOD_OVERRIDE=FQ","FILING_STATUS=MR","Sort=A","Dates=H","DateFormat=P","Fill=—","Direction=H","UseDPDF=Y")</f>
        <v>0.61040000000000005</v>
      </c>
      <c r="AN43" s="17">
        <f>_xll.BDH("WMT US Equity","IS_BASIC_EPS_CONT_OPS","FQ2 2026","FQ2 2026","Currency=USD","Period=FQ","BEST_FPERIOD_OVERRIDE=FQ","FILING_STATUS=MR","Sort=A","Dates=H","DateFormat=P","Fill=—","Direction=H","UseDPDF=Y")</f>
        <v>0.67969999999999997</v>
      </c>
      <c r="AO43" s="17">
        <v>0.59899999999999998</v>
      </c>
      <c r="AP43" s="17">
        <v>0.72599999999999998</v>
      </c>
    </row>
    <row r="44" spans="1:42" x14ac:dyDescent="0.3">
      <c r="A44" s="6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</row>
    <row r="45" spans="1:42" x14ac:dyDescent="0.3">
      <c r="A45" s="10" t="s">
        <v>134</v>
      </c>
      <c r="B45" s="10" t="s">
        <v>135</v>
      </c>
      <c r="C45" s="13">
        <f>_xll.BDH("WMT US Equity","IS_SH_FOR_DILUTED_EPS","FQ1 2017","FQ1 2017","Currency=USD","Period=FQ","BEST_FPERIOD_OVERRIDE=FQ","FILING_STATUS=MR","Sort=A","Dates=H","DateFormat=P","Fill=—","Direction=H","UseDPDF=Y")</f>
        <v>9462</v>
      </c>
      <c r="D45" s="13">
        <f>_xll.BDH("WMT US Equity","IS_SH_FOR_DILUTED_EPS","FQ2 2017","FQ2 2017","Currency=USD","Period=FQ","BEST_FPERIOD_OVERRIDE=FQ","FILING_STATUS=MR","Sort=A","Dates=H","DateFormat=P","Fill=—","Direction=H","UseDPDF=Y")</f>
        <v>9357</v>
      </c>
      <c r="E45" s="13">
        <f>_xll.BDH("WMT US Equity","IS_SH_FOR_DILUTED_EPS","FQ3 2017","FQ3 2017","Currency=USD","Period=FQ","BEST_FPERIOD_OVERRIDE=FQ","FILING_STATUS=MR","Sort=A","Dates=H","DateFormat=P","Fill=—","Direction=H","UseDPDF=Y")</f>
        <v>9300</v>
      </c>
      <c r="F45" s="13">
        <f>_xll.BDH("WMT US Equity","IS_SH_FOR_DILUTED_EPS","FQ4 2017","FQ4 2017","Currency=USD","Period=FQ","BEST_FPERIOD_OVERRIDE=FQ","FILING_STATUS=MR","Sort=A","Dates=H","DateFormat=P","Fill=—","Direction=H","UseDPDF=Y")</f>
        <v>9231</v>
      </c>
      <c r="G45" s="13">
        <f>_xll.BDH("WMT US Equity","IS_SH_FOR_DILUTED_EPS","FQ1 2018","FQ1 2018","Currency=USD","Period=FQ","BEST_FPERIOD_OVERRIDE=FQ","FILING_STATUS=MR","Sort=A","Dates=H","DateFormat=P","Fill=—","Direction=H","UseDPDF=Y")</f>
        <v>9141</v>
      </c>
      <c r="H45" s="13">
        <f>_xll.BDH("WMT US Equity","IS_SH_FOR_DILUTED_EPS","FQ2 2018","FQ2 2018","Currency=USD","Period=FQ","BEST_FPERIOD_OVERRIDE=FQ","FILING_STATUS=MR","Sort=A","Dates=H","DateFormat=P","Fill=—","Direction=H","UseDPDF=Y")</f>
        <v>9063</v>
      </c>
      <c r="I45" s="13">
        <f>_xll.BDH("WMT US Equity","IS_SH_FOR_DILUTED_EPS","FQ3 2018","FQ3 2018","Currency=USD","Period=FQ","BEST_FPERIOD_OVERRIDE=FQ","FILING_STATUS=MR","Sort=A","Dates=H","DateFormat=P","Fill=—","Direction=H","UseDPDF=Y")</f>
        <v>8988</v>
      </c>
      <c r="J45" s="13">
        <f>_xll.BDH("WMT US Equity","IS_SH_FOR_DILUTED_EPS","FQ4 2018","FQ4 2018","Currency=USD","Period=FQ","BEST_FPERIOD_OVERRIDE=FQ","FILING_STATUS=MR","Sort=A","Dates=H","DateFormat=P","Fill=—","Direction=H","UseDPDF=Y")</f>
        <v>8934</v>
      </c>
      <c r="K45" s="13">
        <f>_xll.BDH("WMT US Equity","IS_SH_FOR_DILUTED_EPS","FQ1 2019","FQ1 2019","Currency=USD","Period=FQ","BEST_FPERIOD_OVERRIDE=FQ","FILING_STATUS=MR","Sort=A","Dates=H","DateFormat=P","Fill=—","Direction=H","UseDPDF=Y")</f>
        <v>8901</v>
      </c>
      <c r="L45" s="13">
        <f>_xll.BDH("WMT US Equity","IS_SH_FOR_DILUTED_EPS","FQ2 2019","FQ2 2019","Currency=USD","Period=FQ","BEST_FPERIOD_OVERRIDE=FQ","FILING_STATUS=MR","Sort=A","Dates=H","DateFormat=P","Fill=—","Direction=H","UseDPDF=Y")</f>
        <v>8838</v>
      </c>
      <c r="M45" s="13">
        <f>_xll.BDH("WMT US Equity","IS_SH_FOR_DILUTED_EPS","FQ3 2019","FQ3 2019","Currency=USD","Period=FQ","BEST_FPERIOD_OVERRIDE=FQ","FILING_STATUS=MR","Sort=A","Dates=H","DateFormat=P","Fill=—","Direction=H","UseDPDF=Y")</f>
        <v>8823</v>
      </c>
      <c r="N45" s="13">
        <f>_xll.BDH("WMT US Equity","IS_SH_FOR_DILUTED_EPS","FQ4 2019","FQ4 2019","Currency=USD","Period=FQ","BEST_FPERIOD_OVERRIDE=FQ","FILING_STATUS=MR","Sort=A","Dates=H","DateFormat=P","Fill=—","Direction=H","UseDPDF=Y")</f>
        <v>8742</v>
      </c>
      <c r="O45" s="13">
        <f>_xll.BDH("WMT US Equity","IS_SH_FOR_DILUTED_EPS","FQ1 2020","FQ1 2020","Currency=USD","Period=FQ","BEST_FPERIOD_OVERRIDE=FQ","FILING_STATUS=MR","Sort=A","Dates=H","DateFormat=P","Fill=—","Direction=H","UseDPDF=Y")</f>
        <v>8658</v>
      </c>
      <c r="P45" s="13">
        <f>_xll.BDH("WMT US Equity","IS_SH_FOR_DILUTED_EPS","FQ2 2020","FQ2 2020","Currency=USD","Period=FQ","BEST_FPERIOD_OVERRIDE=FQ","FILING_STATUS=MR","Sort=A","Dates=H","DateFormat=P","Fill=—","Direction=H","UseDPDF=Y")</f>
        <v>8607</v>
      </c>
      <c r="Q45" s="13">
        <f>_xll.BDH("WMT US Equity","IS_SH_FOR_DILUTED_EPS","FQ3 2020","FQ3 2020","Currency=USD","Period=FQ","BEST_FPERIOD_OVERRIDE=FQ","FILING_STATUS=MR","Sort=A","Dates=H","DateFormat=P","Fill=—","Direction=H","UseDPDF=Y")</f>
        <v>8583</v>
      </c>
      <c r="R45" s="13">
        <f>_xll.BDH("WMT US Equity","IS_SH_FOR_DILUTED_EPS","FQ4 2020","FQ4 2020","Currency=USD","Period=FQ","BEST_FPERIOD_OVERRIDE=FQ","FILING_STATUS=MR","Sort=A","Dates=H","DateFormat=P","Fill=—","Direction=H","UseDPDF=Y")</f>
        <v>8565</v>
      </c>
      <c r="S45" s="13">
        <f>_xll.BDH("WMT US Equity","IS_SH_FOR_DILUTED_EPS","FQ1 2021","FQ1 2021","Currency=USD","Period=FQ","BEST_FPERIOD_OVERRIDE=FQ","FILING_STATUS=MR","Sort=A","Dates=H","DateFormat=P","Fill=—","Direction=H","UseDPDF=Y")</f>
        <v>8547</v>
      </c>
      <c r="T45" s="13">
        <f>_xll.BDH("WMT US Equity","IS_SH_FOR_DILUTED_EPS","FQ2 2021","FQ2 2021","Currency=USD","Period=FQ","BEST_FPERIOD_OVERRIDE=FQ","FILING_STATUS=MR","Sort=A","Dates=H","DateFormat=P","Fill=—","Direction=H","UseDPDF=Y")</f>
        <v>8544</v>
      </c>
      <c r="U45" s="13">
        <f>_xll.BDH("WMT US Equity","IS_SH_FOR_DILUTED_EPS","FQ3 2021","FQ3 2021","Currency=USD","Period=FQ","BEST_FPERIOD_OVERRIDE=FQ","FILING_STATUS=MR","Sort=A","Dates=H","DateFormat=P","Fill=—","Direction=H","UseDPDF=Y")</f>
        <v>8547</v>
      </c>
      <c r="V45" s="13">
        <f>_xll.BDH("WMT US Equity","IS_SH_FOR_DILUTED_EPS","FQ4 2021","FQ4 2021","Currency=USD","Period=FQ","BEST_FPERIOD_OVERRIDE=FQ","FILING_STATUS=MR","Sort=A","Dates=H","DateFormat=P","Fill=—","Direction=H","UseDPDF=Y")</f>
        <v>8478</v>
      </c>
      <c r="W45" s="13">
        <f>_xll.BDH("WMT US Equity","IS_SH_FOR_DILUTED_EPS","FQ1 2022","FQ1 2022","Currency=USD","Period=FQ","BEST_FPERIOD_OVERRIDE=FQ","FILING_STATUS=MR","Sort=A","Dates=H","DateFormat=P","Fill=—","Direction=H","UseDPDF=Y")</f>
        <v>8487</v>
      </c>
      <c r="X45" s="13">
        <f>_xll.BDH("WMT US Equity","IS_SH_FOR_DILUTED_EPS","FQ2 2022","FQ2 2022","Currency=USD","Period=FQ","BEST_FPERIOD_OVERRIDE=FQ","FILING_STATUS=MR","Sort=A","Dates=H","DateFormat=P","Fill=—","Direction=H","UseDPDF=Y")</f>
        <v>8436</v>
      </c>
      <c r="Y45" s="13">
        <f>_xll.BDH("WMT US Equity","IS_SH_FOR_DILUTED_EPS","FQ3 2022","FQ3 2022","Currency=USD","Period=FQ","BEST_FPERIOD_OVERRIDE=FQ","FILING_STATUS=MR","Sort=A","Dates=H","DateFormat=P","Fill=—","Direction=H","UseDPDF=Y")</f>
        <v>8391</v>
      </c>
      <c r="Z45" s="13">
        <f>_xll.BDH("WMT US Equity","IS_SH_FOR_DILUTED_EPS","FQ4 2022","FQ4 2022","Currency=USD","Period=FQ","BEST_FPERIOD_OVERRIDE=FQ","FILING_STATUS=MR","Sort=A","Dates=H","DateFormat=P","Fill=—","Direction=H","UseDPDF=Y")</f>
        <v>8346</v>
      </c>
      <c r="AA45" s="13">
        <f>_xll.BDH("WMT US Equity","IS_SH_FOR_DILUTED_EPS","FQ1 2023","FQ1 2023","Currency=USD","Period=FQ","BEST_FPERIOD_OVERRIDE=FQ","FILING_STATUS=MR","Sort=A","Dates=H","DateFormat=P","Fill=—","Direction=H","UseDPDF=Y")</f>
        <v>8295</v>
      </c>
      <c r="AB45" s="13">
        <f>_xll.BDH("WMT US Equity","IS_SH_FOR_DILUTED_EPS","FQ2 2023","FQ2 2023","Currency=USD","Period=FQ","BEST_FPERIOD_OVERRIDE=FQ","FILING_STATUS=MR","Sort=A","Dates=H","DateFormat=P","Fill=—","Direction=H","UseDPDF=Y")</f>
        <v>8235</v>
      </c>
      <c r="AC45" s="13">
        <f>_xll.BDH("WMT US Equity","IS_SH_FOR_DILUTED_EPS","FQ3 2023","FQ3 2023","Currency=USD","Period=FQ","BEST_FPERIOD_OVERRIDE=FQ","FILING_STATUS=MR","Sort=A","Dates=H","DateFormat=P","Fill=—","Direction=H","UseDPDF=Y")</f>
        <v>8133</v>
      </c>
      <c r="AD45" s="13">
        <f>_xll.BDH("WMT US Equity","IS_SH_FOR_DILUTED_EPS","FQ4 2023","FQ4 2023","Currency=USD","Period=FQ","BEST_FPERIOD_OVERRIDE=FQ","FILING_STATUS=MR","Sort=A","Dates=H","DateFormat=P","Fill=—","Direction=H","UseDPDF=Y")</f>
        <v>8121</v>
      </c>
      <c r="AE45" s="13">
        <f>_xll.BDH("WMT US Equity","IS_SH_FOR_DILUTED_EPS","FQ1 2024","FQ1 2024","Currency=USD","Period=FQ","BEST_FPERIOD_OVERRIDE=FQ","FILING_STATUS=MR","Sort=A","Dates=H","DateFormat=P","Fill=—","Direction=H","UseDPDF=Y")</f>
        <v>8112</v>
      </c>
      <c r="AF45" s="13">
        <f>_xll.BDH("WMT US Equity","IS_SH_FOR_DILUTED_EPS","FQ2 2024","FQ2 2024","Currency=USD","Period=FQ","BEST_FPERIOD_OVERRIDE=FQ","FILING_STATUS=MR","Sort=A","Dates=H","DateFormat=P","Fill=—","Direction=H","UseDPDF=Y")</f>
        <v>8109</v>
      </c>
      <c r="AG45" s="13">
        <f>_xll.BDH("WMT US Equity","IS_SH_FOR_DILUTED_EPS","FQ3 2024","FQ3 2024","Currency=USD","Period=FQ","BEST_FPERIOD_OVERRIDE=FQ","FILING_STATUS=MR","Sort=A","Dates=H","DateFormat=P","Fill=—","Direction=H","UseDPDF=Y")</f>
        <v>8109</v>
      </c>
      <c r="AH45" s="13">
        <f>_xll.BDH("WMT US Equity","IS_SH_FOR_DILUTED_EPS","FQ4 2024","FQ4 2024","Currency=USD","Period=FQ","BEST_FPERIOD_OVERRIDE=FQ","FILING_STATUS=MR","Sort=A","Dates=H","DateFormat=P","Fill=—","Direction=H","UseDPDF=Y")</f>
        <v>8103</v>
      </c>
      <c r="AI45" s="13">
        <f>_xll.BDH("WMT US Equity","IS_SH_FOR_DILUTED_EPS","FQ1 2025","FQ1 2025","Currency=USD","Period=FQ","BEST_FPERIOD_OVERRIDE=FQ","FILING_STATUS=MR","Sort=A","Dates=H","DateFormat=P","Fill=—","Direction=H","UseDPDF=Y")</f>
        <v>8084</v>
      </c>
      <c r="AJ45" s="13">
        <f>_xll.BDH("WMT US Equity","IS_SH_FOR_DILUTED_EPS","FQ2 2025","FQ2 2025","Currency=USD","Period=FQ","BEST_FPERIOD_OVERRIDE=FQ","FILING_STATUS=MR","Sort=A","Dates=H","DateFormat=P","Fill=—","Direction=H","UseDPDF=Y")</f>
        <v>8081</v>
      </c>
      <c r="AK45" s="13">
        <f>_xll.BDH("WMT US Equity","IS_SH_FOR_DILUTED_EPS","FQ3 2025","FQ3 2025","Currency=USD","Period=FQ","BEST_FPERIOD_OVERRIDE=FQ","FILING_STATUS=MR","Sort=A","Dates=H","DateFormat=P","Fill=—","Direction=H","UseDPDF=Y")</f>
        <v>8082</v>
      </c>
      <c r="AL45" s="13">
        <f>_xll.BDH("WMT US Equity","IS_SH_FOR_DILUTED_EPS","FQ4 2025","FQ4 2025","Currency=USD","Period=FQ","BEST_FPERIOD_OVERRIDE=FQ","FILING_STATUS=MR","Sort=A","Dates=H","DateFormat=P","Fill=—","Direction=H","UseDPDF=Y")</f>
        <v>8078</v>
      </c>
      <c r="AM45" s="13">
        <f>_xll.BDH("WMT US Equity","IS_SH_FOR_DILUTED_EPS","FQ1 2026","FQ1 2026","Currency=USD","Period=FQ","BEST_FPERIOD_OVERRIDE=FQ","FILING_STATUS=MR","Sort=A","Dates=H","DateFormat=P","Fill=—","Direction=H","UseDPDF=Y")</f>
        <v>8051</v>
      </c>
      <c r="AN45" s="13">
        <f>_xll.BDH("WMT US Equity","IS_SH_FOR_DILUTED_EPS","FQ2 2026","FQ2 2026","Currency=USD","Period=FQ","BEST_FPERIOD_OVERRIDE=FQ","FILING_STATUS=MR","Sort=A","Dates=H","DateFormat=P","Fill=—","Direction=H","UseDPDF=Y")</f>
        <v>8016</v>
      </c>
      <c r="AO45" s="13"/>
      <c r="AP45" s="13"/>
    </row>
    <row r="46" spans="1:42" x14ac:dyDescent="0.3">
      <c r="A46" s="6" t="s">
        <v>136</v>
      </c>
      <c r="B46" s="6" t="s">
        <v>137</v>
      </c>
      <c r="C46" s="17">
        <f>_xll.BDH("WMT US Equity","IS_DILUTED_EPS","FQ1 2017","FQ1 2017","Currency=USD","Period=FQ","BEST_FPERIOD_OVERRIDE=FQ","FILING_STATUS=MR","FA_ADJUSTED=GAAP","Sort=A","Dates=H","DateFormat=P","Fill=—","Direction=H","UseDPDF=Y")</f>
        <v>0.32669999999999999</v>
      </c>
      <c r="D46" s="17">
        <f>_xll.BDH("WMT US Equity","IS_DILUTED_EPS","FQ2 2017","FQ2 2017","Currency=USD","Period=FQ","BEST_FPERIOD_OVERRIDE=FQ","FILING_STATUS=MR","FA_ADJUSTED=GAAP","Sort=A","Dates=H","DateFormat=P","Fill=—","Direction=H","UseDPDF=Y")</f>
        <v>0.40329999999999999</v>
      </c>
      <c r="E46" s="17">
        <f>_xll.BDH("WMT US Equity","IS_DILUTED_EPS","FQ3 2017","FQ3 2017","Currency=USD","Period=FQ","BEST_FPERIOD_OVERRIDE=FQ","FILING_STATUS=MR","FA_ADJUSTED=GAAP","Sort=A","Dates=H","DateFormat=P","Fill=—","Direction=H","UseDPDF=Y")</f>
        <v>0.32669999999999999</v>
      </c>
      <c r="F46" s="17">
        <f>_xll.BDH("WMT US Equity","IS_DILUTED_EPS","FQ4 2017","FQ4 2017","Currency=USD","Period=FQ","BEST_FPERIOD_OVERRIDE=FQ","FILING_STATUS=MR","FA_ADJUSTED=GAAP","Sort=A","Dates=H","DateFormat=P","Fill=—","Direction=H","UseDPDF=Y")</f>
        <v>0.40670000000000001</v>
      </c>
      <c r="G46" s="17">
        <f>_xll.BDH("WMT US Equity","IS_DILUTED_EPS","FQ1 2018","FQ1 2018","Currency=USD","Period=FQ","BEST_FPERIOD_OVERRIDE=FQ","FILING_STATUS=MR","FA_ADJUSTED=GAAP","Sort=A","Dates=H","DateFormat=P","Fill=—","Direction=H","UseDPDF=Y")</f>
        <v>0.33329999999999999</v>
      </c>
      <c r="H46" s="17">
        <f>_xll.BDH("WMT US Equity","IS_DILUTED_EPS","FQ2 2018","FQ2 2018","Currency=USD","Period=FQ","BEST_FPERIOD_OVERRIDE=FQ","FILING_STATUS=MR","FA_ADJUSTED=GAAP","Sort=A","Dates=H","DateFormat=P","Fill=—","Direction=H","UseDPDF=Y")</f>
        <v>0.32</v>
      </c>
      <c r="I46" s="17">
        <f>_xll.BDH("WMT US Equity","IS_DILUTED_EPS","FQ3 2018","FQ3 2018","Currency=USD","Period=FQ","BEST_FPERIOD_OVERRIDE=FQ","FILING_STATUS=MR","FA_ADJUSTED=GAAP","Sort=A","Dates=H","DateFormat=P","Fill=—","Direction=H","UseDPDF=Y")</f>
        <v>0.1933</v>
      </c>
      <c r="J46" s="17">
        <f>_xll.BDH("WMT US Equity","IS_DILUTED_EPS","FQ4 2018","FQ4 2018","Currency=USD","Period=FQ","BEST_FPERIOD_OVERRIDE=FQ","FILING_STATUS=MR","FA_ADJUSTED=GAAP","Sort=A","Dates=H","DateFormat=P","Fill=—","Direction=H","UseDPDF=Y")</f>
        <v>0.24329999999999999</v>
      </c>
      <c r="K46" s="17">
        <f>_xll.BDH("WMT US Equity","IS_DILUTED_EPS","FQ1 2019","FQ1 2019","Currency=USD","Period=FQ","BEST_FPERIOD_OVERRIDE=FQ","FILING_STATUS=MR","FA_ADJUSTED=GAAP","Sort=A","Dates=H","DateFormat=P","Fill=—","Direction=H","UseDPDF=Y")</f>
        <v>0.24</v>
      </c>
      <c r="L46" s="17">
        <f>_xll.BDH("WMT US Equity","IS_DILUTED_EPS","FQ2 2019","FQ2 2019","Currency=USD","Period=FQ","BEST_FPERIOD_OVERRIDE=FQ","FILING_STATUS=MR","FA_ADJUSTED=GAAP","Sort=A","Dates=H","DateFormat=P","Fill=—","Direction=H","UseDPDF=Y")</f>
        <v>-9.6699999999999994E-2</v>
      </c>
      <c r="M46" s="17">
        <f>_xll.BDH("WMT US Equity","IS_DILUTED_EPS","FQ3 2019","FQ3 2019","Currency=USD","Period=FQ","BEST_FPERIOD_OVERRIDE=FQ","FILING_STATUS=MR","FA_ADJUSTED=GAAP","Sort=A","Dates=H","DateFormat=P","Fill=—","Direction=H","UseDPDF=Y")</f>
        <v>0.1933</v>
      </c>
      <c r="N46" s="17">
        <f>_xll.BDH("WMT US Equity","IS_DILUTED_EPS","FQ4 2019","FQ4 2019","Currency=USD","Period=FQ","BEST_FPERIOD_OVERRIDE=FQ","FILING_STATUS=MR","FA_ADJUSTED=GAAP","Sort=A","Dates=H","DateFormat=P","Fill=—","Direction=H","UseDPDF=Y")</f>
        <v>0.42330000000000001</v>
      </c>
      <c r="O46" s="17">
        <f>_xll.BDH("WMT US Equity","IS_DILUTED_EPS","FQ1 2020","FQ1 2020","Currency=USD","Period=FQ","BEST_FPERIOD_OVERRIDE=FQ","FILING_STATUS=MR","FA_ADJUSTED=GAAP","Sort=A","Dates=H","DateFormat=P","Fill=—","Direction=H","UseDPDF=Y")</f>
        <v>0.44330000000000003</v>
      </c>
      <c r="P46" s="17">
        <f>_xll.BDH("WMT US Equity","IS_DILUTED_EPS","FQ2 2020","FQ2 2020","Currency=USD","Period=FQ","BEST_FPERIOD_OVERRIDE=FQ","FILING_STATUS=MR","FA_ADJUSTED=GAAP","Sort=A","Dates=H","DateFormat=P","Fill=—","Direction=H","UseDPDF=Y")</f>
        <v>0.42</v>
      </c>
      <c r="Q46" s="17">
        <f>_xll.BDH("WMT US Equity","IS_DILUTED_EPS","FQ3 2020","FQ3 2020","Currency=USD","Period=FQ","BEST_FPERIOD_OVERRIDE=FQ","FILING_STATUS=MR","FA_ADJUSTED=GAAP","Sort=A","Dates=H","DateFormat=P","Fill=—","Direction=H","UseDPDF=Y")</f>
        <v>0.38329999999999997</v>
      </c>
      <c r="R46" s="17">
        <f>_xll.BDH("WMT US Equity","IS_DILUTED_EPS","FQ4 2020","FQ4 2020","Currency=USD","Period=FQ","BEST_FPERIOD_OVERRIDE=FQ","FILING_STATUS=MR","FA_ADJUSTED=GAAP","Sort=A","Dates=H","DateFormat=P","Fill=—","Direction=H","UseDPDF=Y")</f>
        <v>0.48330000000000001</v>
      </c>
      <c r="S46" s="17">
        <f>_xll.BDH("WMT US Equity","IS_DILUTED_EPS","FQ1 2021","FQ1 2021","Currency=USD","Period=FQ","BEST_FPERIOD_OVERRIDE=FQ","FILING_STATUS=MR","FA_ADJUSTED=GAAP","Sort=A","Dates=H","DateFormat=P","Fill=—","Direction=H","UseDPDF=Y")</f>
        <v>0.4667</v>
      </c>
      <c r="T46" s="17">
        <f>_xll.BDH("WMT US Equity","IS_DILUTED_EPS","FQ2 2021","FQ2 2021","Currency=USD","Period=FQ","BEST_FPERIOD_OVERRIDE=FQ","FILING_STATUS=MR","FA_ADJUSTED=GAAP","Sort=A","Dates=H","DateFormat=P","Fill=—","Direction=H","UseDPDF=Y")</f>
        <v>0.75670000000000004</v>
      </c>
      <c r="U46" s="17">
        <f>_xll.BDH("WMT US Equity","IS_DILUTED_EPS","FQ3 2021","FQ3 2021","Currency=USD","Period=FQ","BEST_FPERIOD_OVERRIDE=FQ","FILING_STATUS=MR","FA_ADJUSTED=GAAP","Sort=A","Dates=H","DateFormat=P","Fill=—","Direction=H","UseDPDF=Y")</f>
        <v>0.6</v>
      </c>
      <c r="V46" s="17">
        <f>_xll.BDH("WMT US Equity","IS_DILUTED_EPS","FQ4 2021","FQ4 2021","Currency=USD","Period=FQ","BEST_FPERIOD_OVERRIDE=FQ","FILING_STATUS=MR","FA_ADJUSTED=GAAP","Sort=A","Dates=H","DateFormat=P","Fill=—","Direction=H","UseDPDF=Y")</f>
        <v>-0.2467</v>
      </c>
      <c r="W46" s="17">
        <f>_xll.BDH("WMT US Equity","IS_DILUTED_EPS","FQ1 2022","FQ1 2022","Currency=USD","Period=FQ","BEST_FPERIOD_OVERRIDE=FQ","FILING_STATUS=MR","FA_ADJUSTED=GAAP","Sort=A","Dates=H","DateFormat=P","Fill=—","Direction=H","UseDPDF=Y")</f>
        <v>0.32329999999999998</v>
      </c>
      <c r="X46" s="17">
        <f>_xll.BDH("WMT US Equity","IS_DILUTED_EPS","FQ2 2022","FQ2 2022","Currency=USD","Period=FQ","BEST_FPERIOD_OVERRIDE=FQ","FILING_STATUS=MR","FA_ADJUSTED=GAAP","Sort=A","Dates=H","DateFormat=P","Fill=—","Direction=H","UseDPDF=Y")</f>
        <v>0.50670000000000004</v>
      </c>
      <c r="Y46" s="17">
        <f>_xll.BDH("WMT US Equity","IS_DILUTED_EPS","FQ3 2022","FQ3 2022","Currency=USD","Period=FQ","BEST_FPERIOD_OVERRIDE=FQ","FILING_STATUS=MR","FA_ADJUSTED=GAAP","Sort=A","Dates=H","DateFormat=P","Fill=—","Direction=H","UseDPDF=Y")</f>
        <v>0.37</v>
      </c>
      <c r="Z46" s="17">
        <f>_xll.BDH("WMT US Equity","IS_DILUTED_EPS","FQ4 2022","FQ4 2022","Currency=USD","Period=FQ","BEST_FPERIOD_OVERRIDE=FQ","FILING_STATUS=MR","FA_ADJUSTED=GAAP","Sort=A","Dates=H","DateFormat=P","Fill=—","Direction=H","UseDPDF=Y")</f>
        <v>0.42670000000000002</v>
      </c>
      <c r="AA46" s="17">
        <f>_xll.BDH("WMT US Equity","IS_DILUTED_EPS","FQ1 2023","FQ1 2023","Currency=USD","Period=FQ","BEST_FPERIOD_OVERRIDE=FQ","FILING_STATUS=MR","FA_ADJUSTED=GAAP","Sort=A","Dates=H","DateFormat=P","Fill=—","Direction=H","UseDPDF=Y")</f>
        <v>0.2467</v>
      </c>
      <c r="AB46" s="17">
        <f>_xll.BDH("WMT US Equity","IS_DILUTED_EPS","FQ2 2023","FQ2 2023","Currency=USD","Period=FQ","BEST_FPERIOD_OVERRIDE=FQ","FILING_STATUS=MR","FA_ADJUSTED=GAAP","Sort=A","Dates=H","DateFormat=P","Fill=—","Direction=H","UseDPDF=Y")</f>
        <v>0.62670000000000003</v>
      </c>
      <c r="AC46" s="17">
        <f>_xll.BDH("WMT US Equity","IS_DILUTED_EPS","FQ3 2023","FQ3 2023","Currency=USD","Period=FQ","BEST_FPERIOD_OVERRIDE=FQ","FILING_STATUS=MR","FA_ADJUSTED=GAAP","Sort=A","Dates=H","DateFormat=P","Fill=—","Direction=H","UseDPDF=Y")</f>
        <v>-0.22</v>
      </c>
      <c r="AD46" s="17">
        <f>_xll.BDH("WMT US Equity","IS_DILUTED_EPS","FQ4 2023","FQ4 2023","Currency=USD","Period=FQ","BEST_FPERIOD_OVERRIDE=FQ","FILING_STATUS=MR","FA_ADJUSTED=GAAP","Sort=A","Dates=H","DateFormat=P","Fill=—","Direction=H","UseDPDF=Y")</f>
        <v>0.77329999999999999</v>
      </c>
      <c r="AE46" s="17">
        <f>_xll.BDH("WMT US Equity","IS_DILUTED_EPS","FQ1 2024","FQ1 2024","Currency=USD","Period=FQ","BEST_FPERIOD_OVERRIDE=FQ","FILING_STATUS=MR","FA_ADJUSTED=GAAP","Sort=A","Dates=H","DateFormat=P","Fill=—","Direction=H","UseDPDF=Y")</f>
        <v>0.20669999999999999</v>
      </c>
      <c r="AF46" s="17">
        <f>_xll.BDH("WMT US Equity","IS_DILUTED_EPS","FQ2 2024","FQ2 2024","Currency=USD","Period=FQ","BEST_FPERIOD_OVERRIDE=FQ","FILING_STATUS=MR","FA_ADJUSTED=GAAP","Sort=A","Dates=H","DateFormat=P","Fill=—","Direction=H","UseDPDF=Y")</f>
        <v>0.97330000000000005</v>
      </c>
      <c r="AG46" s="17">
        <f>_xll.BDH("WMT US Equity","IS_DILUTED_EPS","FQ3 2024","FQ3 2024","Currency=USD","Period=FQ","BEST_FPERIOD_OVERRIDE=FQ","FILING_STATUS=MR","FA_ADJUSTED=GAAP","Sort=A","Dates=H","DateFormat=P","Fill=—","Direction=H","UseDPDF=Y")</f>
        <v>5.67E-2</v>
      </c>
      <c r="AH46" s="17">
        <f>_xll.BDH("WMT US Equity","IS_DILUTED_EPS","FQ4 2024","FQ4 2024","Currency=USD","Period=FQ","BEST_FPERIOD_OVERRIDE=FQ","FILING_STATUS=MR","FA_ADJUSTED=GAAP","Sort=A","Dates=H","DateFormat=P","Fill=—","Direction=H","UseDPDF=Y")</f>
        <v>0.67800000000000005</v>
      </c>
      <c r="AI46" s="17">
        <f>_xll.BDH("WMT US Equity","IS_DILUTED_EPS","FQ1 2025","FQ1 2025","Currency=USD","Period=FQ","BEST_FPERIOD_OVERRIDE=FQ","FILING_STATUS=MR","FA_ADJUSTED=GAAP","Sort=A","Dates=H","DateFormat=P","Fill=—","Direction=H","UseDPDF=Y")</f>
        <v>0.63</v>
      </c>
      <c r="AJ46" s="17">
        <f>_xll.BDH("WMT US Equity","IS_DILUTED_EPS","FQ2 2025","FQ2 2025","Currency=USD","Period=FQ","BEST_FPERIOD_OVERRIDE=FQ","FILING_STATUS=MR","FA_ADJUSTED=GAAP","Sort=A","Dates=H","DateFormat=P","Fill=—","Direction=H","UseDPDF=Y")</f>
        <v>0.56000000000000005</v>
      </c>
      <c r="AK46" s="17">
        <f>_xll.BDH("WMT US Equity","IS_DILUTED_EPS","FQ3 2025","FQ3 2025","Currency=USD","Period=FQ","BEST_FPERIOD_OVERRIDE=FQ","FILING_STATUS=MR","FA_ADJUSTED=GAAP","Sort=A","Dates=H","DateFormat=P","Fill=—","Direction=H","UseDPDF=Y")</f>
        <v>0.56999999999999995</v>
      </c>
      <c r="AL46" s="17">
        <f>_xll.BDH("WMT US Equity","IS_DILUTED_EPS","FQ4 2025","FQ4 2025","Currency=USD","Period=FQ","BEST_FPERIOD_OVERRIDE=FQ","FILING_STATUS=MR","FA_ADJUSTED=GAAP","Sort=A","Dates=H","DateFormat=P","Fill=—","Direction=H","UseDPDF=Y")</f>
        <v>0.65</v>
      </c>
      <c r="AM46" s="17">
        <f>_xll.BDH("WMT US Equity","IS_DILUTED_EPS","FQ1 2026","FQ1 2026","Currency=USD","Period=FQ","BEST_FPERIOD_OVERRIDE=FQ","FILING_STATUS=MR","FA_ADJUSTED=GAAP","Sort=A","Dates=H","DateFormat=P","Fill=—","Direction=H","UseDPDF=Y")</f>
        <v>0.56000000000000005</v>
      </c>
      <c r="AN46" s="17">
        <f>_xll.BDH("WMT US Equity","IS_DILUTED_EPS","FQ2 2026","FQ2 2026","Currency=USD","Period=FQ","BEST_FPERIOD_OVERRIDE=FQ","FILING_STATUS=MR","FA_ADJUSTED=GAAP","Sort=A","Dates=H","DateFormat=P","Fill=—","Direction=H","UseDPDF=Y")</f>
        <v>0.88</v>
      </c>
      <c r="AO46" s="17">
        <v>0.59</v>
      </c>
      <c r="AP46" s="17">
        <v>0.71399999999999997</v>
      </c>
    </row>
    <row r="47" spans="1:42" x14ac:dyDescent="0.3">
      <c r="A47" s="6" t="s">
        <v>138</v>
      </c>
      <c r="B47" s="6" t="s">
        <v>139</v>
      </c>
      <c r="C47" s="17">
        <f>_xll.BDH("WMT US Equity","IS_DIL_EPS_BEF_XO","FQ1 2017","FQ1 2017","Currency=USD","Period=FQ","BEST_FPERIOD_OVERRIDE=FQ","FILING_STATUS=MR","Sort=A","Dates=H","DateFormat=P","Fill=—","Direction=H","UseDPDF=Y")</f>
        <v>0.32669999999999999</v>
      </c>
      <c r="D47" s="17">
        <f>_xll.BDH("WMT US Equity","IS_DIL_EPS_BEF_XO","FQ2 2017","FQ2 2017","Currency=USD","Period=FQ","BEST_FPERIOD_OVERRIDE=FQ","FILING_STATUS=MR","Sort=A","Dates=H","DateFormat=P","Fill=—","Direction=H","UseDPDF=Y")</f>
        <v>0.40329999999999999</v>
      </c>
      <c r="E47" s="17">
        <f>_xll.BDH("WMT US Equity","IS_DIL_EPS_BEF_XO","FQ3 2017","FQ3 2017","Currency=USD","Period=FQ","BEST_FPERIOD_OVERRIDE=FQ","FILING_STATUS=MR","Sort=A","Dates=H","DateFormat=P","Fill=—","Direction=H","UseDPDF=Y")</f>
        <v>0.32669999999999999</v>
      </c>
      <c r="F47" s="17">
        <f>_xll.BDH("WMT US Equity","IS_DIL_EPS_BEF_XO","FQ4 2017","FQ4 2017","Currency=USD","Period=FQ","BEST_FPERIOD_OVERRIDE=FQ","FILING_STATUS=MR","Sort=A","Dates=H","DateFormat=P","Fill=—","Direction=H","UseDPDF=Y")</f>
        <v>0.40670000000000001</v>
      </c>
      <c r="G47" s="17">
        <f>_xll.BDH("WMT US Equity","IS_DIL_EPS_BEF_XO","FQ1 2018","FQ1 2018","Currency=USD","Period=FQ","BEST_FPERIOD_OVERRIDE=FQ","FILING_STATUS=MR","Sort=A","Dates=H","DateFormat=P","Fill=—","Direction=H","UseDPDF=Y")</f>
        <v>0.33329999999999999</v>
      </c>
      <c r="H47" s="17">
        <f>_xll.BDH("WMT US Equity","IS_DIL_EPS_BEF_XO","FQ2 2018","FQ2 2018","Currency=USD","Period=FQ","BEST_FPERIOD_OVERRIDE=FQ","FILING_STATUS=MR","Sort=A","Dates=H","DateFormat=P","Fill=—","Direction=H","UseDPDF=Y")</f>
        <v>0.32</v>
      </c>
      <c r="I47" s="17">
        <f>_xll.BDH("WMT US Equity","IS_DIL_EPS_BEF_XO","FQ3 2018","FQ3 2018","Currency=USD","Period=FQ","BEST_FPERIOD_OVERRIDE=FQ","FILING_STATUS=MR","Sort=A","Dates=H","DateFormat=P","Fill=—","Direction=H","UseDPDF=Y")</f>
        <v>0.1933</v>
      </c>
      <c r="J47" s="17">
        <f>_xll.BDH("WMT US Equity","IS_DIL_EPS_BEF_XO","FQ4 2018","FQ4 2018","Currency=USD","Period=FQ","BEST_FPERIOD_OVERRIDE=FQ","FILING_STATUS=MR","Sort=A","Dates=H","DateFormat=P","Fill=—","Direction=H","UseDPDF=Y")</f>
        <v>0.24329999999999999</v>
      </c>
      <c r="K47" s="17">
        <f>_xll.BDH("WMT US Equity","IS_DIL_EPS_BEF_XO","FQ1 2019","FQ1 2019","Currency=USD","Period=FQ","BEST_FPERIOD_OVERRIDE=FQ","FILING_STATUS=MR","Sort=A","Dates=H","DateFormat=P","Fill=—","Direction=H","UseDPDF=Y")</f>
        <v>0.24</v>
      </c>
      <c r="L47" s="17">
        <f>_xll.BDH("WMT US Equity","IS_DIL_EPS_BEF_XO","FQ2 2019","FQ2 2019","Currency=USD","Period=FQ","BEST_FPERIOD_OVERRIDE=FQ","FILING_STATUS=MR","Sort=A","Dates=H","DateFormat=P","Fill=—","Direction=H","UseDPDF=Y")</f>
        <v>-9.6699999999999994E-2</v>
      </c>
      <c r="M47" s="17">
        <f>_xll.BDH("WMT US Equity","IS_DIL_EPS_BEF_XO","FQ3 2019","FQ3 2019","Currency=USD","Period=FQ","BEST_FPERIOD_OVERRIDE=FQ","FILING_STATUS=MR","Sort=A","Dates=H","DateFormat=P","Fill=—","Direction=H","UseDPDF=Y")</f>
        <v>0.1933</v>
      </c>
      <c r="N47" s="17">
        <f>_xll.BDH("WMT US Equity","IS_DIL_EPS_BEF_XO","FQ4 2019","FQ4 2019","Currency=USD","Period=FQ","BEST_FPERIOD_OVERRIDE=FQ","FILING_STATUS=MR","Sort=A","Dates=H","DateFormat=P","Fill=—","Direction=H","UseDPDF=Y")</f>
        <v>0.42330000000000001</v>
      </c>
      <c r="O47" s="17">
        <f>_xll.BDH("WMT US Equity","IS_DIL_EPS_BEF_XO","FQ1 2020","FQ1 2020","Currency=USD","Period=FQ","BEST_FPERIOD_OVERRIDE=FQ","FILING_STATUS=MR","Sort=A","Dates=H","DateFormat=P","Fill=—","Direction=H","UseDPDF=Y")</f>
        <v>0.44330000000000003</v>
      </c>
      <c r="P47" s="17">
        <f>_xll.BDH("WMT US Equity","IS_DIL_EPS_BEF_XO","FQ2 2020","FQ2 2020","Currency=USD","Period=FQ","BEST_FPERIOD_OVERRIDE=FQ","FILING_STATUS=MR","Sort=A","Dates=H","DateFormat=P","Fill=—","Direction=H","UseDPDF=Y")</f>
        <v>0.42</v>
      </c>
      <c r="Q47" s="17">
        <f>_xll.BDH("WMT US Equity","IS_DIL_EPS_BEF_XO","FQ3 2020","FQ3 2020","Currency=USD","Period=FQ","BEST_FPERIOD_OVERRIDE=FQ","FILING_STATUS=MR","Sort=A","Dates=H","DateFormat=P","Fill=—","Direction=H","UseDPDF=Y")</f>
        <v>0.38329999999999997</v>
      </c>
      <c r="R47" s="17">
        <f>_xll.BDH("WMT US Equity","IS_DIL_EPS_BEF_XO","FQ4 2020","FQ4 2020","Currency=USD","Period=FQ","BEST_FPERIOD_OVERRIDE=FQ","FILING_STATUS=MR","Sort=A","Dates=H","DateFormat=P","Fill=—","Direction=H","UseDPDF=Y")</f>
        <v>0.48330000000000001</v>
      </c>
      <c r="S47" s="17">
        <f>_xll.BDH("WMT US Equity","IS_DIL_EPS_BEF_XO","FQ1 2021","FQ1 2021","Currency=USD","Period=FQ","BEST_FPERIOD_OVERRIDE=FQ","FILING_STATUS=MR","Sort=A","Dates=H","DateFormat=P","Fill=—","Direction=H","UseDPDF=Y")</f>
        <v>0.4667</v>
      </c>
      <c r="T47" s="17">
        <f>_xll.BDH("WMT US Equity","IS_DIL_EPS_BEF_XO","FQ2 2021","FQ2 2021","Currency=USD","Period=FQ","BEST_FPERIOD_OVERRIDE=FQ","FILING_STATUS=MR","Sort=A","Dates=H","DateFormat=P","Fill=—","Direction=H","UseDPDF=Y")</f>
        <v>0.75670000000000004</v>
      </c>
      <c r="U47" s="17">
        <f>_xll.BDH("WMT US Equity","IS_DIL_EPS_BEF_XO","FQ3 2021","FQ3 2021","Currency=USD","Period=FQ","BEST_FPERIOD_OVERRIDE=FQ","FILING_STATUS=MR","Sort=A","Dates=H","DateFormat=P","Fill=—","Direction=H","UseDPDF=Y")</f>
        <v>0.6</v>
      </c>
      <c r="V47" s="17">
        <f>_xll.BDH("WMT US Equity","IS_DIL_EPS_BEF_XO","FQ4 2021","FQ4 2021","Currency=USD","Period=FQ","BEST_FPERIOD_OVERRIDE=FQ","FILING_STATUS=MR","Sort=A","Dates=H","DateFormat=P","Fill=—","Direction=H","UseDPDF=Y")</f>
        <v>-0.2467</v>
      </c>
      <c r="W47" s="17">
        <f>_xll.BDH("WMT US Equity","IS_DIL_EPS_BEF_XO","FQ1 2022","FQ1 2022","Currency=USD","Period=FQ","BEST_FPERIOD_OVERRIDE=FQ","FILING_STATUS=MR","Sort=A","Dates=H","DateFormat=P","Fill=—","Direction=H","UseDPDF=Y")</f>
        <v>0.32329999999999998</v>
      </c>
      <c r="X47" s="17">
        <f>_xll.BDH("WMT US Equity","IS_DIL_EPS_BEF_XO","FQ2 2022","FQ2 2022","Currency=USD","Period=FQ","BEST_FPERIOD_OVERRIDE=FQ","FILING_STATUS=MR","Sort=A","Dates=H","DateFormat=P","Fill=—","Direction=H","UseDPDF=Y")</f>
        <v>0.50670000000000004</v>
      </c>
      <c r="Y47" s="17">
        <f>_xll.BDH("WMT US Equity","IS_DIL_EPS_BEF_XO","FQ3 2022","FQ3 2022","Currency=USD","Period=FQ","BEST_FPERIOD_OVERRIDE=FQ","FILING_STATUS=MR","Sort=A","Dates=H","DateFormat=P","Fill=—","Direction=H","UseDPDF=Y")</f>
        <v>0.37</v>
      </c>
      <c r="Z47" s="17">
        <f>_xll.BDH("WMT US Equity","IS_DIL_EPS_BEF_XO","FQ4 2022","FQ4 2022","Currency=USD","Period=FQ","BEST_FPERIOD_OVERRIDE=FQ","FILING_STATUS=MR","Sort=A","Dates=H","DateFormat=P","Fill=—","Direction=H","UseDPDF=Y")</f>
        <v>0.42670000000000002</v>
      </c>
      <c r="AA47" s="17">
        <f>_xll.BDH("WMT US Equity","IS_DIL_EPS_BEF_XO","FQ1 2023","FQ1 2023","Currency=USD","Period=FQ","BEST_FPERIOD_OVERRIDE=FQ","FILING_STATUS=MR","Sort=A","Dates=H","DateFormat=P","Fill=—","Direction=H","UseDPDF=Y")</f>
        <v>0.2467</v>
      </c>
      <c r="AB47" s="17">
        <f>_xll.BDH("WMT US Equity","IS_DIL_EPS_BEF_XO","FQ2 2023","FQ2 2023","Currency=USD","Period=FQ","BEST_FPERIOD_OVERRIDE=FQ","FILING_STATUS=MR","Sort=A","Dates=H","DateFormat=P","Fill=—","Direction=H","UseDPDF=Y")</f>
        <v>0.62670000000000003</v>
      </c>
      <c r="AC47" s="17">
        <f>_xll.BDH("WMT US Equity","IS_DIL_EPS_BEF_XO","FQ3 2023","FQ3 2023","Currency=USD","Period=FQ","BEST_FPERIOD_OVERRIDE=FQ","FILING_STATUS=MR","Sort=A","Dates=H","DateFormat=P","Fill=—","Direction=H","UseDPDF=Y")</f>
        <v>-0.22</v>
      </c>
      <c r="AD47" s="17">
        <f>_xll.BDH("WMT US Equity","IS_DIL_EPS_BEF_XO","FQ4 2023","FQ4 2023","Currency=USD","Period=FQ","BEST_FPERIOD_OVERRIDE=FQ","FILING_STATUS=MR","Sort=A","Dates=H","DateFormat=P","Fill=—","Direction=H","UseDPDF=Y")</f>
        <v>0.77329999999999999</v>
      </c>
      <c r="AE47" s="17">
        <f>_xll.BDH("WMT US Equity","IS_DIL_EPS_BEF_XO","FQ1 2024","FQ1 2024","Currency=USD","Period=FQ","BEST_FPERIOD_OVERRIDE=FQ","FILING_STATUS=MR","Sort=A","Dates=H","DateFormat=P","Fill=—","Direction=H","UseDPDF=Y")</f>
        <v>0.20669999999999999</v>
      </c>
      <c r="AF47" s="17">
        <f>_xll.BDH("WMT US Equity","IS_DIL_EPS_BEF_XO","FQ2 2024","FQ2 2024","Currency=USD","Period=FQ","BEST_FPERIOD_OVERRIDE=FQ","FILING_STATUS=MR","Sort=A","Dates=H","DateFormat=P","Fill=—","Direction=H","UseDPDF=Y")</f>
        <v>0.97330000000000005</v>
      </c>
      <c r="AG47" s="17">
        <f>_xll.BDH("WMT US Equity","IS_DIL_EPS_BEF_XO","FQ3 2024","FQ3 2024","Currency=USD","Period=FQ","BEST_FPERIOD_OVERRIDE=FQ","FILING_STATUS=MR","Sort=A","Dates=H","DateFormat=P","Fill=—","Direction=H","UseDPDF=Y")</f>
        <v>5.67E-2</v>
      </c>
      <c r="AH47" s="17">
        <f>_xll.BDH("WMT US Equity","IS_DIL_EPS_BEF_XO","FQ4 2024","FQ4 2024","Currency=USD","Period=FQ","BEST_FPERIOD_OVERRIDE=FQ","FILING_STATUS=MR","Sort=A","Dates=H","DateFormat=P","Fill=—","Direction=H","UseDPDF=Y")</f>
        <v>0.67800000000000005</v>
      </c>
      <c r="AI47" s="17">
        <f>_xll.BDH("WMT US Equity","IS_DIL_EPS_BEF_XO","FQ1 2025","FQ1 2025","Currency=USD","Period=FQ","BEST_FPERIOD_OVERRIDE=FQ","FILING_STATUS=MR","Sort=A","Dates=H","DateFormat=P","Fill=—","Direction=H","UseDPDF=Y")</f>
        <v>0.63</v>
      </c>
      <c r="AJ47" s="17">
        <f>_xll.BDH("WMT US Equity","IS_DIL_EPS_BEF_XO","FQ2 2025","FQ2 2025","Currency=USD","Period=FQ","BEST_FPERIOD_OVERRIDE=FQ","FILING_STATUS=MR","Sort=A","Dates=H","DateFormat=P","Fill=—","Direction=H","UseDPDF=Y")</f>
        <v>0.56000000000000005</v>
      </c>
      <c r="AK47" s="17">
        <f>_xll.BDH("WMT US Equity","IS_DIL_EPS_BEF_XO","FQ3 2025","FQ3 2025","Currency=USD","Period=FQ","BEST_FPERIOD_OVERRIDE=FQ","FILING_STATUS=MR","Sort=A","Dates=H","DateFormat=P","Fill=—","Direction=H","UseDPDF=Y")</f>
        <v>0.56999999999999995</v>
      </c>
      <c r="AL47" s="17">
        <f>_xll.BDH("WMT US Equity","IS_DIL_EPS_BEF_XO","FQ4 2025","FQ4 2025","Currency=USD","Period=FQ","BEST_FPERIOD_OVERRIDE=FQ","FILING_STATUS=MR","Sort=A","Dates=H","DateFormat=P","Fill=—","Direction=H","UseDPDF=Y")</f>
        <v>0.65</v>
      </c>
      <c r="AM47" s="17">
        <f>_xll.BDH("WMT US Equity","IS_DIL_EPS_BEF_XO","FQ1 2026","FQ1 2026","Currency=USD","Period=FQ","BEST_FPERIOD_OVERRIDE=FQ","FILING_STATUS=MR","Sort=A","Dates=H","DateFormat=P","Fill=—","Direction=H","UseDPDF=Y")</f>
        <v>0.56000000000000005</v>
      </c>
      <c r="AN47" s="17">
        <f>_xll.BDH("WMT US Equity","IS_DIL_EPS_BEF_XO","FQ2 2026","FQ2 2026","Currency=USD","Period=FQ","BEST_FPERIOD_OVERRIDE=FQ","FILING_STATUS=MR","Sort=A","Dates=H","DateFormat=P","Fill=—","Direction=H","UseDPDF=Y")</f>
        <v>0.88</v>
      </c>
      <c r="AO47" s="17">
        <v>0.59</v>
      </c>
      <c r="AP47" s="17">
        <v>0.71399999999999997</v>
      </c>
    </row>
    <row r="48" spans="1:42" x14ac:dyDescent="0.3">
      <c r="A48" s="6" t="s">
        <v>140</v>
      </c>
      <c r="B48" s="6" t="s">
        <v>141</v>
      </c>
      <c r="C48" s="17">
        <f>_xll.BDH("WMT US Equity","IS_DIL_EPS_CONT_OPS","FQ1 2017","FQ1 2017","Currency=USD","Period=FQ","BEST_FPERIOD_OVERRIDE=FQ","FILING_STATUS=MR","Sort=A","Dates=H","DateFormat=P","Fill=—","Direction=H","UseDPDF=Y")</f>
        <v>0.32669999999999999</v>
      </c>
      <c r="D48" s="17">
        <f>_xll.BDH("WMT US Equity","IS_DIL_EPS_CONT_OPS","FQ2 2017","FQ2 2017","Currency=USD","Period=FQ","BEST_FPERIOD_OVERRIDE=FQ","FILING_STATUS=MR","Sort=A","Dates=H","DateFormat=P","Fill=—","Direction=H","UseDPDF=Y")</f>
        <v>0.35670000000000002</v>
      </c>
      <c r="E48" s="17">
        <f>_xll.BDH("WMT US Equity","IS_DIL_EPS_CONT_OPS","FQ3 2017","FQ3 2017","Currency=USD","Period=FQ","BEST_FPERIOD_OVERRIDE=FQ","FILING_STATUS=MR","Sort=A","Dates=H","DateFormat=P","Fill=—","Direction=H","UseDPDF=Y")</f>
        <v>0.32669999999999999</v>
      </c>
      <c r="F48" s="17">
        <f>_xll.BDH("WMT US Equity","IS_DIL_EPS_CONT_OPS","FQ4 2017","FQ4 2017","Currency=USD","Period=FQ","BEST_FPERIOD_OVERRIDE=FQ","FILING_STATUS=MR","Sort=A","Dates=H","DateFormat=P","Fill=—","Direction=H","UseDPDF=Y")</f>
        <v>0.43330000000000002</v>
      </c>
      <c r="G48" s="17">
        <f>_xll.BDH("WMT US Equity","IS_DIL_EPS_CONT_OPS","FQ1 2018","FQ1 2018","Currency=USD","Period=FQ","BEST_FPERIOD_OVERRIDE=FQ","FILING_STATUS=MR","Sort=A","Dates=H","DateFormat=P","Fill=—","Direction=H","UseDPDF=Y")</f>
        <v>0.33329999999999999</v>
      </c>
      <c r="H48" s="17">
        <f>_xll.BDH("WMT US Equity","IS_DIL_EPS_CONT_OPS","FQ2 2018","FQ2 2018","Currency=USD","Period=FQ","BEST_FPERIOD_OVERRIDE=FQ","FILING_STATUS=MR","Sort=A","Dates=H","DateFormat=P","Fill=—","Direction=H","UseDPDF=Y")</f>
        <v>0.36</v>
      </c>
      <c r="I48" s="17">
        <f>_xll.BDH("WMT US Equity","IS_DIL_EPS_CONT_OPS","FQ3 2018","FQ3 2018","Currency=USD","Period=FQ","BEST_FPERIOD_OVERRIDE=FQ","FILING_STATUS=MR","Sort=A","Dates=H","DateFormat=P","Fill=—","Direction=H","UseDPDF=Y")</f>
        <v>0.33329999999999999</v>
      </c>
      <c r="J48" s="17">
        <f>_xll.BDH("WMT US Equity","IS_DIL_EPS_CONT_OPS","FQ4 2018","FQ4 2018","Currency=USD","Period=FQ","BEST_FPERIOD_OVERRIDE=FQ","FILING_STATUS=MR","Sort=A","Dates=H","DateFormat=P","Fill=—","Direction=H","UseDPDF=Y")</f>
        <v>0.44330000000000003</v>
      </c>
      <c r="K48" s="17">
        <f>_xll.BDH("WMT US Equity","IS_DIL_EPS_CONT_OPS","FQ1 2019","FQ1 2019","Currency=USD","Period=FQ","BEST_FPERIOD_OVERRIDE=FQ","FILING_STATUS=MR","Sort=A","Dates=H","DateFormat=P","Fill=—","Direction=H","UseDPDF=Y")</f>
        <v>0.38</v>
      </c>
      <c r="L48" s="17">
        <f>_xll.BDH("WMT US Equity","IS_DIL_EPS_CONT_OPS","FQ2 2019","FQ2 2019","Currency=USD","Period=FQ","BEST_FPERIOD_OVERRIDE=FQ","FILING_STATUS=MR","Sort=A","Dates=H","DateFormat=P","Fill=—","Direction=H","UseDPDF=Y")</f>
        <v>0.42920000000000003</v>
      </c>
      <c r="M48" s="17">
        <f>_xll.BDH("WMT US Equity","IS_DIL_EPS_CONT_OPS","FQ3 2019","FQ3 2019","Currency=USD","Period=FQ","BEST_FPERIOD_OVERRIDE=FQ","FILING_STATUS=MR","Sort=A","Dates=H","DateFormat=P","Fill=—","Direction=H","UseDPDF=Y")</f>
        <v>0.36</v>
      </c>
      <c r="N48" s="17">
        <f>_xll.BDH("WMT US Equity","IS_DIL_EPS_CONT_OPS","FQ4 2019","FQ4 2019","Currency=USD","Period=FQ","BEST_FPERIOD_OVERRIDE=FQ","FILING_STATUS=MR","Sort=A","Dates=H","DateFormat=P","Fill=—","Direction=H","UseDPDF=Y")</f>
        <v>0.47</v>
      </c>
      <c r="O48" s="17">
        <f>_xll.BDH("WMT US Equity","IS_DIL_EPS_CONT_OPS","FQ1 2020","FQ1 2020","Currency=USD","Period=FQ","BEST_FPERIOD_OVERRIDE=FQ","FILING_STATUS=MR","Sort=A","Dates=H","DateFormat=P","Fill=—","Direction=H","UseDPDF=Y")</f>
        <v>0.37669999999999998</v>
      </c>
      <c r="P48" s="17">
        <f>_xll.BDH("WMT US Equity","IS_DIL_EPS_CONT_OPS","FQ2 2020","FQ2 2020","Currency=USD","Period=FQ","BEST_FPERIOD_OVERRIDE=FQ","FILING_STATUS=MR","Sort=A","Dates=H","DateFormat=P","Fill=—","Direction=H","UseDPDF=Y")</f>
        <v>0.42330000000000001</v>
      </c>
      <c r="Q48" s="17">
        <f>_xll.BDH("WMT US Equity","IS_DIL_EPS_CONT_OPS","FQ3 2020","FQ3 2020","Currency=USD","Period=FQ","BEST_FPERIOD_OVERRIDE=FQ","FILING_STATUS=MR","Sort=A","Dates=H","DateFormat=P","Fill=—","Direction=H","UseDPDF=Y")</f>
        <v>0.3866</v>
      </c>
      <c r="R48" s="17">
        <f>_xll.BDH("WMT US Equity","IS_DIL_EPS_CONT_OPS","FQ4 2020","FQ4 2020","Currency=USD","Period=FQ","BEST_FPERIOD_OVERRIDE=FQ","FILING_STATUS=MR","Sort=A","Dates=H","DateFormat=P","Fill=—","Direction=H","UseDPDF=Y")</f>
        <v>0.46</v>
      </c>
      <c r="S48" s="17">
        <f>_xll.BDH("WMT US Equity","IS_DIL_EPS_CONT_OPS","FQ1 2021","FQ1 2021","Currency=USD","Period=FQ","BEST_FPERIOD_OVERRIDE=FQ","FILING_STATUS=MR","Sort=A","Dates=H","DateFormat=P","Fill=—","Direction=H","UseDPDF=Y")</f>
        <v>0.39329999999999998</v>
      </c>
      <c r="T48" s="17">
        <f>_xll.BDH("WMT US Equity","IS_DIL_EPS_CONT_OPS","FQ2 2021","FQ2 2021","Currency=USD","Period=FQ","BEST_FPERIOD_OVERRIDE=FQ","FILING_STATUS=MR","Sort=A","Dates=H","DateFormat=P","Fill=—","Direction=H","UseDPDF=Y")</f>
        <v>0.50580000000000003</v>
      </c>
      <c r="U48" s="17">
        <f>_xll.BDH("WMT US Equity","IS_DIL_EPS_CONT_OPS","FQ3 2021","FQ3 2021","Currency=USD","Period=FQ","BEST_FPERIOD_OVERRIDE=FQ","FILING_STATUS=MR","Sort=A","Dates=H","DateFormat=P","Fill=—","Direction=H","UseDPDF=Y")</f>
        <v>0.44669999999999999</v>
      </c>
      <c r="V48" s="17">
        <f>_xll.BDH("WMT US Equity","IS_DIL_EPS_CONT_OPS","FQ4 2021","FQ4 2021","Currency=USD","Period=FQ","BEST_FPERIOD_OVERRIDE=FQ","FILING_STATUS=MR","Sort=A","Dates=H","DateFormat=P","Fill=—","Direction=H","UseDPDF=Y")</f>
        <v>0.46329999999999999</v>
      </c>
      <c r="W48" s="17">
        <f>_xll.BDH("WMT US Equity","IS_DIL_EPS_CONT_OPS","FQ1 2022","FQ1 2022","Currency=USD","Period=FQ","BEST_FPERIOD_OVERRIDE=FQ","FILING_STATUS=MR","Sort=A","Dates=H","DateFormat=P","Fill=—","Direction=H","UseDPDF=Y")</f>
        <v>0.56330000000000002</v>
      </c>
      <c r="X48" s="17">
        <f>_xll.BDH("WMT US Equity","IS_DIL_EPS_CONT_OPS","FQ2 2022","FQ2 2022","Currency=USD","Period=FQ","BEST_FPERIOD_OVERRIDE=FQ","FILING_STATUS=MR","Sort=A","Dates=H","DateFormat=P","Fill=—","Direction=H","UseDPDF=Y")</f>
        <v>0.59330000000000005</v>
      </c>
      <c r="Y48" s="17">
        <f>_xll.BDH("WMT US Equity","IS_DIL_EPS_CONT_OPS","FQ3 2022","FQ3 2022","Currency=USD","Period=FQ","BEST_FPERIOD_OVERRIDE=FQ","FILING_STATUS=MR","Sort=A","Dates=H","DateFormat=P","Fill=—","Direction=H","UseDPDF=Y")</f>
        <v>0.48330000000000001</v>
      </c>
      <c r="Z48" s="17">
        <f>_xll.BDH("WMT US Equity","IS_DIL_EPS_CONT_OPS","FQ4 2022","FQ4 2022","Currency=USD","Period=FQ","BEST_FPERIOD_OVERRIDE=FQ","FILING_STATUS=MR","Sort=A","Dates=H","DateFormat=P","Fill=—","Direction=H","UseDPDF=Y")</f>
        <v>0.51</v>
      </c>
      <c r="AA48" s="17">
        <f>_xll.BDH("WMT US Equity","IS_DIL_EPS_CONT_OPS","FQ1 2023","FQ1 2023","Currency=USD","Period=FQ","BEST_FPERIOD_OVERRIDE=FQ","FILING_STATUS=MR","Sort=A","Dates=H","DateFormat=P","Fill=—","Direction=H","UseDPDF=Y")</f>
        <v>0.43330000000000002</v>
      </c>
      <c r="AB48" s="17">
        <f>_xll.BDH("WMT US Equity","IS_DIL_EPS_CONT_OPS","FQ2 2023","FQ2 2023","Currency=USD","Period=FQ","BEST_FPERIOD_OVERRIDE=FQ","FILING_STATUS=MR","Sort=A","Dates=H","DateFormat=P","Fill=—","Direction=H","UseDPDF=Y")</f>
        <v>0.59</v>
      </c>
      <c r="AC48" s="17">
        <f>_xll.BDH("WMT US Equity","IS_DIL_EPS_CONT_OPS","FQ3 2023","FQ3 2023","Currency=USD","Period=FQ","BEST_FPERIOD_OVERRIDE=FQ","FILING_STATUS=MR","Sort=A","Dates=H","DateFormat=P","Fill=—","Direction=H","UseDPDF=Y")</f>
        <v>0.1489</v>
      </c>
      <c r="AD48" s="17">
        <f>_xll.BDH("WMT US Equity","IS_DIL_EPS_CONT_OPS","FQ4 2023","FQ4 2023","Currency=USD","Period=FQ","BEST_FPERIOD_OVERRIDE=FQ","FILING_STATUS=MR","Sort=A","Dates=H","DateFormat=P","Fill=—","Direction=H","UseDPDF=Y")</f>
        <v>0.56999999999999995</v>
      </c>
      <c r="AE48" s="17">
        <f>_xll.BDH("WMT US Equity","IS_DIL_EPS_CONT_OPS","FQ1 2024","FQ1 2024","Currency=USD","Period=FQ","BEST_FPERIOD_OVERRIDE=FQ","FILING_STATUS=MR","Sort=A","Dates=H","DateFormat=P","Fill=—","Direction=H","UseDPDF=Y")</f>
        <v>0.49</v>
      </c>
      <c r="AF48" s="17">
        <f>_xll.BDH("WMT US Equity","IS_DIL_EPS_CONT_OPS","FQ2 2024","FQ2 2024","Currency=USD","Period=FQ","BEST_FPERIOD_OVERRIDE=FQ","FILING_STATUS=MR","Sort=A","Dates=H","DateFormat=P","Fill=—","Direction=H","UseDPDF=Y")</f>
        <v>0.61329999999999996</v>
      </c>
      <c r="AG48" s="17">
        <f>_xll.BDH("WMT US Equity","IS_DIL_EPS_CONT_OPS","FQ3 2024","FQ3 2024","Currency=USD","Period=FQ","BEST_FPERIOD_OVERRIDE=FQ","FILING_STATUS=MR","Sort=A","Dates=H","DateFormat=P","Fill=—","Direction=H","UseDPDF=Y")</f>
        <v>0.52</v>
      </c>
      <c r="AH48" s="17">
        <f>_xll.BDH("WMT US Equity","IS_DIL_EPS_CONT_OPS","FQ4 2024","FQ4 2024","Currency=USD","Period=FQ","BEST_FPERIOD_OVERRIDE=FQ","FILING_STATUS=MR","Sort=A","Dates=H","DateFormat=P","Fill=—","Direction=H","UseDPDF=Y")</f>
        <v>0.60140000000000005</v>
      </c>
      <c r="AI48" s="17">
        <f>_xll.BDH("WMT US Equity","IS_DIL_EPS_CONT_OPS","FQ1 2025","FQ1 2025","Currency=USD","Period=FQ","BEST_FPERIOD_OVERRIDE=FQ","FILING_STATUS=MR","Sort=A","Dates=H","DateFormat=P","Fill=—","Direction=H","UseDPDF=Y")</f>
        <v>0.6</v>
      </c>
      <c r="AJ48" s="17">
        <f>_xll.BDH("WMT US Equity","IS_DIL_EPS_CONT_OPS","FQ2 2025","FQ2 2025","Currency=USD","Period=FQ","BEST_FPERIOD_OVERRIDE=FQ","FILING_STATUS=MR","Sort=A","Dates=H","DateFormat=P","Fill=—","Direction=H","UseDPDF=Y")</f>
        <v>0.6583</v>
      </c>
      <c r="AK48" s="17">
        <f>_xll.BDH("WMT US Equity","IS_DIL_EPS_CONT_OPS","FQ3 2025","FQ3 2025","Currency=USD","Period=FQ","BEST_FPERIOD_OVERRIDE=FQ","FILING_STATUS=MR","Sort=A","Dates=H","DateFormat=P","Fill=—","Direction=H","UseDPDF=Y")</f>
        <v>0.57950000000000002</v>
      </c>
      <c r="AL48" s="17">
        <f>_xll.BDH("WMT US Equity","IS_DIL_EPS_CONT_OPS","FQ4 2025","FQ4 2025","Currency=USD","Period=FQ","BEST_FPERIOD_OVERRIDE=FQ","FILING_STATUS=MR","Sort=A","Dates=H","DateFormat=P","Fill=—","Direction=H","UseDPDF=Y")</f>
        <v>0.66</v>
      </c>
      <c r="AM48" s="17">
        <f>_xll.BDH("WMT US Equity","IS_DIL_EPS_CONT_OPS","FQ1 2026","FQ1 2026","Currency=USD","Period=FQ","BEST_FPERIOD_OVERRIDE=FQ","FILING_STATUS=MR","Sort=A","Dates=H","DateFormat=P","Fill=—","Direction=H","UseDPDF=Y")</f>
        <v>0.61</v>
      </c>
      <c r="AN48" s="17">
        <f>_xll.BDH("WMT US Equity","IS_DIL_EPS_CONT_OPS","FQ2 2026","FQ2 2026","Currency=USD","Period=FQ","BEST_FPERIOD_OVERRIDE=FQ","FILING_STATUS=MR","Sort=A","Dates=H","DateFormat=P","Fill=—","Direction=H","UseDPDF=Y")</f>
        <v>0.67969999999999997</v>
      </c>
      <c r="AO48" s="17">
        <v>0.59899999999999998</v>
      </c>
      <c r="AP48" s="17">
        <v>0.72599999999999998</v>
      </c>
    </row>
    <row r="49" spans="1:42" x14ac:dyDescent="0.3">
      <c r="A49" s="6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  <row r="50" spans="1:42" x14ac:dyDescent="0.3">
      <c r="A50" s="6" t="s">
        <v>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1:42" x14ac:dyDescent="0.3">
      <c r="A51" s="10" t="s">
        <v>142</v>
      </c>
      <c r="B51" s="10" t="s">
        <v>143</v>
      </c>
      <c r="C51" s="12" t="s">
        <v>144</v>
      </c>
      <c r="D51" s="12" t="s">
        <v>144</v>
      </c>
      <c r="E51" s="12" t="s">
        <v>144</v>
      </c>
      <c r="F51" s="12" t="s">
        <v>144</v>
      </c>
      <c r="G51" s="12" t="s">
        <v>144</v>
      </c>
      <c r="H51" s="12" t="s">
        <v>144</v>
      </c>
      <c r="I51" s="12" t="s">
        <v>144</v>
      </c>
      <c r="J51" s="12" t="s">
        <v>144</v>
      </c>
      <c r="K51" s="12" t="s">
        <v>144</v>
      </c>
      <c r="L51" s="12" t="s">
        <v>144</v>
      </c>
      <c r="M51" s="12" t="s">
        <v>144</v>
      </c>
      <c r="N51" s="12" t="s">
        <v>144</v>
      </c>
      <c r="O51" s="12" t="s">
        <v>144</v>
      </c>
      <c r="P51" s="12" t="s">
        <v>144</v>
      </c>
      <c r="Q51" s="12" t="s">
        <v>144</v>
      </c>
      <c r="R51" s="12" t="s">
        <v>144</v>
      </c>
      <c r="S51" s="12" t="s">
        <v>144</v>
      </c>
      <c r="T51" s="12" t="s">
        <v>144</v>
      </c>
      <c r="U51" s="12" t="s">
        <v>144</v>
      </c>
      <c r="V51" s="12" t="s">
        <v>144</v>
      </c>
      <c r="W51" s="12" t="s">
        <v>144</v>
      </c>
      <c r="X51" s="12" t="s">
        <v>144</v>
      </c>
      <c r="Y51" s="12" t="s">
        <v>144</v>
      </c>
      <c r="Z51" s="12" t="s">
        <v>144</v>
      </c>
      <c r="AA51" s="12" t="s">
        <v>144</v>
      </c>
      <c r="AB51" s="12" t="s">
        <v>144</v>
      </c>
      <c r="AC51" s="12" t="s">
        <v>144</v>
      </c>
      <c r="AD51" s="12" t="s">
        <v>144</v>
      </c>
      <c r="AE51" s="12" t="s">
        <v>144</v>
      </c>
      <c r="AF51" s="12" t="s">
        <v>144</v>
      </c>
      <c r="AG51" s="12" t="s">
        <v>144</v>
      </c>
      <c r="AH51" s="12" t="s">
        <v>144</v>
      </c>
      <c r="AI51" s="12" t="s">
        <v>144</v>
      </c>
      <c r="AJ51" s="12" t="s">
        <v>144</v>
      </c>
      <c r="AK51" s="12" t="s">
        <v>144</v>
      </c>
      <c r="AL51" s="12" t="s">
        <v>144</v>
      </c>
      <c r="AM51" s="12" t="s">
        <v>144</v>
      </c>
      <c r="AN51" s="12" t="s">
        <v>144</v>
      </c>
      <c r="AO51" s="12"/>
      <c r="AP51" s="12"/>
    </row>
    <row r="52" spans="1:42" x14ac:dyDescent="0.3">
      <c r="A52" s="10" t="s">
        <v>145</v>
      </c>
      <c r="B52" s="10" t="s">
        <v>145</v>
      </c>
      <c r="C52" s="13">
        <f>_xll.BDH("WMT US Equity","EBITDA","FQ1 2017","FQ1 2017","Currency=USD","Period=FQ","BEST_FPERIOD_OVERRIDE=FQ","FILING_STATUS=MR","SCALING_FORMAT=MLN","FA_ADJUSTED=GAAP","Sort=A","Dates=H","DateFormat=P","Fill=—","Direction=H","UseDPDF=Y")</f>
        <v>7663</v>
      </c>
      <c r="D52" s="13">
        <f>_xll.BDH("WMT US Equity","EBITDA","FQ2 2017","FQ2 2017","Currency=USD","Period=FQ","BEST_FPERIOD_OVERRIDE=FQ","FILING_STATUS=MR","SCALING_FORMAT=MLN","FA_ADJUSTED=GAAP","Sort=A","Dates=H","DateFormat=P","Fill=—","Direction=H","UseDPDF=Y")</f>
        <v>8682</v>
      </c>
      <c r="E52" s="13">
        <f>_xll.BDH("WMT US Equity","EBITDA","FQ3 2017","FQ3 2017","Currency=USD","Period=FQ","BEST_FPERIOD_OVERRIDE=FQ","FILING_STATUS=MR","SCALING_FORMAT=MLN","FA_ADJUSTED=GAAP","Sort=A","Dates=H","DateFormat=P","Fill=—","Direction=H","UseDPDF=Y")</f>
        <v>7588</v>
      </c>
      <c r="F52" s="13">
        <f>_xll.BDH("WMT US Equity","EBITDA","FQ4 2017","FQ4 2017","Currency=USD","Period=FQ","BEST_FPERIOD_OVERRIDE=FQ","FILING_STATUS=MR","SCALING_FORMAT=MLN","FA_ADJUSTED=GAAP","Sort=A","Dates=H","DateFormat=P","Fill=—","Direction=H","UseDPDF=Y")</f>
        <v>8911</v>
      </c>
      <c r="G52" s="13">
        <f>_xll.BDH("WMT US Equity","EBITDA","FQ1 2018","FQ1 2018","Currency=USD","Period=FQ","BEST_FPERIOD_OVERRIDE=FQ","FILING_STATUS=MR","SCALING_FORMAT=MLN","FA_ADJUSTED=GAAP","Sort=A","Dates=H","DateFormat=P","Fill=—","Direction=H","UseDPDF=Y")</f>
        <v>7788</v>
      </c>
      <c r="H52" s="13">
        <f>_xll.BDH("WMT US Equity","EBITDA","FQ2 2018","FQ2 2018","Currency=USD","Period=FQ","BEST_FPERIOD_OVERRIDE=FQ","FILING_STATUS=MR","SCALING_FORMAT=MLN","FA_ADJUSTED=GAAP","Sort=A","Dates=H","DateFormat=P","Fill=—","Direction=H","UseDPDF=Y")</f>
        <v>8587</v>
      </c>
      <c r="I52" s="13">
        <f>_xll.BDH("WMT US Equity","EBITDA","FQ3 2018","FQ3 2018","Currency=USD","Period=FQ","BEST_FPERIOD_OVERRIDE=FQ","FILING_STATUS=MR","SCALING_FORMAT=MLN","FA_ADJUSTED=GAAP","Sort=A","Dates=H","DateFormat=P","Fill=—","Direction=H","UseDPDF=Y")</f>
        <v>7422</v>
      </c>
      <c r="J52" s="13">
        <f>_xll.BDH("WMT US Equity","EBITDA","FQ4 2018","FQ4 2018","Currency=USD","Period=FQ","BEST_FPERIOD_OVERRIDE=FQ","FILING_STATUS=MR","SCALING_FORMAT=MLN","FA_ADJUSTED=GAAP","Sort=A","Dates=H","DateFormat=P","Fill=—","Direction=H","UseDPDF=Y")</f>
        <v>7169</v>
      </c>
      <c r="K52" s="13">
        <f>_xll.BDH("WMT US Equity","EBITDA","FQ1 2019","FQ1 2019","Currency=USD","Period=FQ","BEST_FPERIOD_OVERRIDE=FQ","FILING_STATUS=MR","SCALING_FORMAT=MLN","FA_ADJUSTED=GAAP","Sort=A","Dates=H","DateFormat=P","Fill=—","Direction=H","UseDPDF=Y")</f>
        <v>7832</v>
      </c>
      <c r="L52" s="13">
        <f>_xll.BDH("WMT US Equity","EBITDA","FQ2 2019","FQ2 2019","Currency=USD","Period=FQ","BEST_FPERIOD_OVERRIDE=FQ","FILING_STATUS=MR","SCALING_FORMAT=MLN","FA_ADJUSTED=GAAP","Sort=A","Dates=H","DateFormat=P","Fill=—","Direction=H","UseDPDF=Y")</f>
        <v>8404</v>
      </c>
      <c r="M52" s="13">
        <f>_xll.BDH("WMT US Equity","EBITDA","FQ3 2019","FQ3 2019","Currency=USD","Period=FQ","BEST_FPERIOD_OVERRIDE=FQ","FILING_STATUS=MR","SCALING_FORMAT=MLN","FA_ADJUSTED=GAAP","Sort=A","Dates=H","DateFormat=P","Fill=—","Direction=H","UseDPDF=Y")</f>
        <v>7601</v>
      </c>
      <c r="N52" s="13">
        <f>_xll.BDH("WMT US Equity","EBITDA","FQ4 2019","FQ4 2019","Currency=USD","Period=FQ","BEST_FPERIOD_OVERRIDE=FQ","FILING_STATUS=MR","SCALING_FORMAT=MLN","FA_ADJUSTED=GAAP","Sort=A","Dates=H","DateFormat=P","Fill=—","Direction=H","UseDPDF=Y")</f>
        <v>8798</v>
      </c>
      <c r="O52" s="13">
        <f>_xll.BDH("WMT US Equity","EBITDA","FQ1 2020","FQ1 2020","Currency=USD","Period=FQ","BEST_FPERIOD_OVERRIDE=FQ","FILING_STATUS=MR","SCALING_FORMAT=MLN","FA_ADJUSTED=GAAP","Sort=A","Dates=H","DateFormat=P","Fill=—","Direction=H","UseDPDF=Y")</f>
        <v>8295</v>
      </c>
      <c r="P52" s="13">
        <f>_xll.BDH("WMT US Equity","EBITDA","FQ2 2020","FQ2 2020","Currency=USD","Period=FQ","BEST_FPERIOD_OVERRIDE=FQ","FILING_STATUS=MR","SCALING_FORMAT=MLN","FA_ADJUSTED=GAAP","Sort=A","Dates=H","DateFormat=P","Fill=—","Direction=H","UseDPDF=Y")</f>
        <v>8966</v>
      </c>
      <c r="Q52" s="13">
        <f>_xll.BDH("WMT US Equity","EBITDA","FQ3 2020","FQ3 2020","Currency=USD","Period=FQ","BEST_FPERIOD_OVERRIDE=FQ","FILING_STATUS=MR","SCALING_FORMAT=MLN","FA_ADJUSTED=GAAP","Sort=A","Dates=H","DateFormat=P","Fill=—","Direction=H","UseDPDF=Y")</f>
        <v>8133</v>
      </c>
      <c r="R52" s="13">
        <f>_xll.BDH("WMT US Equity","EBITDA","FQ4 2020","FQ4 2020","Currency=USD","Period=FQ","BEST_FPERIOD_OVERRIDE=FQ","FILING_STATUS=MR","SCALING_FORMAT=MLN","FA_ADJUSTED=GAAP","Sort=A","Dates=H","DateFormat=P","Fill=—","Direction=H","UseDPDF=Y")</f>
        <v>8831</v>
      </c>
      <c r="S52" s="13">
        <f>_xll.BDH("WMT US Equity","EBITDA","FQ1 2021","FQ1 2021","Currency=USD","Period=FQ","BEST_FPERIOD_OVERRIDE=FQ","FILING_STATUS=MR","SCALING_FORMAT=MLN","FA_ADJUSTED=GAAP","Sort=A","Dates=H","DateFormat=P","Fill=—","Direction=H","UseDPDF=Y")</f>
        <v>8015</v>
      </c>
      <c r="T52" s="13">
        <f>_xll.BDH("WMT US Equity","EBITDA","FQ2 2021","FQ2 2021","Currency=USD","Period=FQ","BEST_FPERIOD_OVERRIDE=FQ","FILING_STATUS=MR","SCALING_FORMAT=MLN","FA_ADJUSTED=GAAP","Sort=A","Dates=H","DateFormat=P","Fill=—","Direction=H","UseDPDF=Y")</f>
        <v>8830</v>
      </c>
      <c r="U52" s="13">
        <f>_xll.BDH("WMT US Equity","EBITDA","FQ3 2021","FQ3 2021","Currency=USD","Period=FQ","BEST_FPERIOD_OVERRIDE=FQ","FILING_STATUS=MR","SCALING_FORMAT=MLN","FA_ADJUSTED=GAAP","Sort=A","Dates=H","DateFormat=P","Fill=—","Direction=H","UseDPDF=Y")</f>
        <v>8549</v>
      </c>
      <c r="V52" s="13">
        <f>_xll.BDH("WMT US Equity","EBITDA","FQ4 2021","FQ4 2021","Currency=USD","Period=FQ","BEST_FPERIOD_OVERRIDE=FQ","FILING_STATUS=MR","SCALING_FORMAT=MLN","FA_ADJUSTED=GAAP","Sort=A","Dates=H","DateFormat=P","Fill=—","Direction=H","UseDPDF=Y")</f>
        <v>8306</v>
      </c>
      <c r="W52" s="13">
        <f>_xll.BDH("WMT US Equity","EBITDA","FQ1 2022","FQ1 2022","Currency=USD","Period=FQ","BEST_FPERIOD_OVERRIDE=FQ","FILING_STATUS=MR","SCALING_FORMAT=MLN","FA_ADJUSTED=GAAP","Sort=A","Dates=H","DateFormat=P","Fill=—","Direction=H","UseDPDF=Y")</f>
        <v>9570</v>
      </c>
      <c r="X52" s="13">
        <f>_xll.BDH("WMT US Equity","EBITDA","FQ2 2022","FQ2 2022","Currency=USD","Period=FQ","BEST_FPERIOD_OVERRIDE=FQ","FILING_STATUS=MR","SCALING_FORMAT=MLN","FA_ADJUSTED=GAAP","Sort=A","Dates=H","DateFormat=P","Fill=—","Direction=H","UseDPDF=Y")</f>
        <v>9995</v>
      </c>
      <c r="Y52" s="13">
        <f>_xll.BDH("WMT US Equity","EBITDA","FQ3 2022","FQ3 2022","Currency=USD","Period=FQ","BEST_FPERIOD_OVERRIDE=FQ","FILING_STATUS=MR","SCALING_FORMAT=MLN","FA_ADJUSTED=GAAP","Sort=A","Dates=H","DateFormat=P","Fill=—","Direction=H","UseDPDF=Y")</f>
        <v>8442</v>
      </c>
      <c r="Z52" s="13">
        <f>_xll.BDH("WMT US Equity","EBITDA","FQ4 2022","FQ4 2022","Currency=USD","Period=FQ","BEST_FPERIOD_OVERRIDE=FQ","FILING_STATUS=MR","SCALING_FORMAT=MLN","FA_ADJUSTED=GAAP","Sort=A","Dates=H","DateFormat=P","Fill=—","Direction=H","UseDPDF=Y")</f>
        <v>8593</v>
      </c>
      <c r="AA52" s="13">
        <f>_xll.BDH("WMT US Equity","EBITDA","FQ1 2023","FQ1 2023","Currency=USD","Period=FQ","BEST_FPERIOD_OVERRIDE=FQ","FILING_STATUS=MR","SCALING_FORMAT=MLN","FA_ADJUSTED=GAAP","Sort=A","Dates=H","DateFormat=P","Fill=—","Direction=H","UseDPDF=Y")</f>
        <v>7998</v>
      </c>
      <c r="AB52" s="13">
        <f>_xll.BDH("WMT US Equity","EBITDA","FQ2 2023","FQ2 2023","Currency=USD","Period=FQ","BEST_FPERIOD_OVERRIDE=FQ","FILING_STATUS=MR","SCALING_FORMAT=MLN","FA_ADJUSTED=GAAP","Sort=A","Dates=H","DateFormat=P","Fill=—","Direction=H","UseDPDF=Y")</f>
        <v>9553</v>
      </c>
      <c r="AC52" s="13">
        <f>_xll.BDH("WMT US Equity","EBITDA","FQ3 2023","FQ3 2023","Currency=USD","Period=FQ","BEST_FPERIOD_OVERRIDE=FQ","FILING_STATUS=MR","SCALING_FORMAT=MLN","FA_ADJUSTED=GAAP","Sort=A","Dates=H","DateFormat=P","Fill=—","Direction=H","UseDPDF=Y")</f>
        <v>5450</v>
      </c>
      <c r="AD52" s="13">
        <f>_xll.BDH("WMT US Equity","EBITDA","FQ4 2023","FQ4 2023","Currency=USD","Period=FQ","BEST_FPERIOD_OVERRIDE=FQ","FILING_STATUS=MR","SCALING_FORMAT=MLN","FA_ADJUSTED=GAAP","Sort=A","Dates=H","DateFormat=P","Fill=—","Direction=H","UseDPDF=Y")</f>
        <v>8372</v>
      </c>
      <c r="AE52" s="13">
        <f>_xll.BDH("WMT US Equity","EBITDA","FQ1 2024","FQ1 2024","Currency=USD","Period=FQ","BEST_FPERIOD_OVERRIDE=FQ","FILING_STATUS=MR","SCALING_FORMAT=MLN","FA_ADJUSTED=GAAP","Sort=A","Dates=H","DateFormat=P","Fill=—","Direction=H","UseDPDF=Y")</f>
        <v>9085</v>
      </c>
      <c r="AF52" s="13">
        <f>_xll.BDH("WMT US Equity","EBITDA","FQ2 2024","FQ2 2024","Currency=USD","Period=FQ","BEST_FPERIOD_OVERRIDE=FQ","FILING_STATUS=MR","SCALING_FORMAT=MLN","FA_ADJUSTED=GAAP","Sort=A","Dates=H","DateFormat=P","Fill=—","Direction=H","UseDPDF=Y")</f>
        <v>10221</v>
      </c>
      <c r="AG52" s="13">
        <f>_xll.BDH("WMT US Equity","EBITDA","FQ3 2024","FQ3 2024","Currency=USD","Period=FQ","BEST_FPERIOD_OVERRIDE=FQ","FILING_STATUS=MR","SCALING_FORMAT=MLN","FA_ADJUSTED=GAAP","Sort=A","Dates=H","DateFormat=P","Fill=—","Direction=H","UseDPDF=Y")</f>
        <v>9188</v>
      </c>
      <c r="AH52" s="13">
        <f>_xll.BDH("WMT US Equity","EBITDA","FQ4 2024","FQ4 2024","Currency=USD","Period=FQ","BEST_FPERIOD_OVERRIDE=FQ","FILING_STATUS=MR","SCALING_FORMAT=MLN","FA_ADJUSTED=GAAP","Sort=A","Dates=H","DateFormat=P","Fill=—","Direction=H","UseDPDF=Y")</f>
        <v>10371</v>
      </c>
      <c r="AI52" s="13">
        <f>_xll.BDH("WMT US Equity","EBITDA","FQ1 2025","FQ1 2025","Currency=USD","Period=FQ","BEST_FPERIOD_OVERRIDE=FQ","FILING_STATUS=MR","SCALING_FORMAT=MLN","FA_ADJUSTED=GAAP","Sort=A","Dates=H","DateFormat=P","Fill=—","Direction=H","UseDPDF=Y")</f>
        <v>9969</v>
      </c>
      <c r="AJ52" s="13">
        <f>_xll.BDH("WMT US Equity","EBITDA","FQ2 2025","FQ2 2025","Currency=USD","Period=FQ","BEST_FPERIOD_OVERRIDE=FQ","FILING_STATUS=MR","SCALING_FORMAT=MLN","FA_ADJUSTED=GAAP","Sort=A","Dates=H","DateFormat=P","Fill=—","Direction=H","UseDPDF=Y")</f>
        <v>11151</v>
      </c>
      <c r="AK52" s="13">
        <f>_xll.BDH("WMT US Equity","EBITDA","FQ3 2025","FQ3 2025","Currency=USD","Period=FQ","BEST_FPERIOD_OVERRIDE=FQ","FILING_STATUS=MR","SCALING_FORMAT=MLN","FA_ADJUSTED=GAAP","Sort=A","Dates=H","DateFormat=P","Fill=—","Direction=H","UseDPDF=Y")</f>
        <v>9968</v>
      </c>
      <c r="AL52" s="13">
        <f>_xll.BDH("WMT US Equity","EBITDA","FQ4 2025","FQ4 2025","Currency=USD","Period=FQ","BEST_FPERIOD_OVERRIDE=FQ","FILING_STATUS=MR","SCALING_FORMAT=MLN","FA_ADJUSTED=GAAP","Sort=A","Dates=H","DateFormat=P","Fill=—","Direction=H","UseDPDF=Y")</f>
        <v>11233</v>
      </c>
      <c r="AM52" s="13">
        <f>_xll.BDH("WMT US Equity","EBITDA","FQ1 2026","FQ1 2026","Currency=USD","Period=FQ","BEST_FPERIOD_OVERRIDE=FQ","FILING_STATUS=MR","SCALING_FORMAT=MLN","FA_ADJUSTED=GAAP","Sort=A","Dates=H","DateFormat=P","Fill=—","Direction=H","UseDPDF=Y")</f>
        <v>10504</v>
      </c>
      <c r="AN52" s="13">
        <f>_xll.BDH("WMT US Equity","EBITDA","FQ2 2026","FQ2 2026","Currency=USD","Period=FQ","BEST_FPERIOD_OVERRIDE=FQ","FILING_STATUS=MR","SCALING_FORMAT=MLN","FA_ADJUSTED=GAAP","Sort=A","Dates=H","DateFormat=P","Fill=—","Direction=H","UseDPDF=Y")</f>
        <v>10773</v>
      </c>
      <c r="AO52" s="13">
        <v>10592.13</v>
      </c>
      <c r="AP52" s="13">
        <v>12137</v>
      </c>
    </row>
    <row r="53" spans="1:42" x14ac:dyDescent="0.3">
      <c r="A53" s="10" t="s">
        <v>146</v>
      </c>
      <c r="B53" s="10" t="s">
        <v>147</v>
      </c>
      <c r="C53" s="14">
        <f>_xll.BDH("WMT US Equity","EBITDA_MARGIN","FQ1 2017","FQ1 2017","Currency=USD","Period=FQ","BEST_FPERIOD_OVERRIDE=FQ","FILING_STATUS=MR","FA_ADJUSTED=GAAP","Sort=A","Dates=H","DateFormat=P","Fill=—","Direction=H","UseDPDF=Y")</f>
        <v>6.8754999999999997</v>
      </c>
      <c r="D53" s="14">
        <f>_xll.BDH("WMT US Equity","EBITDA_MARGIN","FQ2 2017","FQ2 2017","Currency=USD","Period=FQ","BEST_FPERIOD_OVERRIDE=FQ","FILING_STATUS=MR","FA_ADJUSTED=GAAP","Sort=A","Dates=H","DateFormat=P","Fill=—","Direction=H","UseDPDF=Y")</f>
        <v>6.9233000000000002</v>
      </c>
      <c r="E53" s="14">
        <f>_xll.BDH("WMT US Equity","EBITDA_MARGIN","FQ3 2017","FQ3 2017","Currency=USD","Period=FQ","BEST_FPERIOD_OVERRIDE=FQ","FILING_STATUS=MR","FA_ADJUSTED=GAAP","Sort=A","Dates=H","DateFormat=P","Fill=—","Direction=H","UseDPDF=Y")</f>
        <v>6.8109000000000002</v>
      </c>
      <c r="F53" s="14">
        <f>_xll.BDH("WMT US Equity","EBITDA_MARGIN","FQ4 2017","FQ4 2017","Currency=USD","Period=FQ","BEST_FPERIOD_OVERRIDE=FQ","FILING_STATUS=MR","FA_ADJUSTED=GAAP","Sort=A","Dates=H","DateFormat=P","Fill=—","Direction=H","UseDPDF=Y")</f>
        <v>6.7598000000000003</v>
      </c>
      <c r="G53" s="14">
        <f>_xll.BDH("WMT US Equity","EBITDA_MARGIN","FQ1 2018","FQ1 2018","Currency=USD","Period=FQ","BEST_FPERIOD_OVERRIDE=FQ","FILING_STATUS=MR","FA_ADJUSTED=GAAP","Sort=A","Dates=H","DateFormat=P","Fill=—","Direction=H","UseDPDF=Y")</f>
        <v>6.7626999999999997</v>
      </c>
      <c r="H53" s="14">
        <f>_xll.BDH("WMT US Equity","EBITDA_MARGIN","FQ2 2018","FQ2 2018","Currency=USD","Period=FQ","BEST_FPERIOD_OVERRIDE=FQ","FILING_STATUS=MR","FA_ADJUSTED=GAAP","Sort=A","Dates=H","DateFormat=P","Fill=—","Direction=H","UseDPDF=Y")</f>
        <v>6.7088000000000001</v>
      </c>
      <c r="I53" s="14">
        <f>_xll.BDH("WMT US Equity","EBITDA_MARGIN","FQ3 2018","FQ3 2018","Currency=USD","Period=FQ","BEST_FPERIOD_OVERRIDE=FQ","FILING_STATUS=MR","FA_ADJUSTED=GAAP","Sort=A","Dates=H","DateFormat=P","Fill=—","Direction=H","UseDPDF=Y")</f>
        <v>6.6074999999999999</v>
      </c>
      <c r="J53" s="14">
        <f>_xll.BDH("WMT US Equity","EBITDA_MARGIN","FQ4 2018","FQ4 2018","Currency=USD","Period=FQ","BEST_FPERIOD_OVERRIDE=FQ","FILING_STATUS=MR","FA_ADJUSTED=GAAP","Sort=A","Dates=H","DateFormat=P","Fill=—","Direction=H","UseDPDF=Y")</f>
        <v>6.1890000000000001</v>
      </c>
      <c r="K53" s="14">
        <f>_xll.BDH("WMT US Equity","EBITDA_MARGIN","FQ1 2019","FQ1 2019","Currency=USD","Period=FQ","BEST_FPERIOD_OVERRIDE=FQ","FILING_STATUS=MR","FA_ADJUSTED=GAAP","Sort=A","Dates=H","DateFormat=P","Fill=—","Direction=H","UseDPDF=Y")</f>
        <v>6.1345999999999998</v>
      </c>
      <c r="L53" s="14">
        <f>_xll.BDH("WMT US Equity","EBITDA_MARGIN","FQ2 2019","FQ2 2019","Currency=USD","Period=FQ","BEST_FPERIOD_OVERRIDE=FQ","FILING_STATUS=MR","FA_ADJUSTED=GAAP","Sort=A","Dates=H","DateFormat=P","Fill=—","Direction=H","UseDPDF=Y")</f>
        <v>6.0426000000000002</v>
      </c>
      <c r="M53" s="14">
        <f>_xll.BDH("WMT US Equity","EBITDA_MARGIN","FQ3 2019","FQ3 2019","Currency=USD","Period=FQ","BEST_FPERIOD_OVERRIDE=FQ","FILING_STATUS=MR","FA_ADJUSTED=GAAP","Sort=A","Dates=H","DateFormat=P","Fill=—","Direction=H","UseDPDF=Y")</f>
        <v>6.0572999999999997</v>
      </c>
      <c r="N53" s="14">
        <f>_xll.BDH("WMT US Equity","EBITDA_MARGIN","FQ4 2019","FQ4 2019","Currency=USD","Period=FQ","BEST_FPERIOD_OVERRIDE=FQ","FILING_STATUS=MR","FA_ADJUSTED=GAAP","Sort=A","Dates=H","DateFormat=P","Fill=—","Direction=H","UseDPDF=Y")</f>
        <v>6.3441999999999998</v>
      </c>
      <c r="O53" s="14">
        <f>_xll.BDH("WMT US Equity","EBITDA_MARGIN","FQ1 2020","FQ1 2020","Currency=USD","Period=FQ","BEST_FPERIOD_OVERRIDE=FQ","FILING_STATUS=MR","FA_ADJUSTED=GAAP","Sort=A","Dates=H","DateFormat=P","Fill=—","Direction=H","UseDPDF=Y")</f>
        <v>6.4188000000000001</v>
      </c>
      <c r="P53" s="14">
        <f>_xll.BDH("WMT US Equity","EBITDA_MARGIN","FQ2 2020","FQ2 2020","Currency=USD","Period=FQ","BEST_FPERIOD_OVERRIDE=FQ","FILING_STATUS=MR","FA_ADJUSTED=GAAP","Sort=A","Dates=H","DateFormat=P","Fill=—","Direction=H","UseDPDF=Y")</f>
        <v>6.4981999999999998</v>
      </c>
      <c r="Q53" s="14">
        <f>_xll.BDH("WMT US Equity","EBITDA_MARGIN","FQ3 2020","FQ3 2020","Currency=USD","Period=FQ","BEST_FPERIOD_OVERRIDE=FQ","FILING_STATUS=MR","FA_ADJUSTED=GAAP","Sort=A","Dates=H","DateFormat=P","Fill=—","Direction=H","UseDPDF=Y")</f>
        <v>6.5617000000000001</v>
      </c>
      <c r="R53" s="14">
        <f>_xll.BDH("WMT US Equity","EBITDA_MARGIN","FQ4 2020","FQ4 2020","Currency=USD","Period=FQ","BEST_FPERIOD_OVERRIDE=FQ","FILING_STATUS=MR","FA_ADJUSTED=GAAP","Sort=A","Dates=H","DateFormat=P","Fill=—","Direction=H","UseDPDF=Y")</f>
        <v>6.5319000000000003</v>
      </c>
      <c r="S53" s="14">
        <f>_xll.BDH("WMT US Equity","EBITDA_MARGIN","FQ1 2021","FQ1 2021","Currency=USD","Period=FQ","BEST_FPERIOD_OVERRIDE=FQ","FILING_STATUS=MR","FA_ADJUSTED=GAAP","Sort=A","Dates=H","DateFormat=P","Fill=—","Direction=H","UseDPDF=Y")</f>
        <v>6.3489000000000004</v>
      </c>
      <c r="T53" s="14">
        <f>_xll.BDH("WMT US Equity","EBITDA_MARGIN","FQ2 2021","FQ2 2021","Currency=USD","Period=FQ","BEST_FPERIOD_OVERRIDE=FQ","FILING_STATUS=MR","FA_ADJUSTED=GAAP","Sort=A","Dates=H","DateFormat=P","Fill=—","Direction=H","UseDPDF=Y")</f>
        <v>6.2374999999999998</v>
      </c>
      <c r="U53" s="14">
        <f>_xll.BDH("WMT US Equity","EBITDA_MARGIN","FQ3 2021","FQ3 2021","Currency=USD","Period=FQ","BEST_FPERIOD_OVERRIDE=FQ","FILING_STATUS=MR","FA_ADJUSTED=GAAP","Sort=A","Dates=H","DateFormat=P","Fill=—","Direction=H","UseDPDF=Y")</f>
        <v>6.2370000000000001</v>
      </c>
      <c r="V53" s="14">
        <f>_xll.BDH("WMT US Equity","EBITDA_MARGIN","FQ4 2021","FQ4 2021","Currency=USD","Period=FQ","BEST_FPERIOD_OVERRIDE=FQ","FILING_STATUS=MR","FA_ADJUSTED=GAAP","Sort=A","Dates=H","DateFormat=P","Fill=—","Direction=H","UseDPDF=Y")</f>
        <v>6.0270000000000001</v>
      </c>
      <c r="W53" s="14">
        <f>_xll.BDH("WMT US Equity","EBITDA_MARGIN","FQ1 2022","FQ1 2022","Currency=USD","Period=FQ","BEST_FPERIOD_OVERRIDE=FQ","FILING_STATUS=MR","FA_ADJUSTED=GAAP","Sort=A","Dates=H","DateFormat=P","Fill=—","Direction=H","UseDPDF=Y")</f>
        <v>6.2637999999999998</v>
      </c>
      <c r="X53" s="14">
        <f>_xll.BDH("WMT US Equity","EBITDA_MARGIN","FQ2 2022","FQ2 2022","Currency=USD","Period=FQ","BEST_FPERIOD_OVERRIDE=FQ","FILING_STATUS=MR","FA_ADJUSTED=GAAP","Sort=A","Dates=H","DateFormat=P","Fill=—","Direction=H","UseDPDF=Y")</f>
        <v>6.4329999999999998</v>
      </c>
      <c r="Y53" s="14">
        <f>_xll.BDH("WMT US Equity","EBITDA_MARGIN","FQ3 2022","FQ3 2022","Currency=USD","Period=FQ","BEST_FPERIOD_OVERRIDE=FQ","FILING_STATUS=MR","FA_ADJUSTED=GAAP","Sort=A","Dates=H","DateFormat=P","Fill=—","Direction=H","UseDPDF=Y")</f>
        <v>6.3487999999999998</v>
      </c>
      <c r="Z53" s="14">
        <f>_xll.BDH("WMT US Equity","EBITDA_MARGIN","FQ4 2022","FQ4 2022","Currency=USD","Period=FQ","BEST_FPERIOD_OVERRIDE=FQ","FILING_STATUS=MR","FA_ADJUSTED=GAAP","Sort=A","Dates=H","DateFormat=P","Fill=—","Direction=H","UseDPDF=Y")</f>
        <v>6.3902000000000001</v>
      </c>
      <c r="AA53" s="14">
        <f>_xll.BDH("WMT US Equity","EBITDA_MARGIN","FQ1 2023","FQ1 2023","Currency=USD","Period=FQ","BEST_FPERIOD_OVERRIDE=FQ","FILING_STATUS=MR","FA_ADJUSTED=GAAP","Sort=A","Dates=H","DateFormat=P","Fill=—","Direction=H","UseDPDF=Y")</f>
        <v>6.0811000000000002</v>
      </c>
      <c r="AB53" s="14">
        <f>_xll.BDH("WMT US Equity","EBITDA_MARGIN","FQ2 2023","FQ2 2023","Currency=USD","Period=FQ","BEST_FPERIOD_OVERRIDE=FQ","FILING_STATUS=MR","FA_ADJUSTED=GAAP","Sort=A","Dates=H","DateFormat=P","Fill=—","Direction=H","UseDPDF=Y")</f>
        <v>5.8837000000000002</v>
      </c>
      <c r="AC53" s="14">
        <f>_xll.BDH("WMT US Equity","EBITDA_MARGIN","FQ3 2023","FQ3 2023","Currency=USD","Period=FQ","BEST_FPERIOD_OVERRIDE=FQ","FILING_STATUS=MR","FA_ADJUSTED=GAAP","Sort=A","Dates=H","DateFormat=P","Fill=—","Direction=H","UseDPDF=Y")</f>
        <v>5.2647000000000004</v>
      </c>
      <c r="AD53" s="14">
        <f>_xll.BDH("WMT US Equity","EBITDA_MARGIN","FQ4 2023","FQ4 2023","Currency=USD","Period=FQ","BEST_FPERIOD_OVERRIDE=FQ","FILING_STATUS=MR","FA_ADJUSTED=GAAP","Sort=A","Dates=H","DateFormat=P","Fill=—","Direction=H","UseDPDF=Y")</f>
        <v>5.1322999999999999</v>
      </c>
      <c r="AE53" s="14">
        <f>_xll.BDH("WMT US Equity","EBITDA_MARGIN","FQ1 2024","FQ1 2024","Currency=USD","Period=FQ","BEST_FPERIOD_OVERRIDE=FQ","FILING_STATUS=MR","FA_ADJUSTED=GAAP","Sort=A","Dates=H","DateFormat=P","Fill=—","Direction=H","UseDPDF=Y")</f>
        <v>5.2184999999999997</v>
      </c>
      <c r="AF53" s="14">
        <f>_xll.BDH("WMT US Equity","EBITDA_MARGIN","FQ2 2024","FQ2 2024","Currency=USD","Period=FQ","BEST_FPERIOD_OVERRIDE=FQ","FILING_STATUS=MR","FA_ADJUSTED=GAAP","Sort=A","Dates=H","DateFormat=P","Fill=—","Direction=H","UseDPDF=Y")</f>
        <v>5.2518000000000002</v>
      </c>
      <c r="AG53" s="14">
        <f>_xll.BDH("WMT US Equity","EBITDA_MARGIN","FQ3 2024","FQ3 2024","Currency=USD","Period=FQ","BEST_FPERIOD_OVERRIDE=FQ","FILING_STATUS=MR","FA_ADJUSTED=GAAP","Sort=A","Dates=H","DateFormat=P","Fill=—","Direction=H","UseDPDF=Y")</f>
        <v>5.7713000000000001</v>
      </c>
      <c r="AH53" s="14">
        <f>_xll.BDH("WMT US Equity","EBITDA_MARGIN","FQ4 2024","FQ4 2024","Currency=USD","Period=FQ","BEST_FPERIOD_OVERRIDE=FQ","FILING_STATUS=MR","FA_ADJUSTED=GAAP","Sort=A","Dates=H","DateFormat=P","Fill=—","Direction=H","UseDPDF=Y")</f>
        <v>5.9965000000000002</v>
      </c>
      <c r="AI53" s="14">
        <f>_xll.BDH("WMT US Equity","EBITDA_MARGIN","FQ1 2025","FQ1 2025","Currency=USD","Period=FQ","BEST_FPERIOD_OVERRIDE=FQ","FILING_STATUS=MR","FA_ADJUSTED=GAAP","Sort=A","Dates=H","DateFormat=P","Fill=—","Direction=H","UseDPDF=Y")</f>
        <v>6.0469999999999997</v>
      </c>
      <c r="AJ53" s="14">
        <f>_xll.BDH("WMT US Equity","EBITDA_MARGIN","FQ2 2025","FQ2 2025","Currency=USD","Period=FQ","BEST_FPERIOD_OVERRIDE=FQ","FILING_STATUS=MR","FA_ADJUSTED=GAAP","Sort=A","Dates=H","DateFormat=P","Fill=—","Direction=H","UseDPDF=Y")</f>
        <v>6.1167999999999996</v>
      </c>
      <c r="AK53" s="14">
        <f>_xll.BDH("WMT US Equity","EBITDA_MARGIN","FQ3 2025","FQ3 2025","Currency=USD","Period=FQ","BEST_FPERIOD_OVERRIDE=FQ","FILING_STATUS=MR","FA_ADJUSTED=GAAP","Sort=A","Dates=H","DateFormat=P","Fill=—","Direction=H","UseDPDF=Y")</f>
        <v>6.1528</v>
      </c>
      <c r="AL53" s="14">
        <f>_xll.BDH("WMT US Equity","EBITDA_MARGIN","FQ4 2025","FQ4 2025","Currency=USD","Period=FQ","BEST_FPERIOD_OVERRIDE=FQ","FILING_STATUS=MR","FA_ADJUSTED=GAAP","Sort=A","Dates=H","DateFormat=P","Fill=—","Direction=H","UseDPDF=Y")</f>
        <v>6.2146999999999997</v>
      </c>
      <c r="AM53" s="14">
        <f>_xll.BDH("WMT US Equity","EBITDA_MARGIN","FQ1 2026","FQ1 2026","Currency=USD","Period=FQ","BEST_FPERIOD_OVERRIDE=FQ","FILING_STATUS=MR","FA_ADJUSTED=GAAP","Sort=A","Dates=H","DateFormat=P","Fill=—","Direction=H","UseDPDF=Y")</f>
        <v>6.2556000000000003</v>
      </c>
      <c r="AN53" s="14">
        <f>_xll.BDH("WMT US Equity","EBITDA_MARGIN","FQ2 2026","FQ2 2026","Currency=USD","Period=FQ","BEST_FPERIOD_OVERRIDE=FQ","FILING_STATUS=MR","FA_ADJUSTED=GAAP","Sort=A","Dates=H","DateFormat=P","Fill=—","Direction=H","UseDPDF=Y")</f>
        <v>6.1281999999999996</v>
      </c>
      <c r="AO53" s="14">
        <v>6.42904199250055</v>
      </c>
      <c r="AP53" s="14">
        <v>6.5147530746581603</v>
      </c>
    </row>
    <row r="54" spans="1:42" x14ac:dyDescent="0.3">
      <c r="A54" s="10" t="s">
        <v>148</v>
      </c>
      <c r="B54" s="10" t="s">
        <v>148</v>
      </c>
      <c r="C54" s="13">
        <f>_xll.BDH("WMT US Equity","EBIT","FQ1 2017","FQ1 2017","Currency=USD","Period=FQ","BEST_FPERIOD_OVERRIDE=FQ","FILING_STATUS=MR","SCALING_FORMAT=MLN","FA_ADJUSTED=GAAP","Sort=A","Dates=H","DateFormat=P","Fill=—","Direction=H","UseDPDF=Y")</f>
        <v>5275</v>
      </c>
      <c r="D54" s="13">
        <f>_xll.BDH("WMT US Equity","EBIT","FQ2 2017","FQ2 2017","Currency=USD","Period=FQ","BEST_FPERIOD_OVERRIDE=FQ","FILING_STATUS=MR","SCALING_FORMAT=MLN","FA_ADJUSTED=GAAP","Sort=A","Dates=H","DateFormat=P","Fill=—","Direction=H","UseDPDF=Y")</f>
        <v>6165</v>
      </c>
      <c r="E54" s="13">
        <f>_xll.BDH("WMT US Equity","EBIT","FQ3 2017","FQ3 2017","Currency=USD","Period=FQ","BEST_FPERIOD_OVERRIDE=FQ","FILING_STATUS=MR","SCALING_FORMAT=MLN","FA_ADJUSTED=GAAP","Sort=A","Dates=H","DateFormat=P","Fill=—","Direction=H","UseDPDF=Y")</f>
        <v>5119</v>
      </c>
      <c r="F54" s="13">
        <f>_xll.BDH("WMT US Equity","EBIT","FQ4 2017","FQ4 2017","Currency=USD","Period=FQ","BEST_FPERIOD_OVERRIDE=FQ","FILING_STATUS=MR","SCALING_FORMAT=MLN","FA_ADJUSTED=GAAP","Sort=A","Dates=H","DateFormat=P","Fill=—","Direction=H","UseDPDF=Y")</f>
        <v>6205</v>
      </c>
      <c r="G54" s="13">
        <f>_xll.BDH("WMT US Equity","EBIT","FQ1 2018","FQ1 2018","Currency=USD","Period=FQ","BEST_FPERIOD_OVERRIDE=FQ","FILING_STATUS=MR","SCALING_FORMAT=MLN","FA_ADJUSTED=GAAP","Sort=A","Dates=H","DateFormat=P","Fill=—","Direction=H","UseDPDF=Y")</f>
        <v>5237</v>
      </c>
      <c r="H54" s="13">
        <f>_xll.BDH("WMT US Equity","EBIT","FQ2 2018","FQ2 2018","Currency=USD","Period=FQ","BEST_FPERIOD_OVERRIDE=FQ","FILING_STATUS=MR","SCALING_FORMAT=MLN","FA_ADJUSTED=GAAP","Sort=A","Dates=H","DateFormat=P","Fill=—","Direction=H","UseDPDF=Y")</f>
        <v>5969</v>
      </c>
      <c r="I54" s="13">
        <f>_xll.BDH("WMT US Equity","EBIT","FQ3 2018","FQ3 2018","Currency=USD","Period=FQ","BEST_FPERIOD_OVERRIDE=FQ","FILING_STATUS=MR","SCALING_FORMAT=MLN","FA_ADJUSTED=GAAP","Sort=A","Dates=H","DateFormat=P","Fill=—","Direction=H","UseDPDF=Y")</f>
        <v>4764</v>
      </c>
      <c r="J54" s="13">
        <f>_xll.BDH("WMT US Equity","EBIT","FQ4 2018","FQ4 2018","Currency=USD","Period=FQ","BEST_FPERIOD_OVERRIDE=FQ","FILING_STATUS=MR","SCALING_FORMAT=MLN","FA_ADJUSTED=GAAP","Sort=A","Dates=H","DateFormat=P","Fill=—","Direction=H","UseDPDF=Y")</f>
        <v>4467</v>
      </c>
      <c r="K54" s="13">
        <f>_xll.BDH("WMT US Equity","EBIT","FQ1 2019","FQ1 2019","Currency=USD","Period=FQ","BEST_FPERIOD_OVERRIDE=FQ","FILING_STATUS=MR","SCALING_FORMAT=MLN","FA_ADJUSTED=GAAP","Sort=A","Dates=H","DateFormat=P","Fill=—","Direction=H","UseDPDF=Y")</f>
        <v>5154</v>
      </c>
      <c r="L54" s="13">
        <f>_xll.BDH("WMT US Equity","EBIT","FQ2 2019","FQ2 2019","Currency=USD","Period=FQ","BEST_FPERIOD_OVERRIDE=FQ","FILING_STATUS=MR","SCALING_FORMAT=MLN","FA_ADJUSTED=GAAP","Sort=A","Dates=H","DateFormat=P","Fill=—","Direction=H","UseDPDF=Y")</f>
        <v>5750</v>
      </c>
      <c r="M54" s="13">
        <f>_xll.BDH("WMT US Equity","EBIT","FQ3 2019","FQ3 2019","Currency=USD","Period=FQ","BEST_FPERIOD_OVERRIDE=FQ","FILING_STATUS=MR","SCALING_FORMAT=MLN","FA_ADJUSTED=GAAP","Sort=A","Dates=H","DateFormat=P","Fill=—","Direction=H","UseDPDF=Y")</f>
        <v>4986</v>
      </c>
      <c r="N54" s="13">
        <f>_xll.BDH("WMT US Equity","EBIT","FQ4 2019","FQ4 2019","Currency=USD","Period=FQ","BEST_FPERIOD_OVERRIDE=FQ","FILING_STATUS=MR","SCALING_FORMAT=MLN","FA_ADJUSTED=GAAP","Sort=A","Dates=H","DateFormat=P","Fill=—","Direction=H","UseDPDF=Y")</f>
        <v>6067</v>
      </c>
      <c r="O54" s="13">
        <f>_xll.BDH("WMT US Equity","EBIT","FQ1 2020","FQ1 2020","Currency=USD","Period=FQ","BEST_FPERIOD_OVERRIDE=FQ","FILING_STATUS=MR","SCALING_FORMAT=MLN","FA_ADJUSTED=GAAP","Sort=A","Dates=H","DateFormat=P","Fill=—","Direction=H","UseDPDF=Y")</f>
        <v>4945</v>
      </c>
      <c r="P54" s="13">
        <f>_xll.BDH("WMT US Equity","EBIT","FQ2 2020","FQ2 2020","Currency=USD","Period=FQ","BEST_FPERIOD_OVERRIDE=FQ","FILING_STATUS=MR","SCALING_FORMAT=MLN","FA_ADJUSTED=GAAP","Sort=A","Dates=H","DateFormat=P","Fill=—","Direction=H","UseDPDF=Y")</f>
        <v>5583</v>
      </c>
      <c r="Q54" s="13">
        <f>_xll.BDH("WMT US Equity","EBIT","FQ3 2020","FQ3 2020","Currency=USD","Period=FQ","BEST_FPERIOD_OVERRIDE=FQ","FILING_STATUS=MR","SCALING_FORMAT=MLN","FA_ADJUSTED=GAAP","Sort=A","Dates=H","DateFormat=P","Fill=—","Direction=H","UseDPDF=Y")</f>
        <v>4718</v>
      </c>
      <c r="R54" s="13">
        <f>_xll.BDH("WMT US Equity","EBIT","FQ4 2020","FQ4 2020","Currency=USD","Period=FQ","BEST_FPERIOD_OVERRIDE=FQ","FILING_STATUS=MR","SCALING_FORMAT=MLN","FA_ADJUSTED=GAAP","Sort=A","Dates=H","DateFormat=P","Fill=—","Direction=H","UseDPDF=Y")</f>
        <v>5322</v>
      </c>
      <c r="S54" s="13">
        <f>_xll.BDH("WMT US Equity","EBIT","FQ1 2021","FQ1 2021","Currency=USD","Period=FQ","BEST_FPERIOD_OVERRIDE=FQ","FILING_STATUS=MR","SCALING_FORMAT=MLN","FA_ADJUSTED=GAAP","Sort=A","Dates=H","DateFormat=P","Fill=—","Direction=H","UseDPDF=Y")</f>
        <v>5224</v>
      </c>
      <c r="T54" s="13">
        <f>_xll.BDH("WMT US Equity","EBIT","FQ2 2021","FQ2 2021","Currency=USD","Period=FQ","BEST_FPERIOD_OVERRIDE=FQ","FILING_STATUS=MR","SCALING_FORMAT=MLN","FA_ADJUSTED=GAAP","Sort=A","Dates=H","DateFormat=P","Fill=—","Direction=H","UseDPDF=Y")</f>
        <v>6059</v>
      </c>
      <c r="U54" s="13">
        <f>_xll.BDH("WMT US Equity","EBIT","FQ3 2021","FQ3 2021","Currency=USD","Period=FQ","BEST_FPERIOD_OVERRIDE=FQ","FILING_STATUS=MR","SCALING_FORMAT=MLN","FA_ADJUSTED=GAAP","Sort=A","Dates=H","DateFormat=P","Fill=—","Direction=H","UseDPDF=Y")</f>
        <v>5778</v>
      </c>
      <c r="V54" s="13">
        <f>_xll.BDH("WMT US Equity","EBIT","FQ4 2021","FQ4 2021","Currency=USD","Period=FQ","BEST_FPERIOD_OVERRIDE=FQ","FILING_STATUS=MR","SCALING_FORMAT=MLN","FA_ADJUSTED=GAAP","Sort=A","Dates=H","DateFormat=P","Fill=—","Direction=H","UseDPDF=Y")</f>
        <v>5487</v>
      </c>
      <c r="W54" s="13">
        <f>_xll.BDH("WMT US Equity","EBIT","FQ1 2022","FQ1 2022","Currency=USD","Period=FQ","BEST_FPERIOD_OVERRIDE=FQ","FILING_STATUS=MR","SCALING_FORMAT=MLN","FA_ADJUSTED=GAAP","Sort=A","Dates=H","DateFormat=P","Fill=—","Direction=H","UseDPDF=Y")</f>
        <v>6909</v>
      </c>
      <c r="X54" s="13">
        <f>_xll.BDH("WMT US Equity","EBIT","FQ2 2022","FQ2 2022","Currency=USD","Period=FQ","BEST_FPERIOD_OVERRIDE=FQ","FILING_STATUS=MR","SCALING_FORMAT=MLN","FA_ADJUSTED=GAAP","Sort=A","Dates=H","DateFormat=P","Fill=—","Direction=H","UseDPDF=Y")</f>
        <v>7354</v>
      </c>
      <c r="Y54" s="13">
        <f>_xll.BDH("WMT US Equity","EBIT","FQ3 2022","FQ3 2022","Currency=USD","Period=FQ","BEST_FPERIOD_OVERRIDE=FQ","FILING_STATUS=MR","SCALING_FORMAT=MLN","FA_ADJUSTED=GAAP","Sort=A","Dates=H","DateFormat=P","Fill=—","Direction=H","UseDPDF=Y")</f>
        <v>5792</v>
      </c>
      <c r="Z54" s="13">
        <f>_xll.BDH("WMT US Equity","EBIT","FQ4 2022","FQ4 2022","Currency=USD","Period=FQ","BEST_FPERIOD_OVERRIDE=FQ","FILING_STATUS=MR","SCALING_FORMAT=MLN","FA_ADJUSTED=GAAP","Sort=A","Dates=H","DateFormat=P","Fill=—","Direction=H","UseDPDF=Y")</f>
        <v>5887</v>
      </c>
      <c r="AA54" s="13">
        <f>_xll.BDH("WMT US Equity","EBIT","FQ1 2023","FQ1 2023","Currency=USD","Period=FQ","BEST_FPERIOD_OVERRIDE=FQ","FILING_STATUS=MR","SCALING_FORMAT=MLN","FA_ADJUSTED=GAAP","Sort=A","Dates=H","DateFormat=P","Fill=—","Direction=H","UseDPDF=Y")</f>
        <v>5318</v>
      </c>
      <c r="AB54" s="13">
        <f>_xll.BDH("WMT US Equity","EBIT","FQ2 2023","FQ2 2023","Currency=USD","Period=FQ","BEST_FPERIOD_OVERRIDE=FQ","FILING_STATUS=MR","SCALING_FORMAT=MLN","FA_ADJUSTED=GAAP","Sort=A","Dates=H","DateFormat=P","Fill=—","Direction=H","UseDPDF=Y")</f>
        <v>6854</v>
      </c>
      <c r="AC54" s="13">
        <f>_xll.BDH("WMT US Equity","EBIT","FQ3 2023","FQ3 2023","Currency=USD","Period=FQ","BEST_FPERIOD_OVERRIDE=FQ","FILING_STATUS=MR","SCALING_FORMAT=MLN","FA_ADJUSTED=GAAP","Sort=A","Dates=H","DateFormat=P","Fill=—","Direction=H","UseDPDF=Y")</f>
        <v>2695</v>
      </c>
      <c r="AD54" s="13">
        <f>_xll.BDH("WMT US Equity","EBIT","FQ4 2023","FQ4 2023","Currency=USD","Period=FQ","BEST_FPERIOD_OVERRIDE=FQ","FILING_STATUS=MR","SCALING_FORMAT=MLN","FA_ADJUSTED=GAAP","Sort=A","Dates=H","DateFormat=P","Fill=—","Direction=H","UseDPDF=Y")</f>
        <v>5561</v>
      </c>
      <c r="AE54" s="13">
        <f>_xll.BDH("WMT US Equity","EBIT","FQ1 2024","FQ1 2024","Currency=USD","Period=FQ","BEST_FPERIOD_OVERRIDE=FQ","FILING_STATUS=MR","SCALING_FORMAT=MLN","FA_ADJUSTED=GAAP","Sort=A","Dates=H","DateFormat=P","Fill=—","Direction=H","UseDPDF=Y")</f>
        <v>6240</v>
      </c>
      <c r="AF54" s="13">
        <f>_xll.BDH("WMT US Equity","EBIT","FQ2 2024","FQ2 2024","Currency=USD","Period=FQ","BEST_FPERIOD_OVERRIDE=FQ","FILING_STATUS=MR","SCALING_FORMAT=MLN","FA_ADJUSTED=GAAP","Sort=A","Dates=H","DateFormat=P","Fill=—","Direction=H","UseDPDF=Y")</f>
        <v>7316</v>
      </c>
      <c r="AG54" s="13">
        <f>_xll.BDH("WMT US Equity","EBIT","FQ3 2024","FQ3 2024","Currency=USD","Period=FQ","BEST_FPERIOD_OVERRIDE=FQ","FILING_STATUS=MR","SCALING_FORMAT=MLN","FA_ADJUSTED=GAAP","Sort=A","Dates=H","DateFormat=P","Fill=—","Direction=H","UseDPDF=Y")</f>
        <v>6202</v>
      </c>
      <c r="AH54" s="13">
        <f>_xll.BDH("WMT US Equity","EBIT","FQ4 2024","FQ4 2024","Currency=USD","Period=FQ","BEST_FPERIOD_OVERRIDE=FQ","FILING_STATUS=MR","SCALING_FORMAT=MLN","FA_ADJUSTED=GAAP","Sort=A","Dates=H","DateFormat=P","Fill=—","Direction=H","UseDPDF=Y")</f>
        <v>7254</v>
      </c>
      <c r="AI54" s="13">
        <f>_xll.BDH("WMT US Equity","EBIT","FQ1 2025","FQ1 2025","Currency=USD","Period=FQ","BEST_FPERIOD_OVERRIDE=FQ","FILING_STATUS=MR","SCALING_FORMAT=MLN","FA_ADJUSTED=GAAP","Sort=A","Dates=H","DateFormat=P","Fill=—","Direction=H","UseDPDF=Y")</f>
        <v>6841</v>
      </c>
      <c r="AJ54" s="13">
        <f>_xll.BDH("WMT US Equity","EBIT","FQ2 2025","FQ2 2025","Currency=USD","Period=FQ","BEST_FPERIOD_OVERRIDE=FQ","FILING_STATUS=MR","SCALING_FORMAT=MLN","FA_ADJUSTED=GAAP","Sort=A","Dates=H","DateFormat=P","Fill=—","Direction=H","UseDPDF=Y")</f>
        <v>7940</v>
      </c>
      <c r="AK54" s="13">
        <f>_xll.BDH("WMT US Equity","EBIT","FQ3 2025","FQ3 2025","Currency=USD","Period=FQ","BEST_FPERIOD_OVERRIDE=FQ","FILING_STATUS=MR","SCALING_FORMAT=MLN","FA_ADJUSTED=GAAP","Sort=A","Dates=H","DateFormat=P","Fill=—","Direction=H","UseDPDF=Y")</f>
        <v>6708</v>
      </c>
      <c r="AL54" s="13">
        <f>_xll.BDH("WMT US Equity","EBIT","FQ4 2025","FQ4 2025","Currency=USD","Period=FQ","BEST_FPERIOD_OVERRIDE=FQ","FILING_STATUS=MR","SCALING_FORMAT=MLN","FA_ADJUSTED=GAAP","Sort=A","Dates=H","DateFormat=P","Fill=—","Direction=H","UseDPDF=Y")</f>
        <v>7859</v>
      </c>
      <c r="AM54" s="13">
        <f>_xll.BDH("WMT US Equity","EBIT","FQ1 2026","FQ1 2026","Currency=USD","Period=FQ","BEST_FPERIOD_OVERRIDE=FQ","FILING_STATUS=MR","SCALING_FORMAT=MLN","FA_ADJUSTED=GAAP","Sort=A","Dates=H","DateFormat=P","Fill=—","Direction=H","UseDPDF=Y")</f>
        <v>7135</v>
      </c>
      <c r="AN54" s="13">
        <f>_xll.BDH("WMT US Equity","EBIT","FQ2 2026","FQ2 2026","Currency=USD","Period=FQ","BEST_FPERIOD_OVERRIDE=FQ","FILING_STATUS=MR","SCALING_FORMAT=MLN","FA_ADJUSTED=GAAP","Sort=A","Dates=H","DateFormat=P","Fill=—","Direction=H","UseDPDF=Y")</f>
        <v>7286</v>
      </c>
      <c r="AO54" s="13">
        <v>7149.893</v>
      </c>
      <c r="AP54" s="13">
        <v>8584.893</v>
      </c>
    </row>
    <row r="55" spans="1:42" x14ac:dyDescent="0.3">
      <c r="A55" s="10" t="s">
        <v>149</v>
      </c>
      <c r="B55" s="10" t="s">
        <v>150</v>
      </c>
      <c r="C55" s="14">
        <f>_xll.BDH("WMT US Equity","GROSS_MARGIN","FQ1 2017","FQ1 2017","Currency=USD","Period=FQ","BEST_FPERIOD_OVERRIDE=FQ","FILING_STATUS=MR","FA_ADJUSTED=GAAP","Sort=A","Dates=H","DateFormat=P","Fill=—","Direction=H","UseDPDF=Y")</f>
        <v>25.331299999999999</v>
      </c>
      <c r="D55" s="14">
        <f>_xll.BDH("WMT US Equity","GROSS_MARGIN","FQ2 2017","FQ2 2017","Currency=USD","Period=FQ","BEST_FPERIOD_OVERRIDE=FQ","FILING_STATUS=MR","FA_ADJUSTED=GAAP","Sort=A","Dates=H","DateFormat=P","Fill=—","Direction=H","UseDPDF=Y")</f>
        <v>25.956099999999999</v>
      </c>
      <c r="E55" s="14">
        <f>_xll.BDH("WMT US Equity","GROSS_MARGIN","FQ3 2017","FQ3 2017","Currency=USD","Period=FQ","BEST_FPERIOD_OVERRIDE=FQ","FILING_STATUS=MR","FA_ADJUSTED=GAAP","Sort=A","Dates=H","DateFormat=P","Fill=—","Direction=H","UseDPDF=Y")</f>
        <v>25.973299999999998</v>
      </c>
      <c r="F55" s="14">
        <f>_xll.BDH("WMT US Equity","GROSS_MARGIN","FQ4 2017","FQ4 2017","Currency=USD","Period=FQ","BEST_FPERIOD_OVERRIDE=FQ","FILING_STATUS=MR","FA_ADJUSTED=GAAP","Sort=A","Dates=H","DateFormat=P","Fill=—","Direction=H","UseDPDF=Y")</f>
        <v>25.3506</v>
      </c>
      <c r="G55" s="14">
        <f>_xll.BDH("WMT US Equity","GROSS_MARGIN","FQ1 2018","FQ1 2018","Currency=USD","Period=FQ","BEST_FPERIOD_OVERRIDE=FQ","FILING_STATUS=MR","FA_ADJUSTED=GAAP","Sort=A","Dates=H","DateFormat=P","Fill=—","Direction=H","UseDPDF=Y")</f>
        <v>25.398599999999998</v>
      </c>
      <c r="H55" s="14">
        <f>_xll.BDH("WMT US Equity","GROSS_MARGIN","FQ2 2018","FQ2 2018","Currency=USD","Period=FQ","BEST_FPERIOD_OVERRIDE=FQ","FILING_STATUS=MR","FA_ADJUSTED=GAAP","Sort=A","Dates=H","DateFormat=P","Fill=—","Direction=H","UseDPDF=Y")</f>
        <v>25.806799999999999</v>
      </c>
      <c r="I55" s="14">
        <f>_xll.BDH("WMT US Equity","GROSS_MARGIN","FQ3 2018","FQ3 2018","Currency=USD","Period=FQ","BEST_FPERIOD_OVERRIDE=FQ","FILING_STATUS=MR","FA_ADJUSTED=GAAP","Sort=A","Dates=H","DateFormat=P","Fill=—","Direction=H","UseDPDF=Y")</f>
        <v>25.6797</v>
      </c>
      <c r="J55" s="14">
        <f>_xll.BDH("WMT US Equity","GROSS_MARGIN","FQ4 2018","FQ4 2018","Currency=USD","Period=FQ","BEST_FPERIOD_OVERRIDE=FQ","FILING_STATUS=MR","FA_ADJUSTED=GAAP","Sort=A","Dates=H","DateFormat=P","Fill=—","Direction=H","UseDPDF=Y")</f>
        <v>24.677299999999999</v>
      </c>
      <c r="K55" s="14">
        <f>_xll.BDH("WMT US Equity","GROSS_MARGIN","FQ1 2019","FQ1 2019","Currency=USD","Period=FQ","BEST_FPERIOD_OVERRIDE=FQ","FILING_STATUS=MR","FA_ADJUSTED=GAAP","Sort=A","Dates=H","DateFormat=P","Fill=—","Direction=H","UseDPDF=Y")</f>
        <v>25.2531</v>
      </c>
      <c r="L55" s="14">
        <f>_xll.BDH("WMT US Equity","GROSS_MARGIN","FQ2 2019","FQ2 2019","Currency=USD","Period=FQ","BEST_FPERIOD_OVERRIDE=FQ","FILING_STATUS=MR","FA_ADJUSTED=GAAP","Sort=A","Dates=H","DateFormat=P","Fill=—","Direction=H","UseDPDF=Y")</f>
        <v>25.351500000000001</v>
      </c>
      <c r="M55" s="14">
        <f>_xll.BDH("WMT US Equity","GROSS_MARGIN","FQ3 2019","FQ3 2019","Currency=USD","Period=FQ","BEST_FPERIOD_OVERRIDE=FQ","FILING_STATUS=MR","FA_ADJUSTED=GAAP","Sort=A","Dates=H","DateFormat=P","Fill=—","Direction=H","UseDPDF=Y")</f>
        <v>25.443999999999999</v>
      </c>
      <c r="N55" s="14">
        <f>_xll.BDH("WMT US Equity","GROSS_MARGIN","FQ4 2019","FQ4 2019","Currency=USD","Period=FQ","BEST_FPERIOD_OVERRIDE=FQ","FILING_STATUS=MR","FA_ADJUSTED=GAAP","Sort=A","Dates=H","DateFormat=P","Fill=—","Direction=H","UseDPDF=Y")</f>
        <v>24.4148</v>
      </c>
      <c r="O55" s="14">
        <f>_xll.BDH("WMT US Equity","GROSS_MARGIN","FQ1 2020","FQ1 2020","Currency=USD","Period=FQ","BEST_FPERIOD_OVERRIDE=FQ","FILING_STATUS=MR","FA_ADJUSTED=GAAP","Sort=A","Dates=H","DateFormat=P","Fill=—","Direction=H","UseDPDF=Y")</f>
        <v>24.927199999999999</v>
      </c>
      <c r="P55" s="14">
        <f>_xll.BDH("WMT US Equity","GROSS_MARGIN","FQ2 2020","FQ2 2020","Currency=USD","Period=FQ","BEST_FPERIOD_OVERRIDE=FQ","FILING_STATUS=MR","FA_ADJUSTED=GAAP","Sort=A","Dates=H","DateFormat=P","Fill=—","Direction=H","UseDPDF=Y")</f>
        <v>24.892399999999999</v>
      </c>
      <c r="Q55" s="14">
        <f>_xll.BDH("WMT US Equity","GROSS_MARGIN","FQ3 2020","FQ3 2020","Currency=USD","Period=FQ","BEST_FPERIOD_OVERRIDE=FQ","FILING_STATUS=MR","FA_ADJUSTED=GAAP","Sort=A","Dates=H","DateFormat=P","Fill=—","Direction=H","UseDPDF=Y")</f>
        <v>25.072900000000001</v>
      </c>
      <c r="R55" s="14">
        <f>_xll.BDH("WMT US Equity","GROSS_MARGIN","FQ4 2020","FQ4 2020","Currency=USD","Period=FQ","BEST_FPERIOD_OVERRIDE=FQ","FILING_STATUS=MR","FA_ADJUSTED=GAAP","Sort=A","Dates=H","DateFormat=P","Fill=—","Direction=H","UseDPDF=Y")</f>
        <v>23.944900000000001</v>
      </c>
      <c r="S55" s="14">
        <f>_xll.BDH("WMT US Equity","GROSS_MARGIN","FQ1 2021","FQ1 2021","Currency=USD","Period=FQ","BEST_FPERIOD_OVERRIDE=FQ","FILING_STATUS=MR","FA_ADJUSTED=GAAP","Sort=A","Dates=H","DateFormat=P","Fill=—","Direction=H","UseDPDF=Y")</f>
        <v>24.213000000000001</v>
      </c>
      <c r="T55" s="14">
        <f>_xll.BDH("WMT US Equity","GROSS_MARGIN","FQ2 2021","FQ2 2021","Currency=USD","Period=FQ","BEST_FPERIOD_OVERRIDE=FQ","FILING_STATUS=MR","FA_ADJUSTED=GAAP","Sort=A","Dates=H","DateFormat=P","Fill=—","Direction=H","UseDPDF=Y")</f>
        <v>25.4483</v>
      </c>
      <c r="U55" s="14">
        <f>_xll.BDH("WMT US Equity","GROSS_MARGIN","FQ3 2021","FQ3 2021","Currency=USD","Period=FQ","BEST_FPERIOD_OVERRIDE=FQ","FILING_STATUS=MR","FA_ADJUSTED=GAAP","Sort=A","Dates=H","DateFormat=P","Fill=—","Direction=H","UseDPDF=Y")</f>
        <v>25.5137</v>
      </c>
      <c r="V55" s="14">
        <f>_xll.BDH("WMT US Equity","GROSS_MARGIN","FQ4 2021","FQ4 2021","Currency=USD","Period=FQ","BEST_FPERIOD_OVERRIDE=FQ","FILING_STATUS=MR","FA_ADJUSTED=GAAP","Sort=A","Dates=H","DateFormat=P","Fill=—","Direction=H","UseDPDF=Y")</f>
        <v>24.209800000000001</v>
      </c>
      <c r="W55" s="14">
        <f>_xll.BDH("WMT US Equity","GROSS_MARGIN","FQ1 2022","FQ1 2022","Currency=USD","Period=FQ","BEST_FPERIOD_OVERRIDE=FQ","FILING_STATUS=MR","FA_ADJUSTED=GAAP","Sort=A","Dates=H","DateFormat=P","Fill=—","Direction=H","UseDPDF=Y")</f>
        <v>25.332899999999999</v>
      </c>
      <c r="X55" s="14">
        <f>_xll.BDH("WMT US Equity","GROSS_MARGIN","FQ2 2022","FQ2 2022","Currency=USD","Period=FQ","BEST_FPERIOD_OVERRIDE=FQ","FILING_STATUS=MR","FA_ADJUSTED=GAAP","Sort=A","Dates=H","DateFormat=P","Fill=—","Direction=H","UseDPDF=Y")</f>
        <v>25.427499999999998</v>
      </c>
      <c r="Y55" s="14">
        <f>_xll.BDH("WMT US Equity","GROSS_MARGIN","FQ3 2022","FQ3 2022","Currency=USD","Period=FQ","BEST_FPERIOD_OVERRIDE=FQ","FILING_STATUS=MR","FA_ADJUSTED=GAAP","Sort=A","Dates=H","DateFormat=P","Fill=—","Direction=H","UseDPDF=Y")</f>
        <v>25.2638</v>
      </c>
      <c r="Z55" s="14">
        <f>_xll.BDH("WMT US Equity","GROSS_MARGIN","FQ4 2022","FQ4 2022","Currency=USD","Period=FQ","BEST_FPERIOD_OVERRIDE=FQ","FILING_STATUS=MR","FA_ADJUSTED=GAAP","Sort=A","Dates=H","DateFormat=P","Fill=—","Direction=H","UseDPDF=Y")</f>
        <v>24.431699999999999</v>
      </c>
      <c r="AA55" s="14">
        <f>_xll.BDH("WMT US Equity","GROSS_MARGIN","FQ1 2023","FQ1 2023","Currency=USD","Period=FQ","BEST_FPERIOD_OVERRIDE=FQ","FILING_STATUS=MR","FA_ADJUSTED=GAAP","Sort=A","Dates=H","DateFormat=P","Fill=—","Direction=H","UseDPDF=Y")</f>
        <v>24.526599999999998</v>
      </c>
      <c r="AB55" s="14">
        <f>_xll.BDH("WMT US Equity","GROSS_MARGIN","FQ2 2023","FQ2 2023","Currency=USD","Period=FQ","BEST_FPERIOD_OVERRIDE=FQ","FILING_STATUS=MR","FA_ADJUSTED=GAAP","Sort=A","Dates=H","DateFormat=P","Fill=—","Direction=H","UseDPDF=Y")</f>
        <v>24.219100000000001</v>
      </c>
      <c r="AC55" s="14">
        <f>_xll.BDH("WMT US Equity","GROSS_MARGIN","FQ3 2023","FQ3 2023","Currency=USD","Period=FQ","BEST_FPERIOD_OVERRIDE=FQ","FILING_STATUS=MR","FA_ADJUSTED=GAAP","Sort=A","Dates=H","DateFormat=P","Fill=—","Direction=H","UseDPDF=Y")</f>
        <v>24.343499999999999</v>
      </c>
      <c r="AD55" s="14">
        <f>_xll.BDH("WMT US Equity","GROSS_MARGIN","FQ4 2023","FQ4 2023","Currency=USD","Period=FQ","BEST_FPERIOD_OVERRIDE=FQ","FILING_STATUS=MR","FA_ADJUSTED=GAAP","Sort=A","Dates=H","DateFormat=P","Fill=—","Direction=H","UseDPDF=Y")</f>
        <v>23.544899999999998</v>
      </c>
      <c r="AE55" s="14">
        <f>_xll.BDH("WMT US Equity","GROSS_MARGIN","FQ1 2024","FQ1 2024","Currency=USD","Period=FQ","BEST_FPERIOD_OVERRIDE=FQ","FILING_STATUS=MR","FA_ADJUSTED=GAAP","Sort=A","Dates=H","DateFormat=P","Fill=—","Direction=H","UseDPDF=Y")</f>
        <v>24.305199999999999</v>
      </c>
      <c r="AF55" s="14">
        <f>_xll.BDH("WMT US Equity","GROSS_MARGIN","FQ2 2024","FQ2 2024","Currency=USD","Period=FQ","BEST_FPERIOD_OVERRIDE=FQ","FILING_STATUS=MR","FA_ADJUSTED=GAAP","Sort=A","Dates=H","DateFormat=P","Fill=—","Direction=H","UseDPDF=Y")</f>
        <v>24.6127</v>
      </c>
      <c r="AG55" s="14">
        <f>_xll.BDH("WMT US Equity","GROSS_MARGIN","FQ3 2024","FQ3 2024","Currency=USD","Period=FQ","BEST_FPERIOD_OVERRIDE=FQ","FILING_STATUS=MR","FA_ADJUSTED=GAAP","Sort=A","Dates=H","DateFormat=P","Fill=—","Direction=H","UseDPDF=Y")</f>
        <v>24.639299999999999</v>
      </c>
      <c r="AH55" s="14">
        <f>_xll.BDH("WMT US Equity","GROSS_MARGIN","FQ4 2024","FQ4 2024","Currency=USD","Period=FQ","BEST_FPERIOD_OVERRIDE=FQ","FILING_STATUS=MR","FA_ADJUSTED=GAAP","Sort=A","Dates=H","DateFormat=P","Fill=—","Direction=H","UseDPDF=Y")</f>
        <v>23.9711</v>
      </c>
      <c r="AI55" s="14">
        <f>_xll.BDH("WMT US Equity","GROSS_MARGIN","FQ1 2025","FQ1 2025","Currency=USD","Period=FQ","BEST_FPERIOD_OVERRIDE=FQ","FILING_STATUS=MR","FA_ADJUSTED=GAAP","Sort=A","Dates=H","DateFormat=P","Fill=—","Direction=H","UseDPDF=Y")</f>
        <v>24.814299999999999</v>
      </c>
      <c r="AJ55" s="14">
        <f>_xll.BDH("WMT US Equity","GROSS_MARGIN","FQ2 2025","FQ2 2025","Currency=USD","Period=FQ","BEST_FPERIOD_OVERRIDE=FQ","FILING_STATUS=MR","FA_ADJUSTED=GAAP","Sort=A","Dates=H","DateFormat=P","Fill=—","Direction=H","UseDPDF=Y")</f>
        <v>25.1129</v>
      </c>
      <c r="AK55" s="14">
        <f>_xll.BDH("WMT US Equity","GROSS_MARGIN","FQ3 2025","FQ3 2025","Currency=USD","Period=FQ","BEST_FPERIOD_OVERRIDE=FQ","FILING_STATUS=MR","FA_ADJUSTED=GAAP","Sort=A","Dates=H","DateFormat=P","Fill=—","Direction=H","UseDPDF=Y")</f>
        <v>24.912099999999999</v>
      </c>
      <c r="AL55" s="14">
        <f>_xll.BDH("WMT US Equity","GROSS_MARGIN","FQ4 2025","FQ4 2025","Currency=USD","Period=FQ","BEST_FPERIOD_OVERRIDE=FQ","FILING_STATUS=MR","FA_ADJUSTED=GAAP","Sort=A","Dates=H","DateFormat=P","Fill=—","Direction=H","UseDPDF=Y")</f>
        <v>24.581</v>
      </c>
      <c r="AM55" s="14">
        <f>_xll.BDH("WMT US Equity","GROSS_MARGIN","FQ1 2026","FQ1 2026","Currency=USD","Period=FQ","BEST_FPERIOD_OVERRIDE=FQ","FILING_STATUS=MR","FA_ADJUSTED=GAAP","Sort=A","Dates=H","DateFormat=P","Fill=—","Direction=H","UseDPDF=Y")</f>
        <v>24.9419</v>
      </c>
      <c r="AN55" s="14">
        <f>_xll.BDH("WMT US Equity","GROSS_MARGIN","FQ2 2026","FQ2 2026","Currency=USD","Period=FQ","BEST_FPERIOD_OVERRIDE=FQ","FILING_STATUS=MR","FA_ADJUSTED=GAAP","Sort=A","Dates=H","DateFormat=P","Fill=—","Direction=H","UseDPDF=Y")</f>
        <v>25.158100000000001</v>
      </c>
      <c r="AO55" s="14"/>
      <c r="AP55" s="14"/>
    </row>
    <row r="56" spans="1:42" x14ac:dyDescent="0.3">
      <c r="A56" s="10" t="s">
        <v>151</v>
      </c>
      <c r="B56" s="10" t="s">
        <v>152</v>
      </c>
      <c r="C56" s="14">
        <f>_xll.BDH("WMT US Equity","OPER_MARGIN","FQ1 2017","FQ1 2017","Currency=USD","Period=FQ","BEST_FPERIOD_OVERRIDE=FQ","FILING_STATUS=MR","FA_ADJUSTED=GAAP","Sort=A","Dates=H","DateFormat=P","Fill=—","Direction=H","UseDPDF=Y")</f>
        <v>4.5511999999999997</v>
      </c>
      <c r="D56" s="14">
        <f>_xll.BDH("WMT US Equity","OPER_MARGIN","FQ2 2017","FQ2 2017","Currency=USD","Period=FQ","BEST_FPERIOD_OVERRIDE=FQ","FILING_STATUS=MR","FA_ADJUSTED=GAAP","Sort=A","Dates=H","DateFormat=P","Fill=—","Direction=H","UseDPDF=Y")</f>
        <v>5.1012000000000004</v>
      </c>
      <c r="E56" s="14">
        <f>_xll.BDH("WMT US Equity","OPER_MARGIN","FQ3 2017","FQ3 2017","Currency=USD","Period=FQ","BEST_FPERIOD_OVERRIDE=FQ","FILING_STATUS=MR","FA_ADJUSTED=GAAP","Sort=A","Dates=H","DateFormat=P","Fill=—","Direction=H","UseDPDF=Y")</f>
        <v>4.3315999999999999</v>
      </c>
      <c r="F56" s="14">
        <f>_xll.BDH("WMT US Equity","OPER_MARGIN","FQ4 2017","FQ4 2017","Currency=USD","Period=FQ","BEST_FPERIOD_OVERRIDE=FQ","FILING_STATUS=MR","FA_ADJUSTED=GAAP","Sort=A","Dates=H","DateFormat=P","Fill=—","Direction=H","UseDPDF=Y")</f>
        <v>4.7389999999999999</v>
      </c>
      <c r="G56" s="14">
        <f>_xll.BDH("WMT US Equity","OPER_MARGIN","FQ1 2018","FQ1 2018","Currency=USD","Period=FQ","BEST_FPERIOD_OVERRIDE=FQ","FILING_STATUS=MR","FA_ADJUSTED=GAAP","Sort=A","Dates=H","DateFormat=P","Fill=—","Direction=H","UseDPDF=Y")</f>
        <v>4.4554</v>
      </c>
      <c r="H56" s="14">
        <f>_xll.BDH("WMT US Equity","OPER_MARGIN","FQ2 2018","FQ2 2018","Currency=USD","Period=FQ","BEST_FPERIOD_OVERRIDE=FQ","FILING_STATUS=MR","FA_ADJUSTED=GAAP","Sort=A","Dates=H","DateFormat=P","Fill=—","Direction=H","UseDPDF=Y")</f>
        <v>4.8388999999999998</v>
      </c>
      <c r="I56" s="14">
        <f>_xll.BDH("WMT US Equity","OPER_MARGIN","FQ3 2018","FQ3 2018","Currency=USD","Period=FQ","BEST_FPERIOD_OVERRIDE=FQ","FILING_STATUS=MR","FA_ADJUSTED=GAAP","Sort=A","Dates=H","DateFormat=P","Fill=—","Direction=H","UseDPDF=Y")</f>
        <v>3.8675000000000002</v>
      </c>
      <c r="J56" s="14">
        <f>_xll.BDH("WMT US Equity","OPER_MARGIN","FQ4 2018","FQ4 2018","Currency=USD","Period=FQ","BEST_FPERIOD_OVERRIDE=FQ","FILING_STATUS=MR","FA_ADJUSTED=GAAP","Sort=A","Dates=H","DateFormat=P","Fill=—","Direction=H","UseDPDF=Y")</f>
        <v>3.2780999999999998</v>
      </c>
      <c r="K56" s="14">
        <f>_xll.BDH("WMT US Equity","OPER_MARGIN","FQ1 2019","FQ1 2019","Currency=USD","Period=FQ","BEST_FPERIOD_OVERRIDE=FQ","FILING_STATUS=MR","FA_ADJUSTED=GAAP","Sort=A","Dates=H","DateFormat=P","Fill=—","Direction=H","UseDPDF=Y")</f>
        <v>4.2008000000000001</v>
      </c>
      <c r="L56" s="14">
        <f>_xll.BDH("WMT US Equity","OPER_MARGIN","FQ2 2019","FQ2 2019","Currency=USD","Period=FQ","BEST_FPERIOD_OVERRIDE=FQ","FILING_STATUS=MR","FA_ADJUSTED=GAAP","Sort=A","Dates=H","DateFormat=P","Fill=—","Direction=H","UseDPDF=Y")</f>
        <v>4.4912000000000001</v>
      </c>
      <c r="M56" s="14">
        <f>_xll.BDH("WMT US Equity","OPER_MARGIN","FQ3 2019","FQ3 2019","Currency=USD","Period=FQ","BEST_FPERIOD_OVERRIDE=FQ","FILING_STATUS=MR","FA_ADJUSTED=GAAP","Sort=A","Dates=H","DateFormat=P","Fill=—","Direction=H","UseDPDF=Y")</f>
        <v>3.9922</v>
      </c>
      <c r="N56" s="14">
        <f>_xll.BDH("WMT US Equity","OPER_MARGIN","FQ4 2019","FQ4 2019","Currency=USD","Period=FQ","BEST_FPERIOD_OVERRIDE=FQ","FILING_STATUS=MR","FA_ADJUSTED=GAAP","Sort=A","Dates=H","DateFormat=P","Fill=—","Direction=H","UseDPDF=Y")</f>
        <v>4.3712999999999997</v>
      </c>
      <c r="O56" s="14">
        <f>_xll.BDH("WMT US Equity","OPER_MARGIN","FQ1 2020","FQ1 2020","Currency=USD","Period=FQ","BEST_FPERIOD_OVERRIDE=FQ","FILING_STATUS=MR","FA_ADJUSTED=GAAP","Sort=A","Dates=H","DateFormat=P","Fill=—","Direction=H","UseDPDF=Y")</f>
        <v>3.9903</v>
      </c>
      <c r="P56" s="14">
        <f>_xll.BDH("WMT US Equity","OPER_MARGIN","FQ2 2020","FQ2 2020","Currency=USD","Period=FQ","BEST_FPERIOD_OVERRIDE=FQ","FILING_STATUS=MR","FA_ADJUSTED=GAAP","Sort=A","Dates=H","DateFormat=P","Fill=—","Direction=H","UseDPDF=Y")</f>
        <v>4.2821999999999996</v>
      </c>
      <c r="Q56" s="14">
        <f>_xll.BDH("WMT US Equity","OPER_MARGIN","FQ3 2020","FQ3 2020","Currency=USD","Period=FQ","BEST_FPERIOD_OVERRIDE=FQ","FILING_STATUS=MR","FA_ADJUSTED=GAAP","Sort=A","Dates=H","DateFormat=P","Fill=—","Direction=H","UseDPDF=Y")</f>
        <v>3.6861999999999999</v>
      </c>
      <c r="R56" s="14">
        <f>_xll.BDH("WMT US Equity","OPER_MARGIN","FQ4 2020","FQ4 2020","Currency=USD","Period=FQ","BEST_FPERIOD_OVERRIDE=FQ","FILING_STATUS=MR","FA_ADJUSTED=GAAP","Sort=A","Dates=H","DateFormat=P","Fill=—","Direction=H","UseDPDF=Y")</f>
        <v>3.7566000000000002</v>
      </c>
      <c r="S56" s="14">
        <f>_xll.BDH("WMT US Equity","OPER_MARGIN","FQ1 2021","FQ1 2021","Currency=USD","Period=FQ","BEST_FPERIOD_OVERRIDE=FQ","FILING_STATUS=MR","FA_ADJUSTED=GAAP","Sort=A","Dates=H","DateFormat=P","Fill=—","Direction=H","UseDPDF=Y")</f>
        <v>3.8805000000000001</v>
      </c>
      <c r="T56" s="14">
        <f>_xll.BDH("WMT US Equity","OPER_MARGIN","FQ2 2021","FQ2 2021","Currency=USD","Period=FQ","BEST_FPERIOD_OVERRIDE=FQ","FILING_STATUS=MR","FA_ADJUSTED=GAAP","Sort=A","Dates=H","DateFormat=P","Fill=—","Direction=H","UseDPDF=Y")</f>
        <v>4.3987999999999996</v>
      </c>
      <c r="U56" s="14">
        <f>_xll.BDH("WMT US Equity","OPER_MARGIN","FQ3 2021","FQ3 2021","Currency=USD","Period=FQ","BEST_FPERIOD_OVERRIDE=FQ","FILING_STATUS=MR","FA_ADJUSTED=GAAP","Sort=A","Dates=H","DateFormat=P","Fill=—","Direction=H","UseDPDF=Y")</f>
        <v>4.2892999999999999</v>
      </c>
      <c r="V56" s="14">
        <f>_xll.BDH("WMT US Equity","OPER_MARGIN","FQ4 2021","FQ4 2021","Currency=USD","Period=FQ","BEST_FPERIOD_OVERRIDE=FQ","FILING_STATUS=MR","FA_ADJUSTED=GAAP","Sort=A","Dates=H","DateFormat=P","Fill=—","Direction=H","UseDPDF=Y")</f>
        <v>3.6080000000000001</v>
      </c>
      <c r="W56" s="14">
        <f>_xll.BDH("WMT US Equity","OPER_MARGIN","FQ1 2022","FQ1 2022","Currency=USD","Period=FQ","BEST_FPERIOD_OVERRIDE=FQ","FILING_STATUS=MR","FA_ADJUSTED=GAAP","Sort=A","Dates=H","DateFormat=P","Fill=—","Direction=H","UseDPDF=Y")</f>
        <v>4.9953000000000003</v>
      </c>
      <c r="X56" s="14">
        <f>_xll.BDH("WMT US Equity","OPER_MARGIN","FQ2 2022","FQ2 2022","Currency=USD","Period=FQ","BEST_FPERIOD_OVERRIDE=FQ","FILING_STATUS=MR","FA_ADJUSTED=GAAP","Sort=A","Dates=H","DateFormat=P","Fill=—","Direction=H","UseDPDF=Y")</f>
        <v>5.2138</v>
      </c>
      <c r="Y56" s="14">
        <f>_xll.BDH("WMT US Equity","OPER_MARGIN","FQ3 2022","FQ3 2022","Currency=USD","Period=FQ","BEST_FPERIOD_OVERRIDE=FQ","FILING_STATUS=MR","FA_ADJUSTED=GAAP","Sort=A","Dates=H","DateFormat=P","Fill=—","Direction=H","UseDPDF=Y")</f>
        <v>4.1216999999999997</v>
      </c>
      <c r="Z56" s="14">
        <f>_xll.BDH("WMT US Equity","OPER_MARGIN","FQ4 2022","FQ4 2022","Currency=USD","Period=FQ","BEST_FPERIOD_OVERRIDE=FQ","FILING_STATUS=MR","FA_ADJUSTED=GAAP","Sort=A","Dates=H","DateFormat=P","Fill=—","Direction=H","UseDPDF=Y")</f>
        <v>3.851</v>
      </c>
      <c r="AA56" s="14">
        <f>_xll.BDH("WMT US Equity","OPER_MARGIN","FQ1 2023","FQ1 2023","Currency=USD","Period=FQ","BEST_FPERIOD_OVERRIDE=FQ","FILING_STATUS=MR","FA_ADJUSTED=GAAP","Sort=A","Dates=H","DateFormat=P","Fill=—","Direction=H","UseDPDF=Y")</f>
        <v>3.7565</v>
      </c>
      <c r="AB56" s="14">
        <f>_xll.BDH("WMT US Equity","OPER_MARGIN","FQ2 2023","FQ2 2023","Currency=USD","Period=FQ","BEST_FPERIOD_OVERRIDE=FQ","FILING_STATUS=MR","FA_ADJUSTED=GAAP","Sort=A","Dates=H","DateFormat=P","Fill=—","Direction=H","UseDPDF=Y")</f>
        <v>4.4839000000000002</v>
      </c>
      <c r="AC56" s="14">
        <f>_xll.BDH("WMT US Equity","OPER_MARGIN","FQ3 2023","FQ3 2023","Currency=USD","Period=FQ","BEST_FPERIOD_OVERRIDE=FQ","FILING_STATUS=MR","FA_ADJUSTED=GAAP","Sort=A","Dates=H","DateFormat=P","Fill=—","Direction=H","UseDPDF=Y")</f>
        <v>1.7636000000000001</v>
      </c>
      <c r="AD56" s="14">
        <f>_xll.BDH("WMT US Equity","OPER_MARGIN","FQ4 2023","FQ4 2023","Currency=USD","Period=FQ","BEST_FPERIOD_OVERRIDE=FQ","FILING_STATUS=MR","FA_ADJUSTED=GAAP","Sort=A","Dates=H","DateFormat=P","Fill=—","Direction=H","UseDPDF=Y")</f>
        <v>3.3898999999999999</v>
      </c>
      <c r="AE56" s="14">
        <f>_xll.BDH("WMT US Equity","OPER_MARGIN","FQ1 2024","FQ1 2024","Currency=USD","Period=FQ","BEST_FPERIOD_OVERRIDE=FQ","FILING_STATUS=MR","FA_ADJUSTED=GAAP","Sort=A","Dates=H","DateFormat=P","Fill=—","Direction=H","UseDPDF=Y")</f>
        <v>4.0971000000000002</v>
      </c>
      <c r="AF56" s="14">
        <f>_xll.BDH("WMT US Equity","OPER_MARGIN","FQ2 2024","FQ2 2024","Currency=USD","Period=FQ","BEST_FPERIOD_OVERRIDE=FQ","FILING_STATUS=MR","FA_ADJUSTED=GAAP","Sort=A","Dates=H","DateFormat=P","Fill=—","Direction=H","UseDPDF=Y")</f>
        <v>4.5263</v>
      </c>
      <c r="AG56" s="14">
        <f>_xll.BDH("WMT US Equity","OPER_MARGIN","FQ3 2024","FQ3 2024","Currency=USD","Period=FQ","BEST_FPERIOD_OVERRIDE=FQ","FILING_STATUS=MR","FA_ADJUSTED=GAAP","Sort=A","Dates=H","DateFormat=P","Fill=—","Direction=H","UseDPDF=Y")</f>
        <v>3.8569</v>
      </c>
      <c r="AH56" s="14">
        <f>_xll.BDH("WMT US Equity","OPER_MARGIN","FQ4 2024","FQ4 2024","Currency=USD","Period=FQ","BEST_FPERIOD_OVERRIDE=FQ","FILING_STATUS=MR","FA_ADJUSTED=GAAP","Sort=A","Dates=H","DateFormat=P","Fill=—","Direction=H","UseDPDF=Y")</f>
        <v>4.1837</v>
      </c>
      <c r="AI56" s="14">
        <f>_xll.BDH("WMT US Equity","OPER_MARGIN","FQ1 2025","FQ1 2025","Currency=USD","Period=FQ","BEST_FPERIOD_OVERRIDE=FQ","FILING_STATUS=MR","FA_ADJUSTED=GAAP","Sort=A","Dates=H","DateFormat=P","Fill=—","Direction=H","UseDPDF=Y")</f>
        <v>4.2356999999999996</v>
      </c>
      <c r="AJ56" s="14">
        <f>_xll.BDH("WMT US Equity","OPER_MARGIN","FQ2 2025","FQ2 2025","Currency=USD","Period=FQ","BEST_FPERIOD_OVERRIDE=FQ","FILING_STATUS=MR","FA_ADJUSTED=GAAP","Sort=A","Dates=H","DateFormat=P","Fill=—","Direction=H","UseDPDF=Y")</f>
        <v>4.6889000000000003</v>
      </c>
      <c r="AK56" s="14">
        <f>_xll.BDH("WMT US Equity","OPER_MARGIN","FQ3 2025","FQ3 2025","Currency=USD","Period=FQ","BEST_FPERIOD_OVERRIDE=FQ","FILING_STATUS=MR","FA_ADJUSTED=GAAP","Sort=A","Dates=H","DateFormat=P","Fill=—","Direction=H","UseDPDF=Y")</f>
        <v>3.9554999999999998</v>
      </c>
      <c r="AL56" s="14">
        <f>_xll.BDH("WMT US Equity","OPER_MARGIN","FQ4 2025","FQ4 2025","Currency=USD","Period=FQ","BEST_FPERIOD_OVERRIDE=FQ","FILING_STATUS=MR","FA_ADJUSTED=GAAP","Sort=A","Dates=H","DateFormat=P","Fill=—","Direction=H","UseDPDF=Y")</f>
        <v>4.3526999999999996</v>
      </c>
      <c r="AM56" s="14">
        <f>_xll.BDH("WMT US Equity","OPER_MARGIN","FQ1 2026","FQ1 2026","Currency=USD","Period=FQ","BEST_FPERIOD_OVERRIDE=FQ","FILING_STATUS=MR","FA_ADJUSTED=GAAP","Sort=A","Dates=H","DateFormat=P","Fill=—","Direction=H","UseDPDF=Y")</f>
        <v>4.3083</v>
      </c>
      <c r="AN56" s="14">
        <f>_xll.BDH("WMT US Equity","OPER_MARGIN","FQ2 2026","FQ2 2026","Currency=USD","Period=FQ","BEST_FPERIOD_OVERRIDE=FQ","FILING_STATUS=MR","FA_ADJUSTED=GAAP","Sort=A","Dates=H","DateFormat=P","Fill=—","Direction=H","UseDPDF=Y")</f>
        <v>4.1071</v>
      </c>
      <c r="AO56" s="14">
        <v>4.0294864762492599</v>
      </c>
      <c r="AP56" s="14">
        <v>4.5274763783688599</v>
      </c>
    </row>
    <row r="57" spans="1:42" x14ac:dyDescent="0.3">
      <c r="A57" s="10" t="s">
        <v>153</v>
      </c>
      <c r="B57" s="10" t="s">
        <v>154</v>
      </c>
      <c r="C57" s="14">
        <f>_xll.BDH("WMT US Equity","PROF_MARGIN","FQ1 2017","FQ1 2017","Currency=USD","Period=FQ","BEST_FPERIOD_OVERRIDE=FQ","FILING_STATUS=MR","FA_ADJUSTED=GAAP","Sort=A","Dates=H","DateFormat=P","Fill=—","Direction=H","UseDPDF=Y")</f>
        <v>2.6564999999999999</v>
      </c>
      <c r="D57" s="14">
        <f>_xll.BDH("WMT US Equity","PROF_MARGIN","FQ2 2017","FQ2 2017","Currency=USD","Period=FQ","BEST_FPERIOD_OVERRIDE=FQ","FILING_STATUS=MR","FA_ADJUSTED=GAAP","Sort=A","Dates=H","DateFormat=P","Fill=—","Direction=H","UseDPDF=Y")</f>
        <v>3.1219000000000001</v>
      </c>
      <c r="E57" s="14">
        <f>_xll.BDH("WMT US Equity","PROF_MARGIN","FQ3 2017","FQ3 2017","Currency=USD","Period=FQ","BEST_FPERIOD_OVERRIDE=FQ","FILING_STATUS=MR","FA_ADJUSTED=GAAP","Sort=A","Dates=H","DateFormat=P","Fill=—","Direction=H","UseDPDF=Y")</f>
        <v>2.5672999999999999</v>
      </c>
      <c r="F57" s="14">
        <f>_xll.BDH("WMT US Equity","PROF_MARGIN","FQ4 2017","FQ4 2017","Currency=USD","Period=FQ","BEST_FPERIOD_OVERRIDE=FQ","FILING_STATUS=MR","FA_ADJUSTED=GAAP","Sort=A","Dates=H","DateFormat=P","Fill=—","Direction=H","UseDPDF=Y")</f>
        <v>2.8693</v>
      </c>
      <c r="G57" s="14">
        <f>_xll.BDH("WMT US Equity","PROF_MARGIN","FQ1 2018","FQ1 2018","Currency=USD","Period=FQ","BEST_FPERIOD_OVERRIDE=FQ","FILING_STATUS=MR","FA_ADJUSTED=GAAP","Sort=A","Dates=H","DateFormat=P","Fill=—","Direction=H","UseDPDF=Y")</f>
        <v>2.5855000000000001</v>
      </c>
      <c r="H57" s="14">
        <f>_xll.BDH("WMT US Equity","PROF_MARGIN","FQ2 2018","FQ2 2018","Currency=USD","Period=FQ","BEST_FPERIOD_OVERRIDE=FQ","FILING_STATUS=MR","FA_ADJUSTED=GAAP","Sort=A","Dates=H","DateFormat=P","Fill=—","Direction=H","UseDPDF=Y")</f>
        <v>2.3500999999999999</v>
      </c>
      <c r="I57" s="14">
        <f>_xll.BDH("WMT US Equity","PROF_MARGIN","FQ3 2018","FQ3 2018","Currency=USD","Period=FQ","BEST_FPERIOD_OVERRIDE=FQ","FILING_STATUS=MR","FA_ADJUSTED=GAAP","Sort=A","Dates=H","DateFormat=P","Fill=—","Direction=H","UseDPDF=Y")</f>
        <v>1.4198999999999999</v>
      </c>
      <c r="J57" s="14">
        <f>_xll.BDH("WMT US Equity","PROF_MARGIN","FQ4 2018","FQ4 2018","Currency=USD","Period=FQ","BEST_FPERIOD_OVERRIDE=FQ","FILING_STATUS=MR","FA_ADJUSTED=GAAP","Sort=A","Dates=H","DateFormat=P","Fill=—","Direction=H","UseDPDF=Y")</f>
        <v>1.5961000000000001</v>
      </c>
      <c r="K57" s="14">
        <f>_xll.BDH("WMT US Equity","PROF_MARGIN","FQ1 2019","FQ1 2019","Currency=USD","Period=FQ","BEST_FPERIOD_OVERRIDE=FQ","FILING_STATUS=MR","FA_ADJUSTED=GAAP","Sort=A","Dates=H","DateFormat=P","Fill=—","Direction=H","UseDPDF=Y")</f>
        <v>1.7393000000000001</v>
      </c>
      <c r="L57" s="14">
        <f>_xll.BDH("WMT US Equity","PROF_MARGIN","FQ2 2019","FQ2 2019","Currency=USD","Period=FQ","BEST_FPERIOD_OVERRIDE=FQ","FILING_STATUS=MR","FA_ADJUSTED=GAAP","Sort=A","Dates=H","DateFormat=P","Fill=—","Direction=H","UseDPDF=Y")</f>
        <v>-0.67249999999999999</v>
      </c>
      <c r="M57" s="14">
        <f>_xll.BDH("WMT US Equity","PROF_MARGIN","FQ3 2019","FQ3 2019","Currency=USD","Period=FQ","BEST_FPERIOD_OVERRIDE=FQ","FILING_STATUS=MR","FA_ADJUSTED=GAAP","Sort=A","Dates=H","DateFormat=P","Fill=—","Direction=H","UseDPDF=Y")</f>
        <v>1.3692</v>
      </c>
      <c r="N57" s="14">
        <f>_xll.BDH("WMT US Equity","PROF_MARGIN","FQ4 2019","FQ4 2019","Currency=USD","Period=FQ","BEST_FPERIOD_OVERRIDE=FQ","FILING_STATUS=MR","FA_ADJUSTED=GAAP","Sort=A","Dates=H","DateFormat=P","Fill=—","Direction=H","UseDPDF=Y")</f>
        <v>2.6564999999999999</v>
      </c>
      <c r="O57" s="14">
        <f>_xll.BDH("WMT US Equity","PROF_MARGIN","FQ1 2020","FQ1 2020","Currency=USD","Period=FQ","BEST_FPERIOD_OVERRIDE=FQ","FILING_STATUS=MR","FA_ADJUSTED=GAAP","Sort=A","Dates=H","DateFormat=P","Fill=—","Direction=H","UseDPDF=Y")</f>
        <v>3.1002999999999998</v>
      </c>
      <c r="P57" s="14">
        <f>_xll.BDH("WMT US Equity","PROF_MARGIN","FQ2 2020","FQ2 2020","Currency=USD","Period=FQ","BEST_FPERIOD_OVERRIDE=FQ","FILING_STATUS=MR","FA_ADJUSTED=GAAP","Sort=A","Dates=H","DateFormat=P","Fill=—","Direction=H","UseDPDF=Y")</f>
        <v>2.7688999999999999</v>
      </c>
      <c r="Q57" s="14">
        <f>_xll.BDH("WMT US Equity","PROF_MARGIN","FQ3 2020","FQ3 2020","Currency=USD","Period=FQ","BEST_FPERIOD_OVERRIDE=FQ","FILING_STATUS=MR","FA_ADJUSTED=GAAP","Sort=A","Dates=H","DateFormat=P","Fill=—","Direction=H","UseDPDF=Y")</f>
        <v>2.5689000000000002</v>
      </c>
      <c r="R57" s="14">
        <f>_xll.BDH("WMT US Equity","PROF_MARGIN","FQ4 2020","FQ4 2020","Currency=USD","Period=FQ","BEST_FPERIOD_OVERRIDE=FQ","FILING_STATUS=MR","FA_ADJUSTED=GAAP","Sort=A","Dates=H","DateFormat=P","Fill=—","Direction=H","UseDPDF=Y")</f>
        <v>2.923</v>
      </c>
      <c r="S57" s="14">
        <f>_xll.BDH("WMT US Equity","PROF_MARGIN","FQ1 2021","FQ1 2021","Currency=USD","Period=FQ","BEST_FPERIOD_OVERRIDE=FQ","FILING_STATUS=MR","FA_ADJUSTED=GAAP","Sort=A","Dates=H","DateFormat=P","Fill=—","Direction=H","UseDPDF=Y")</f>
        <v>2.9639000000000002</v>
      </c>
      <c r="T57" s="14">
        <f>_xll.BDH("WMT US Equity","PROF_MARGIN","FQ2 2021","FQ2 2021","Currency=USD","Period=FQ","BEST_FPERIOD_OVERRIDE=FQ","FILING_STATUS=MR","FA_ADJUSTED=GAAP","Sort=A","Dates=H","DateFormat=P","Fill=—","Direction=H","UseDPDF=Y")</f>
        <v>4.7015000000000002</v>
      </c>
      <c r="U57" s="14">
        <f>_xll.BDH("WMT US Equity","PROF_MARGIN","FQ3 2021","FQ3 2021","Currency=USD","Period=FQ","BEST_FPERIOD_OVERRIDE=FQ","FILING_STATUS=MR","FA_ADJUSTED=GAAP","Sort=A","Dates=H","DateFormat=P","Fill=—","Direction=H","UseDPDF=Y")</f>
        <v>3.8119000000000001</v>
      </c>
      <c r="V57" s="14">
        <f>_xll.BDH("WMT US Equity","PROF_MARGIN","FQ4 2021","FQ4 2021","Currency=USD","Period=FQ","BEST_FPERIOD_OVERRIDE=FQ","FILING_STATUS=MR","FA_ADJUSTED=GAAP","Sort=A","Dates=H","DateFormat=P","Fill=—","Direction=H","UseDPDF=Y")</f>
        <v>-1.3749</v>
      </c>
      <c r="W57" s="14">
        <f>_xll.BDH("WMT US Equity","PROF_MARGIN","FQ1 2022","FQ1 2022","Currency=USD","Period=FQ","BEST_FPERIOD_OVERRIDE=FQ","FILING_STATUS=MR","FA_ADJUSTED=GAAP","Sort=A","Dates=H","DateFormat=P","Fill=—","Direction=H","UseDPDF=Y")</f>
        <v>1.9738</v>
      </c>
      <c r="X57" s="14">
        <f>_xll.BDH("WMT US Equity","PROF_MARGIN","FQ2 2022","FQ2 2022","Currency=USD","Period=FQ","BEST_FPERIOD_OVERRIDE=FQ","FILING_STATUS=MR","FA_ADJUSTED=GAAP","Sort=A","Dates=H","DateFormat=P","Fill=—","Direction=H","UseDPDF=Y")</f>
        <v>3.0316000000000001</v>
      </c>
      <c r="Y57" s="14">
        <f>_xll.BDH("WMT US Equity","PROF_MARGIN","FQ3 2022","FQ3 2022","Currency=USD","Period=FQ","BEST_FPERIOD_OVERRIDE=FQ","FILING_STATUS=MR","FA_ADJUSTED=GAAP","Sort=A","Dates=H","DateFormat=P","Fill=—","Direction=H","UseDPDF=Y")</f>
        <v>2.2096</v>
      </c>
      <c r="Z57" s="14">
        <f>_xll.BDH("WMT US Equity","PROF_MARGIN","FQ4 2022","FQ4 2022","Currency=USD","Period=FQ","BEST_FPERIOD_OVERRIDE=FQ","FILING_STATUS=MR","FA_ADJUSTED=GAAP","Sort=A","Dates=H","DateFormat=P","Fill=—","Direction=H","UseDPDF=Y")</f>
        <v>2.3300999999999998</v>
      </c>
      <c r="AA57" s="14">
        <f>_xll.BDH("WMT US Equity","PROF_MARGIN","FQ1 2023","FQ1 2023","Currency=USD","Period=FQ","BEST_FPERIOD_OVERRIDE=FQ","FILING_STATUS=MR","FA_ADJUSTED=GAAP","Sort=A","Dates=H","DateFormat=P","Fill=—","Direction=H","UseDPDF=Y")</f>
        <v>1.4509000000000001</v>
      </c>
      <c r="AB57" s="14">
        <f>_xll.BDH("WMT US Equity","PROF_MARGIN","FQ2 2023","FQ2 2023","Currency=USD","Period=FQ","BEST_FPERIOD_OVERRIDE=FQ","FILING_STATUS=MR","FA_ADJUSTED=GAAP","Sort=A","Dates=H","DateFormat=P","Fill=—","Direction=H","UseDPDF=Y")</f>
        <v>3.3685</v>
      </c>
      <c r="AC57" s="14">
        <f>_xll.BDH("WMT US Equity","PROF_MARGIN","FQ3 2023","FQ3 2023","Currency=USD","Period=FQ","BEST_FPERIOD_OVERRIDE=FQ","FILING_STATUS=MR","FA_ADJUSTED=GAAP","Sort=A","Dates=H","DateFormat=P","Fill=—","Direction=H","UseDPDF=Y")</f>
        <v>-1.1766000000000001</v>
      </c>
      <c r="AD57" s="14">
        <f>_xll.BDH("WMT US Equity","PROF_MARGIN","FQ4 2023","FQ4 2023","Currency=USD","Period=FQ","BEST_FPERIOD_OVERRIDE=FQ","FILING_STATUS=MR","FA_ADJUSTED=GAAP","Sort=A","Dates=H","DateFormat=P","Fill=—","Direction=H","UseDPDF=Y")</f>
        <v>3.8250999999999999</v>
      </c>
      <c r="AE57" s="14">
        <f>_xll.BDH("WMT US Equity","PROF_MARGIN","FQ1 2024","FQ1 2024","Currency=USD","Period=FQ","BEST_FPERIOD_OVERRIDE=FQ","FILING_STATUS=MR","FA_ADJUSTED=GAAP","Sort=A","Dates=H","DateFormat=P","Fill=—","Direction=H","UseDPDF=Y")</f>
        <v>1.0985</v>
      </c>
      <c r="AF57" s="14">
        <f>_xll.BDH("WMT US Equity","PROF_MARGIN","FQ2 2024","FQ2 2024","Currency=USD","Period=FQ","BEST_FPERIOD_OVERRIDE=FQ","FILING_STATUS=MR","FA_ADJUSTED=GAAP","Sort=A","Dates=H","DateFormat=P","Fill=—","Direction=H","UseDPDF=Y")</f>
        <v>4.8821000000000003</v>
      </c>
      <c r="AG57" s="14">
        <f>_xll.BDH("WMT US Equity","PROF_MARGIN","FQ3 2024","FQ3 2024","Currency=USD","Period=FQ","BEST_FPERIOD_OVERRIDE=FQ","FILING_STATUS=MR","FA_ADJUSTED=GAAP","Sort=A","Dates=H","DateFormat=P","Fill=—","Direction=H","UseDPDF=Y")</f>
        <v>0.28170000000000001</v>
      </c>
      <c r="AH57" s="14">
        <f>_xll.BDH("WMT US Equity","PROF_MARGIN","FQ4 2024","FQ4 2024","Currency=USD","Period=FQ","BEST_FPERIOD_OVERRIDE=FQ","FILING_STATUS=MR","FA_ADJUSTED=GAAP","Sort=A","Dates=H","DateFormat=P","Fill=—","Direction=H","UseDPDF=Y")</f>
        <v>3.1686000000000001</v>
      </c>
      <c r="AI57" s="14">
        <f>_xll.BDH("WMT US Equity","PROF_MARGIN","FQ1 2025","FQ1 2025","Currency=USD","Period=FQ","BEST_FPERIOD_OVERRIDE=FQ","FILING_STATUS=MR","FA_ADJUSTED=GAAP","Sort=A","Dates=H","DateFormat=P","Fill=—","Direction=H","UseDPDF=Y")</f>
        <v>3.1602000000000001</v>
      </c>
      <c r="AJ57" s="14">
        <f>_xll.BDH("WMT US Equity","PROF_MARGIN","FQ2 2025","FQ2 2025","Currency=USD","Period=FQ","BEST_FPERIOD_OVERRIDE=FQ","FILING_STATUS=MR","FA_ADJUSTED=GAAP","Sort=A","Dates=H","DateFormat=P","Fill=—","Direction=H","UseDPDF=Y")</f>
        <v>2.6579999999999999</v>
      </c>
      <c r="AK57" s="14">
        <f>_xll.BDH("WMT US Equity","PROF_MARGIN","FQ3 2025","FQ3 2025","Currency=USD","Period=FQ","BEST_FPERIOD_OVERRIDE=FQ","FILING_STATUS=MR","FA_ADJUSTED=GAAP","Sort=A","Dates=H","DateFormat=P","Fill=—","Direction=H","UseDPDF=Y")</f>
        <v>2.6989000000000001</v>
      </c>
      <c r="AL57" s="14">
        <f>_xll.BDH("WMT US Equity","PROF_MARGIN","FQ4 2025","FQ4 2025","Currency=USD","Period=FQ","BEST_FPERIOD_OVERRIDE=FQ","FILING_STATUS=MR","FA_ADJUSTED=GAAP","Sort=A","Dates=H","DateFormat=P","Fill=—","Direction=H","UseDPDF=Y")</f>
        <v>2.9098999999999999</v>
      </c>
      <c r="AM57" s="14">
        <f>_xll.BDH("WMT US Equity","PROF_MARGIN","FQ1 2026","FQ1 2026","Currency=USD","Period=FQ","BEST_FPERIOD_OVERRIDE=FQ","FILING_STATUS=MR","FA_ADJUSTED=GAAP","Sort=A","Dates=H","DateFormat=P","Fill=—","Direction=H","UseDPDF=Y")</f>
        <v>2.7094</v>
      </c>
      <c r="AN57" s="14">
        <f>_xll.BDH("WMT US Equity","PROF_MARGIN","FQ2 2026","FQ2 2026","Currency=USD","Period=FQ","BEST_FPERIOD_OVERRIDE=FQ","FILING_STATUS=MR","FA_ADJUSTED=GAAP","Sort=A","Dates=H","DateFormat=P","Fill=—","Direction=H","UseDPDF=Y")</f>
        <v>3.9605000000000001</v>
      </c>
      <c r="AO57" s="14">
        <v>2.71041687436679</v>
      </c>
      <c r="AP57" s="14">
        <v>3.0690987310720499</v>
      </c>
    </row>
    <row r="58" spans="1:42" x14ac:dyDescent="0.3">
      <c r="A58" s="10" t="s">
        <v>155</v>
      </c>
      <c r="B58" s="10" t="s">
        <v>156</v>
      </c>
      <c r="C58" s="14" t="str">
        <f>_xll.BDH("WMT US Equity","ACTUAL_SALES_PER_EMPL","FQ1 2017","FQ1 2017","Currency=USD","Period=FQ","BEST_FPERIOD_OVERRIDE=FQ","FILING_STATUS=MR","FA_ADJUSTED=GAAP","Sort=A","Dates=H","DateFormat=P","Fill=—","Direction=H","UseDPDF=Y")</f>
        <v>—</v>
      </c>
      <c r="D58" s="14" t="str">
        <f>_xll.BDH("WMT US Equity","ACTUAL_SALES_PER_EMPL","FQ2 2017","FQ2 2017","Currency=USD","Period=FQ","BEST_FPERIOD_OVERRIDE=FQ","FILING_STATUS=MR","FA_ADJUSTED=GAAP","Sort=A","Dates=H","DateFormat=P","Fill=—","Direction=H","UseDPDF=Y")</f>
        <v>—</v>
      </c>
      <c r="E58" s="14" t="str">
        <f>_xll.BDH("WMT US Equity","ACTUAL_SALES_PER_EMPL","FQ3 2017","FQ3 2017","Currency=USD","Period=FQ","BEST_FPERIOD_OVERRIDE=FQ","FILING_STATUS=MR","FA_ADJUSTED=GAAP","Sort=A","Dates=H","DateFormat=P","Fill=—","Direction=H","UseDPDF=Y")</f>
        <v>—</v>
      </c>
      <c r="F58" s="14">
        <f>_xll.BDH("WMT US Equity","ACTUAL_SALES_PER_EMPL","FQ4 2017","FQ4 2017","Currency=USD","Period=FQ","BEST_FPERIOD_OVERRIDE=FQ","FILING_STATUS=MR","FA_ADJUSTED=GAAP","Sort=A","Dates=H","DateFormat=P","Fill=—","Direction=H","UseDPDF=Y")</f>
        <v>56928.695699999997</v>
      </c>
      <c r="G58" s="14" t="str">
        <f>_xll.BDH("WMT US Equity","ACTUAL_SALES_PER_EMPL","FQ1 2018","FQ1 2018","Currency=USD","Period=FQ","BEST_FPERIOD_OVERRIDE=FQ","FILING_STATUS=MR","FA_ADJUSTED=GAAP","Sort=A","Dates=H","DateFormat=P","Fill=—","Direction=H","UseDPDF=Y")</f>
        <v>—</v>
      </c>
      <c r="H58" s="14" t="str">
        <f>_xll.BDH("WMT US Equity","ACTUAL_SALES_PER_EMPL","FQ2 2018","FQ2 2018","Currency=USD","Period=FQ","BEST_FPERIOD_OVERRIDE=FQ","FILING_STATUS=MR","FA_ADJUSTED=GAAP","Sort=A","Dates=H","DateFormat=P","Fill=—","Direction=H","UseDPDF=Y")</f>
        <v>—</v>
      </c>
      <c r="I58" s="14" t="str">
        <f>_xll.BDH("WMT US Equity","ACTUAL_SALES_PER_EMPL","FQ3 2018","FQ3 2018","Currency=USD","Period=FQ","BEST_FPERIOD_OVERRIDE=FQ","FILING_STATUS=MR","FA_ADJUSTED=GAAP","Sort=A","Dates=H","DateFormat=P","Fill=—","Direction=H","UseDPDF=Y")</f>
        <v>—</v>
      </c>
      <c r="J58" s="14">
        <f>_xll.BDH("WMT US Equity","ACTUAL_SALES_PER_EMPL","FQ4 2018","FQ4 2018","Currency=USD","Period=FQ","BEST_FPERIOD_OVERRIDE=FQ","FILING_STATUS=MR","FA_ADJUSTED=GAAP","Sort=A","Dates=H","DateFormat=P","Fill=—","Direction=H","UseDPDF=Y")</f>
        <v>59246.521699999998</v>
      </c>
      <c r="K58" s="14" t="str">
        <f>_xll.BDH("WMT US Equity","ACTUAL_SALES_PER_EMPL","FQ1 2019","FQ1 2019","Currency=USD","Period=FQ","BEST_FPERIOD_OVERRIDE=FQ","FILING_STATUS=MR","FA_ADJUSTED=GAAP","Sort=A","Dates=H","DateFormat=P","Fill=—","Direction=H","UseDPDF=Y")</f>
        <v>—</v>
      </c>
      <c r="L58" s="14" t="str">
        <f>_xll.BDH("WMT US Equity","ACTUAL_SALES_PER_EMPL","FQ2 2019","FQ2 2019","Currency=USD","Period=FQ","BEST_FPERIOD_OVERRIDE=FQ","FILING_STATUS=MR","FA_ADJUSTED=GAAP","Sort=A","Dates=H","DateFormat=P","Fill=—","Direction=H","UseDPDF=Y")</f>
        <v>—</v>
      </c>
      <c r="M58" s="14" t="str">
        <f>_xll.BDH("WMT US Equity","ACTUAL_SALES_PER_EMPL","FQ3 2019","FQ3 2019","Currency=USD","Period=FQ","BEST_FPERIOD_OVERRIDE=FQ","FILING_STATUS=MR","FA_ADJUSTED=GAAP","Sort=A","Dates=H","DateFormat=P","Fill=—","Direction=H","UseDPDF=Y")</f>
        <v>—</v>
      </c>
      <c r="N58" s="14">
        <f>_xll.BDH("WMT US Equity","ACTUAL_SALES_PER_EMPL","FQ4 2019","FQ4 2019","Currency=USD","Period=FQ","BEST_FPERIOD_OVERRIDE=FQ","FILING_STATUS=MR","FA_ADJUSTED=GAAP","Sort=A","Dates=H","DateFormat=P","Fill=—","Direction=H","UseDPDF=Y")</f>
        <v>63087.727299999999</v>
      </c>
      <c r="O58" s="14" t="str">
        <f>_xll.BDH("WMT US Equity","ACTUAL_SALES_PER_EMPL","FQ1 2020","FQ1 2020","Currency=USD","Period=FQ","BEST_FPERIOD_OVERRIDE=FQ","FILING_STATUS=MR","FA_ADJUSTED=GAAP","Sort=A","Dates=H","DateFormat=P","Fill=—","Direction=H","UseDPDF=Y")</f>
        <v>—</v>
      </c>
      <c r="P58" s="14" t="str">
        <f>_xll.BDH("WMT US Equity","ACTUAL_SALES_PER_EMPL","FQ2 2020","FQ2 2020","Currency=USD","Period=FQ","BEST_FPERIOD_OVERRIDE=FQ","FILING_STATUS=MR","FA_ADJUSTED=GAAP","Sort=A","Dates=H","DateFormat=P","Fill=—","Direction=H","UseDPDF=Y")</f>
        <v>—</v>
      </c>
      <c r="Q58" s="14" t="str">
        <f>_xll.BDH("WMT US Equity","ACTUAL_SALES_PER_EMPL","FQ3 2020","FQ3 2020","Currency=USD","Period=FQ","BEST_FPERIOD_OVERRIDE=FQ","FILING_STATUS=MR","FA_ADJUSTED=GAAP","Sort=A","Dates=H","DateFormat=P","Fill=—","Direction=H","UseDPDF=Y")</f>
        <v>—</v>
      </c>
      <c r="R58" s="14">
        <f>_xll.BDH("WMT US Equity","ACTUAL_SALES_PER_EMPL","FQ4 2020","FQ4 2020","Currency=USD","Period=FQ","BEST_FPERIOD_OVERRIDE=FQ","FILING_STATUS=MR","FA_ADJUSTED=GAAP","Sort=A","Dates=H","DateFormat=P","Fill=—","Direction=H","UseDPDF=Y")</f>
        <v>64395.909099999997</v>
      </c>
      <c r="S58" s="14" t="str">
        <f>_xll.BDH("WMT US Equity","ACTUAL_SALES_PER_EMPL","FQ1 2021","FQ1 2021","Currency=USD","Period=FQ","BEST_FPERIOD_OVERRIDE=FQ","FILING_STATUS=MR","FA_ADJUSTED=GAAP","Sort=A","Dates=H","DateFormat=P","Fill=—","Direction=H","UseDPDF=Y")</f>
        <v>—</v>
      </c>
      <c r="T58" s="14" t="str">
        <f>_xll.BDH("WMT US Equity","ACTUAL_SALES_PER_EMPL","FQ2 2021","FQ2 2021","Currency=USD","Period=FQ","BEST_FPERIOD_OVERRIDE=FQ","FILING_STATUS=MR","FA_ADJUSTED=GAAP","Sort=A","Dates=H","DateFormat=P","Fill=—","Direction=H","UseDPDF=Y")</f>
        <v>—</v>
      </c>
      <c r="U58" s="14" t="str">
        <f>_xll.BDH("WMT US Equity","ACTUAL_SALES_PER_EMPL","FQ3 2021","FQ3 2021","Currency=USD","Period=FQ","BEST_FPERIOD_OVERRIDE=FQ","FILING_STATUS=MR","FA_ADJUSTED=GAAP","Sort=A","Dates=H","DateFormat=P","Fill=—","Direction=H","UseDPDF=Y")</f>
        <v>—</v>
      </c>
      <c r="V58" s="14">
        <f>_xll.BDH("WMT US Equity","ACTUAL_SALES_PER_EMPL","FQ4 2021","FQ4 2021","Currency=USD","Period=FQ","BEST_FPERIOD_OVERRIDE=FQ","FILING_STATUS=MR","FA_ADJUSTED=GAAP","Sort=A","Dates=H","DateFormat=P","Fill=—","Direction=H","UseDPDF=Y")</f>
        <v>66121.304300000003</v>
      </c>
      <c r="W58" s="14" t="str">
        <f>_xll.BDH("WMT US Equity","ACTUAL_SALES_PER_EMPL","FQ1 2022","FQ1 2022","Currency=USD","Period=FQ","BEST_FPERIOD_OVERRIDE=FQ","FILING_STATUS=MR","FA_ADJUSTED=GAAP","Sort=A","Dates=H","DateFormat=P","Fill=—","Direction=H","UseDPDF=Y")</f>
        <v>—</v>
      </c>
      <c r="X58" s="14" t="str">
        <f>_xll.BDH("WMT US Equity","ACTUAL_SALES_PER_EMPL","FQ2 2022","FQ2 2022","Currency=USD","Period=FQ","BEST_FPERIOD_OVERRIDE=FQ","FILING_STATUS=MR","FA_ADJUSTED=GAAP","Sort=A","Dates=H","DateFormat=P","Fill=—","Direction=H","UseDPDF=Y")</f>
        <v>—</v>
      </c>
      <c r="Y58" s="14" t="str">
        <f>_xll.BDH("WMT US Equity","ACTUAL_SALES_PER_EMPL","FQ3 2022","FQ3 2022","Currency=USD","Period=FQ","BEST_FPERIOD_OVERRIDE=FQ","FILING_STATUS=MR","FA_ADJUSTED=GAAP","Sort=A","Dates=H","DateFormat=P","Fill=—","Direction=H","UseDPDF=Y")</f>
        <v>—</v>
      </c>
      <c r="Z58" s="14">
        <f>_xll.BDH("WMT US Equity","ACTUAL_SALES_PER_EMPL","FQ4 2022","FQ4 2022","Currency=USD","Period=FQ","BEST_FPERIOD_OVERRIDE=FQ","FILING_STATUS=MR","FA_ADJUSTED=GAAP","Sort=A","Dates=H","DateFormat=P","Fill=—","Direction=H","UseDPDF=Y")</f>
        <v>66465.652199999997</v>
      </c>
      <c r="AA58" s="14" t="str">
        <f>_xll.BDH("WMT US Equity","ACTUAL_SALES_PER_EMPL","FQ1 2023","FQ1 2023","Currency=USD","Period=FQ","BEST_FPERIOD_OVERRIDE=FQ","FILING_STATUS=MR","FA_ADJUSTED=GAAP","Sort=A","Dates=H","DateFormat=P","Fill=—","Direction=H","UseDPDF=Y")</f>
        <v>—</v>
      </c>
      <c r="AB58" s="14" t="str">
        <f>_xll.BDH("WMT US Equity","ACTUAL_SALES_PER_EMPL","FQ2 2023","FQ2 2023","Currency=USD","Period=FQ","BEST_FPERIOD_OVERRIDE=FQ","FILING_STATUS=MR","FA_ADJUSTED=GAAP","Sort=A","Dates=H","DateFormat=P","Fill=—","Direction=H","UseDPDF=Y")</f>
        <v>—</v>
      </c>
      <c r="AC58" s="14" t="str">
        <f>_xll.BDH("WMT US Equity","ACTUAL_SALES_PER_EMPL","FQ3 2023","FQ3 2023","Currency=USD","Period=FQ","BEST_FPERIOD_OVERRIDE=FQ","FILING_STATUS=MR","FA_ADJUSTED=GAAP","Sort=A","Dates=H","DateFormat=P","Fill=—","Direction=H","UseDPDF=Y")</f>
        <v>—</v>
      </c>
      <c r="AD58" s="14">
        <f>_xll.BDH("WMT US Equity","ACTUAL_SALES_PER_EMPL","FQ4 2023","FQ4 2023","Currency=USD","Period=FQ","BEST_FPERIOD_OVERRIDE=FQ","FILING_STATUS=MR","FA_ADJUSTED=GAAP","Sort=A","Dates=H","DateFormat=P","Fill=—","Direction=H","UseDPDF=Y")</f>
        <v>78118.095199999996</v>
      </c>
      <c r="AE58" s="14" t="str">
        <f>_xll.BDH("WMT US Equity","ACTUAL_SALES_PER_EMPL","FQ1 2024","FQ1 2024","Currency=USD","Period=FQ","BEST_FPERIOD_OVERRIDE=FQ","FILING_STATUS=MR","FA_ADJUSTED=GAAP","Sort=A","Dates=H","DateFormat=P","Fill=—","Direction=H","UseDPDF=Y")</f>
        <v>—</v>
      </c>
      <c r="AF58" s="14" t="str">
        <f>_xll.BDH("WMT US Equity","ACTUAL_SALES_PER_EMPL","FQ2 2024","FQ2 2024","Currency=USD","Period=FQ","BEST_FPERIOD_OVERRIDE=FQ","FILING_STATUS=MR","FA_ADJUSTED=GAAP","Sort=A","Dates=H","DateFormat=P","Fill=—","Direction=H","UseDPDF=Y")</f>
        <v>—</v>
      </c>
      <c r="AG58" s="14" t="str">
        <f>_xll.BDH("WMT US Equity","ACTUAL_SALES_PER_EMPL","FQ3 2024","FQ3 2024","Currency=USD","Period=FQ","BEST_FPERIOD_OVERRIDE=FQ","FILING_STATUS=MR","FA_ADJUSTED=GAAP","Sort=A","Dates=H","DateFormat=P","Fill=—","Direction=H","UseDPDF=Y")</f>
        <v>—</v>
      </c>
      <c r="AH58" s="14">
        <f>_xll.BDH("WMT US Equity","ACTUAL_SALES_PER_EMPL","FQ4 2024","FQ4 2024","Currency=USD","Period=FQ","BEST_FPERIOD_OVERRIDE=FQ","FILING_STATUS=MR","FA_ADJUSTED=GAAP","Sort=A","Dates=H","DateFormat=P","Fill=—","Direction=H","UseDPDF=Y")</f>
        <v>82565.714300000007</v>
      </c>
      <c r="AI58" s="14" t="str">
        <f>_xll.BDH("WMT US Equity","ACTUAL_SALES_PER_EMPL","FQ1 2025","FQ1 2025","Currency=USD","Period=FQ","BEST_FPERIOD_OVERRIDE=FQ","FILING_STATUS=MR","FA_ADJUSTED=GAAP","Sort=A","Dates=H","DateFormat=P","Fill=—","Direction=H","UseDPDF=Y")</f>
        <v>—</v>
      </c>
      <c r="AJ58" s="14" t="str">
        <f>_xll.BDH("WMT US Equity","ACTUAL_SALES_PER_EMPL","FQ2 2025","FQ2 2025","Currency=USD","Period=FQ","BEST_FPERIOD_OVERRIDE=FQ","FILING_STATUS=MR","FA_ADJUSTED=GAAP","Sort=A","Dates=H","DateFormat=P","Fill=—","Direction=H","UseDPDF=Y")</f>
        <v>—</v>
      </c>
      <c r="AK58" s="14" t="str">
        <f>_xll.BDH("WMT US Equity","ACTUAL_SALES_PER_EMPL","FQ3 2025","FQ3 2025","Currency=USD","Period=FQ","BEST_FPERIOD_OVERRIDE=FQ","FILING_STATUS=MR","FA_ADJUSTED=GAAP","Sort=A","Dates=H","DateFormat=P","Fill=—","Direction=H","UseDPDF=Y")</f>
        <v>—</v>
      </c>
      <c r="AL58" s="14">
        <f>_xll.BDH("WMT US Equity","ACTUAL_SALES_PER_EMPL","FQ4 2025","FQ4 2025","Currency=USD","Period=FQ","BEST_FPERIOD_OVERRIDE=FQ","FILING_STATUS=MR","FA_ADJUSTED=GAAP","Sort=A","Dates=H","DateFormat=P","Fill=—","Direction=H","UseDPDF=Y")</f>
        <v>85978.095199999996</v>
      </c>
      <c r="AM58" s="14" t="str">
        <f>_xll.BDH("WMT US Equity","ACTUAL_SALES_PER_EMPL","FQ1 2026","FQ1 2026","Currency=USD","Period=FQ","BEST_FPERIOD_OVERRIDE=FQ","FILING_STATUS=MR","FA_ADJUSTED=GAAP","Sort=A","Dates=H","DateFormat=P","Fill=—","Direction=H","UseDPDF=Y")</f>
        <v>—</v>
      </c>
      <c r="AN58" s="14" t="str">
        <f>_xll.BDH("WMT US Equity","ACTUAL_SALES_PER_EMPL","FQ2 2026","FQ2 2026","Currency=USD","Period=FQ","BEST_FPERIOD_OVERRIDE=FQ","FILING_STATUS=MR","FA_ADJUSTED=GAAP","Sort=A","Dates=H","DateFormat=P","Fill=—","Direction=H","UseDPDF=Y")</f>
        <v>—</v>
      </c>
      <c r="AO58" s="14"/>
      <c r="AP58" s="14"/>
    </row>
    <row r="59" spans="1:42" x14ac:dyDescent="0.3">
      <c r="A59" s="10" t="s">
        <v>157</v>
      </c>
      <c r="B59" s="10" t="s">
        <v>158</v>
      </c>
      <c r="C59" s="14">
        <f>_xll.BDH("WMT US Equity","EQY_DPS","FQ1 2017","FQ1 2017","Currency=USD","Period=FQ","BEST_FPERIOD_OVERRIDE=FQ","FILING_STATUS=MR","Sort=A","Dates=H","DateFormat=P","Fill=—","Direction=H","UseDPDF=Y")</f>
        <v>0.16669999999999999</v>
      </c>
      <c r="D59" s="14">
        <f>_xll.BDH("WMT US Equity","EQY_DPS","FQ2 2017","FQ2 2017","Currency=USD","Period=FQ","BEST_FPERIOD_OVERRIDE=FQ","FILING_STATUS=MR","Sort=A","Dates=H","DateFormat=P","Fill=—","Direction=H","UseDPDF=Y")</f>
        <v>0.16669999999999999</v>
      </c>
      <c r="E59" s="14">
        <f>_xll.BDH("WMT US Equity","EQY_DPS","FQ3 2017","FQ3 2017","Currency=USD","Period=FQ","BEST_FPERIOD_OVERRIDE=FQ","FILING_STATUS=MR","Sort=A","Dates=H","DateFormat=P","Fill=—","Direction=H","UseDPDF=Y")</f>
        <v>0.16669999999999999</v>
      </c>
      <c r="F59" s="14">
        <f>_xll.BDH("WMT US Equity","EQY_DPS","FQ4 2017","FQ4 2017","Currency=USD","Period=FQ","BEST_FPERIOD_OVERRIDE=FQ","FILING_STATUS=MR","Sort=A","Dates=H","DateFormat=P","Fill=—","Direction=H","UseDPDF=Y")</f>
        <v>0.16669999999999999</v>
      </c>
      <c r="G59" s="14">
        <f>_xll.BDH("WMT US Equity","EQY_DPS","FQ1 2018","FQ1 2018","Currency=USD","Period=FQ","BEST_FPERIOD_OVERRIDE=FQ","FILING_STATUS=MR","Sort=A","Dates=H","DateFormat=P","Fill=—","Direction=H","UseDPDF=Y")</f>
        <v>0.17</v>
      </c>
      <c r="H59" s="14">
        <f>_xll.BDH("WMT US Equity","EQY_DPS","FQ2 2018","FQ2 2018","Currency=USD","Period=FQ","BEST_FPERIOD_OVERRIDE=FQ","FILING_STATUS=MR","Sort=A","Dates=H","DateFormat=P","Fill=—","Direction=H","UseDPDF=Y")</f>
        <v>0.17</v>
      </c>
      <c r="I59" s="14">
        <f>_xll.BDH("WMT US Equity","EQY_DPS","FQ3 2018","FQ3 2018","Currency=USD","Period=FQ","BEST_FPERIOD_OVERRIDE=FQ","FILING_STATUS=MR","Sort=A","Dates=H","DateFormat=P","Fill=—","Direction=H","UseDPDF=Y")</f>
        <v>0.17</v>
      </c>
      <c r="J59" s="14">
        <f>_xll.BDH("WMT US Equity","EQY_DPS","FQ4 2018","FQ4 2018","Currency=USD","Period=FQ","BEST_FPERIOD_OVERRIDE=FQ","FILING_STATUS=MR","Sort=A","Dates=H","DateFormat=P","Fill=—","Direction=H","UseDPDF=Y")</f>
        <v>0.17</v>
      </c>
      <c r="K59" s="14">
        <f>_xll.BDH("WMT US Equity","EQY_DPS","FQ1 2019","FQ1 2019","Currency=USD","Period=FQ","BEST_FPERIOD_OVERRIDE=FQ","FILING_STATUS=MR","Sort=A","Dates=H","DateFormat=P","Fill=—","Direction=H","UseDPDF=Y")</f>
        <v>0.17330000000000001</v>
      </c>
      <c r="L59" s="14">
        <f>_xll.BDH("WMT US Equity","EQY_DPS","FQ2 2019","FQ2 2019","Currency=USD","Period=FQ","BEST_FPERIOD_OVERRIDE=FQ","FILING_STATUS=MR","Sort=A","Dates=H","DateFormat=P","Fill=—","Direction=H","UseDPDF=Y")</f>
        <v>0.17330000000000001</v>
      </c>
      <c r="M59" s="14">
        <f>_xll.BDH("WMT US Equity","EQY_DPS","FQ3 2019","FQ3 2019","Currency=USD","Period=FQ","BEST_FPERIOD_OVERRIDE=FQ","FILING_STATUS=MR","Sort=A","Dates=H","DateFormat=P","Fill=—","Direction=H","UseDPDF=Y")</f>
        <v>0.17330000000000001</v>
      </c>
      <c r="N59" s="14">
        <f>_xll.BDH("WMT US Equity","EQY_DPS","FQ4 2019","FQ4 2019","Currency=USD","Period=FQ","BEST_FPERIOD_OVERRIDE=FQ","FILING_STATUS=MR","Sort=A","Dates=H","DateFormat=P","Fill=—","Direction=H","UseDPDF=Y")</f>
        <v>0.17330000000000001</v>
      </c>
      <c r="O59" s="14">
        <f>_xll.BDH("WMT US Equity","EQY_DPS","FQ1 2020","FQ1 2020","Currency=USD","Period=FQ","BEST_FPERIOD_OVERRIDE=FQ","FILING_STATUS=MR","Sort=A","Dates=H","DateFormat=P","Fill=—","Direction=H","UseDPDF=Y")</f>
        <v>0.1767</v>
      </c>
      <c r="P59" s="14">
        <f>_xll.BDH("WMT US Equity","EQY_DPS","FQ2 2020","FQ2 2020","Currency=USD","Period=FQ","BEST_FPERIOD_OVERRIDE=FQ","FILING_STATUS=MR","Sort=A","Dates=H","DateFormat=P","Fill=—","Direction=H","UseDPDF=Y")</f>
        <v>0.1767</v>
      </c>
      <c r="Q59" s="14">
        <f>_xll.BDH("WMT US Equity","EQY_DPS","FQ3 2020","FQ3 2020","Currency=USD","Period=FQ","BEST_FPERIOD_OVERRIDE=FQ","FILING_STATUS=MR","Sort=A","Dates=H","DateFormat=P","Fill=—","Direction=H","UseDPDF=Y")</f>
        <v>0.1767</v>
      </c>
      <c r="R59" s="14">
        <f>_xll.BDH("WMT US Equity","EQY_DPS","FQ4 2020","FQ4 2020","Currency=USD","Period=FQ","BEST_FPERIOD_OVERRIDE=FQ","FILING_STATUS=MR","Sort=A","Dates=H","DateFormat=P","Fill=—","Direction=H","UseDPDF=Y")</f>
        <v>0.1767</v>
      </c>
      <c r="S59" s="14">
        <f>_xll.BDH("WMT US Equity","EQY_DPS","FQ1 2021","FQ1 2021","Currency=USD","Period=FQ","BEST_FPERIOD_OVERRIDE=FQ","FILING_STATUS=MR","Sort=A","Dates=H","DateFormat=P","Fill=—","Direction=H","UseDPDF=Y")</f>
        <v>0.18329999999999999</v>
      </c>
      <c r="T59" s="14">
        <f>_xll.BDH("WMT US Equity","EQY_DPS","FQ2 2021","FQ2 2021","Currency=USD","Period=FQ","BEST_FPERIOD_OVERRIDE=FQ","FILING_STATUS=MR","Sort=A","Dates=H","DateFormat=P","Fill=—","Direction=H","UseDPDF=Y")</f>
        <v>0.18</v>
      </c>
      <c r="U59" s="14">
        <f>_xll.BDH("WMT US Equity","EQY_DPS","FQ3 2021","FQ3 2021","Currency=USD","Period=FQ","BEST_FPERIOD_OVERRIDE=FQ","FILING_STATUS=MR","Sort=A","Dates=H","DateFormat=P","Fill=—","Direction=H","UseDPDF=Y")</f>
        <v>0.18</v>
      </c>
      <c r="V59" s="14">
        <f>_xll.BDH("WMT US Equity","EQY_DPS","FQ4 2021","FQ4 2021","Currency=USD","Period=FQ","BEST_FPERIOD_OVERRIDE=FQ","FILING_STATUS=MR","Sort=A","Dates=H","DateFormat=P","Fill=—","Direction=H","UseDPDF=Y")</f>
        <v>0.18329999999999999</v>
      </c>
      <c r="W59" s="14">
        <f>_xll.BDH("WMT US Equity","EQY_DPS","FQ1 2022","FQ1 2022","Currency=USD","Period=FQ","BEST_FPERIOD_OVERRIDE=FQ","FILING_STATUS=MR","Sort=A","Dates=H","DateFormat=P","Fill=—","Direction=H","UseDPDF=Y")</f>
        <v>0.18329999999999999</v>
      </c>
      <c r="X59" s="14">
        <f>_xll.BDH("WMT US Equity","EQY_DPS","FQ2 2022","FQ2 2022","Currency=USD","Period=FQ","BEST_FPERIOD_OVERRIDE=FQ","FILING_STATUS=MR","Sort=A","Dates=H","DateFormat=P","Fill=—","Direction=H","UseDPDF=Y")</f>
        <v>0.18329999999999999</v>
      </c>
      <c r="Y59" s="14">
        <f>_xll.BDH("WMT US Equity","EQY_DPS","FQ3 2022","FQ3 2022","Currency=USD","Period=FQ","BEST_FPERIOD_OVERRIDE=FQ","FILING_STATUS=MR","Sort=A","Dates=H","DateFormat=P","Fill=—","Direction=H","UseDPDF=Y")</f>
        <v>0.18329999999999999</v>
      </c>
      <c r="Z59" s="14">
        <f>_xll.BDH("WMT US Equity","EQY_DPS","FQ4 2022","FQ4 2022","Currency=USD","Period=FQ","BEST_FPERIOD_OVERRIDE=FQ","FILING_STATUS=MR","Sort=A","Dates=H","DateFormat=P","Fill=—","Direction=H","UseDPDF=Y")</f>
        <v>0.18329999999999999</v>
      </c>
      <c r="AA59" s="14">
        <f>_xll.BDH("WMT US Equity","EQY_DPS","FQ1 2023","FQ1 2023","Currency=USD","Period=FQ","BEST_FPERIOD_OVERRIDE=FQ","FILING_STATUS=MR","Sort=A","Dates=H","DateFormat=P","Fill=—","Direction=H","UseDPDF=Y")</f>
        <v>0.1867</v>
      </c>
      <c r="AB59" s="14">
        <f>_xll.BDH("WMT US Equity","EQY_DPS","FQ2 2023","FQ2 2023","Currency=USD","Period=FQ","BEST_FPERIOD_OVERRIDE=FQ","FILING_STATUS=MR","Sort=A","Dates=H","DateFormat=P","Fill=—","Direction=H","UseDPDF=Y")</f>
        <v>0.1867</v>
      </c>
      <c r="AC59" s="14">
        <f>_xll.BDH("WMT US Equity","EQY_DPS","FQ3 2023","FQ3 2023","Currency=USD","Period=FQ","BEST_FPERIOD_OVERRIDE=FQ","FILING_STATUS=MR","Sort=A","Dates=H","DateFormat=P","Fill=—","Direction=H","UseDPDF=Y")</f>
        <v>0.1867</v>
      </c>
      <c r="AD59" s="14">
        <f>_xll.BDH("WMT US Equity","EQY_DPS","FQ4 2023","FQ4 2023","Currency=USD","Period=FQ","BEST_FPERIOD_OVERRIDE=FQ","FILING_STATUS=MR","Sort=A","Dates=H","DateFormat=P","Fill=—","Direction=H","UseDPDF=Y")</f>
        <v>0.1867</v>
      </c>
      <c r="AE59" s="14">
        <f>_xll.BDH("WMT US Equity","EQY_DPS","FQ1 2024","FQ1 2024","Currency=USD","Period=FQ","BEST_FPERIOD_OVERRIDE=FQ","FILING_STATUS=MR","Sort=A","Dates=H","DateFormat=P","Fill=—","Direction=H","UseDPDF=Y")</f>
        <v>0.19</v>
      </c>
      <c r="AF59" s="14">
        <f>_xll.BDH("WMT US Equity","EQY_DPS","FQ2 2024","FQ2 2024","Currency=USD","Period=FQ","BEST_FPERIOD_OVERRIDE=FQ","FILING_STATUS=MR","Sort=A","Dates=H","DateFormat=P","Fill=—","Direction=H","UseDPDF=Y")</f>
        <v>0.19</v>
      </c>
      <c r="AG59" s="14">
        <f>_xll.BDH("WMT US Equity","EQY_DPS","FQ3 2024","FQ3 2024","Currency=USD","Period=FQ","BEST_FPERIOD_OVERRIDE=FQ","FILING_STATUS=MR","Sort=A","Dates=H","DateFormat=P","Fill=—","Direction=H","UseDPDF=Y")</f>
        <v>0.19</v>
      </c>
      <c r="AH59" s="14">
        <f>_xll.BDH("WMT US Equity","EQY_DPS","FQ4 2024","FQ4 2024","Currency=USD","Period=FQ","BEST_FPERIOD_OVERRIDE=FQ","FILING_STATUS=MR","Sort=A","Dates=H","DateFormat=P","Fill=—","Direction=H","UseDPDF=Y")</f>
        <v>0.19</v>
      </c>
      <c r="AI59" s="14">
        <f>_xll.BDH("WMT US Equity","EQY_DPS","FQ1 2025","FQ1 2025","Currency=USD","Period=FQ","BEST_FPERIOD_OVERRIDE=FQ","FILING_STATUS=MR","Sort=A","Dates=H","DateFormat=P","Fill=—","Direction=H","UseDPDF=Y")</f>
        <v>0.83</v>
      </c>
      <c r="AJ59" s="14">
        <f>_xll.BDH("WMT US Equity","EQY_DPS","FQ2 2025","FQ2 2025","Currency=USD","Period=FQ","BEST_FPERIOD_OVERRIDE=FQ","FILING_STATUS=MR","Sort=A","Dates=H","DateFormat=P","Fill=—","Direction=H","UseDPDF=Y")</f>
        <v>0.20749999999999999</v>
      </c>
      <c r="AK59" s="14">
        <f>_xll.BDH("WMT US Equity","EQY_DPS","FQ3 2025","FQ3 2025","Currency=USD","Period=FQ","BEST_FPERIOD_OVERRIDE=FQ","FILING_STATUS=MR","Sort=A","Dates=H","DateFormat=P","Fill=—","Direction=H","UseDPDF=Y")</f>
        <v>0.20749999999999999</v>
      </c>
      <c r="AL59" s="14">
        <f>_xll.BDH("WMT US Equity","EQY_DPS","FQ4 2025","FQ4 2025","Currency=USD","Period=FQ","BEST_FPERIOD_OVERRIDE=FQ","FILING_STATUS=MR","Sort=A","Dates=H","DateFormat=P","Fill=—","Direction=H","UseDPDF=Y")</f>
        <v>0.20749999999999999</v>
      </c>
      <c r="AM59" s="14">
        <f>_xll.BDH("WMT US Equity","EQY_DPS","FQ1 2026","FQ1 2026","Currency=USD","Period=FQ","BEST_FPERIOD_OVERRIDE=FQ","FILING_STATUS=MR","Sort=A","Dates=H","DateFormat=P","Fill=—","Direction=H","UseDPDF=Y")</f>
        <v>0.94</v>
      </c>
      <c r="AN59" s="14">
        <f>_xll.BDH("WMT US Equity","EQY_DPS","FQ2 2026","FQ2 2026","Currency=USD","Period=FQ","BEST_FPERIOD_OVERRIDE=FQ","FILING_STATUS=MR","Sort=A","Dates=H","DateFormat=P","Fill=—","Direction=H","UseDPDF=Y")</f>
        <v>0.23499999999999999</v>
      </c>
      <c r="AO59" s="14">
        <v>0.219</v>
      </c>
      <c r="AP59" s="14">
        <v>0.221</v>
      </c>
    </row>
    <row r="60" spans="1:42" x14ac:dyDescent="0.3">
      <c r="A60" s="10" t="s">
        <v>159</v>
      </c>
      <c r="B60" s="10" t="s">
        <v>160</v>
      </c>
      <c r="C60" s="13">
        <f>_xll.BDH("WMT US Equity","IS_TOT_CASH_COM_DVD","FQ1 2017","FQ1 2017","Currency=USD","Period=FQ","BEST_FPERIOD_OVERRIDE=FQ","FILING_STATUS=MR","SCALING_FORMAT=MLN","Sort=A","Dates=H","DateFormat=P","Fill=—","Direction=H","UseDPDF=Y")</f>
        <v>1573</v>
      </c>
      <c r="D60" s="13">
        <f>_xll.BDH("WMT US Equity","IS_TOT_CASH_COM_DVD","FQ2 2017","FQ2 2017","Currency=USD","Period=FQ","BEST_FPERIOD_OVERRIDE=FQ","FILING_STATUS=MR","SCALING_FORMAT=MLN","Sort=A","Dates=H","DateFormat=P","Fill=—","Direction=H","UseDPDF=Y")</f>
        <v>1560</v>
      </c>
      <c r="E60" s="13">
        <f>_xll.BDH("WMT US Equity","IS_TOT_CASH_COM_DVD","FQ3 2017","FQ3 2017","Currency=USD","Period=FQ","BEST_FPERIOD_OVERRIDE=FQ","FILING_STATUS=MR","SCALING_FORMAT=MLN","Sort=A","Dates=H","DateFormat=P","Fill=—","Direction=H","UseDPDF=Y")</f>
        <v>1500</v>
      </c>
      <c r="F60" s="13">
        <f>_xll.BDH("WMT US Equity","IS_TOT_CASH_COM_DVD","FQ4 2017","FQ4 2017","Currency=USD","Period=FQ","BEST_FPERIOD_OVERRIDE=FQ","FILING_STATUS=MR","SCALING_FORMAT=MLN","Sort=A","Dates=H","DateFormat=P","Fill=—","Direction=H","UseDPDF=Y")</f>
        <v>1534</v>
      </c>
      <c r="G60" s="13">
        <f>_xll.BDH("WMT US Equity","IS_TOT_CASH_COM_DVD","FQ1 2018","FQ1 2018","Currency=USD","Period=FQ","BEST_FPERIOD_OVERRIDE=FQ","FILING_STATUS=MR","SCALING_FORMAT=MLN","Sort=A","Dates=H","DateFormat=P","Fill=—","Direction=H","UseDPDF=Y")</f>
        <v>1549</v>
      </c>
      <c r="H60" s="13">
        <f>_xll.BDH("WMT US Equity","IS_TOT_CASH_COM_DVD","FQ2 2018","FQ2 2018","Currency=USD","Period=FQ","BEST_FPERIOD_OVERRIDE=FQ","FILING_STATUS=MR","SCALING_FORMAT=MLN","Sort=A","Dates=H","DateFormat=P","Fill=—","Direction=H","UseDPDF=Y")</f>
        <v>1539</v>
      </c>
      <c r="I60" s="13">
        <f>_xll.BDH("WMT US Equity","IS_TOT_CASH_COM_DVD","FQ3 2018","FQ3 2018","Currency=USD","Period=FQ","BEST_FPERIOD_OVERRIDE=FQ","FILING_STATUS=MR","SCALING_FORMAT=MLN","Sort=A","Dates=H","DateFormat=P","Fill=—","Direction=H","UseDPDF=Y")</f>
        <v>1526</v>
      </c>
      <c r="J60" s="13">
        <f>_xll.BDH("WMT US Equity","IS_TOT_CASH_COM_DVD","FQ4 2018","FQ4 2018","Currency=USD","Period=FQ","BEST_FPERIOD_OVERRIDE=FQ","FILING_STATUS=MR","SCALING_FORMAT=MLN","Sort=A","Dates=H","DateFormat=P","Fill=—","Direction=H","UseDPDF=Y")</f>
        <v>1510</v>
      </c>
      <c r="K60" s="13">
        <f>_xll.BDH("WMT US Equity","IS_TOT_CASH_COM_DVD","FQ1 2019","FQ1 2019","Currency=USD","Period=FQ","BEST_FPERIOD_OVERRIDE=FQ","FILING_STATUS=MR","SCALING_FORMAT=MLN","Sort=A","Dates=H","DateFormat=P","Fill=—","Direction=H","UseDPDF=Y")</f>
        <v>1533</v>
      </c>
      <c r="L60" s="13">
        <f>_xll.BDH("WMT US Equity","IS_TOT_CASH_COM_DVD","FQ2 2019","FQ2 2019","Currency=USD","Period=FQ","BEST_FPERIOD_OVERRIDE=FQ","FILING_STATUS=MR","SCALING_FORMAT=MLN","Sort=A","Dates=H","DateFormat=P","Fill=—","Direction=H","UseDPDF=Y")</f>
        <v>1531.92</v>
      </c>
      <c r="M60" s="13">
        <f>_xll.BDH("WMT US Equity","IS_TOT_CASH_COM_DVD","FQ3 2019","FQ3 2019","Currency=USD","Period=FQ","BEST_FPERIOD_OVERRIDE=FQ","FILING_STATUS=MR","SCALING_FORMAT=MLN","Sort=A","Dates=H","DateFormat=P","Fill=—","Direction=H","UseDPDF=Y")</f>
        <v>1500</v>
      </c>
      <c r="N60" s="13">
        <f>_xll.BDH("WMT US Equity","IS_TOT_CASH_COM_DVD","FQ4 2019","FQ4 2019","Currency=USD","Period=FQ","BEST_FPERIOD_OVERRIDE=FQ","FILING_STATUS=MR","SCALING_FORMAT=MLN","Sort=A","Dates=H","DateFormat=P","Fill=—","Direction=H","UseDPDF=Y")</f>
        <v>1505</v>
      </c>
      <c r="O60" s="13">
        <f>_xll.BDH("WMT US Equity","IS_TOT_CASH_COM_DVD","FQ1 2020","FQ1 2020","Currency=USD","Period=FQ","BEST_FPERIOD_OVERRIDE=FQ","FILING_STATUS=MR","SCALING_FORMAT=MLN","Sort=A","Dates=H","DateFormat=P","Fill=—","Direction=H","UseDPDF=Y")</f>
        <v>1520</v>
      </c>
      <c r="P60" s="13">
        <f>_xll.BDH("WMT US Equity","IS_TOT_CASH_COM_DVD","FQ2 2020","FQ2 2020","Currency=USD","Period=FQ","BEST_FPERIOD_OVERRIDE=FQ","FILING_STATUS=MR","SCALING_FORMAT=MLN","Sort=A","Dates=H","DateFormat=P","Fill=—","Direction=H","UseDPDF=Y")</f>
        <v>1516</v>
      </c>
      <c r="Q60" s="13">
        <f>_xll.BDH("WMT US Equity","IS_TOT_CASH_COM_DVD","FQ3 2020","FQ3 2020","Currency=USD","Period=FQ","BEST_FPERIOD_OVERRIDE=FQ","FILING_STATUS=MR","SCALING_FORMAT=MLN","Sort=A","Dates=H","DateFormat=P","Fill=—","Direction=H","UseDPDF=Y")</f>
        <v>1509</v>
      </c>
      <c r="R60" s="13">
        <f>_xll.BDH("WMT US Equity","IS_TOT_CASH_COM_DVD","FQ4 2020","FQ4 2020","Currency=USD","Period=FQ","BEST_FPERIOD_OVERRIDE=FQ","FILING_STATUS=MR","SCALING_FORMAT=MLN","Sort=A","Dates=H","DateFormat=P","Fill=—","Direction=H","UseDPDF=Y")</f>
        <v>1504</v>
      </c>
      <c r="S60" s="13">
        <f>_xll.BDH("WMT US Equity","IS_TOT_CASH_COM_DVD","FQ1 2021","FQ1 2021","Currency=USD","Period=FQ","BEST_FPERIOD_OVERRIDE=FQ","FILING_STATUS=MR","SCALING_FORMAT=MLN","Sort=A","Dates=H","DateFormat=P","Fill=—","Direction=H","UseDPDF=Y")</f>
        <v>1529</v>
      </c>
      <c r="T60" s="13">
        <f>_xll.BDH("WMT US Equity","IS_TOT_CASH_COM_DVD","FQ2 2021","FQ2 2021","Currency=USD","Period=FQ","BEST_FPERIOD_OVERRIDE=FQ","FILING_STATUS=MR","SCALING_FORMAT=MLN","Sort=A","Dates=H","DateFormat=P","Fill=—","Direction=H","UseDPDF=Y")</f>
        <v>1529</v>
      </c>
      <c r="U60" s="13">
        <f>_xll.BDH("WMT US Equity","IS_TOT_CASH_COM_DVD","FQ3 2021","FQ3 2021","Currency=USD","Period=FQ","BEST_FPERIOD_OVERRIDE=FQ","FILING_STATUS=MR","SCALING_FORMAT=MLN","Sort=A","Dates=H","DateFormat=P","Fill=—","Direction=H","UseDPDF=Y")</f>
        <v>1529.82</v>
      </c>
      <c r="V60" s="13">
        <f>_xll.BDH("WMT US Equity","IS_TOT_CASH_COM_DVD","FQ4 2021","FQ4 2021","Currency=USD","Period=FQ","BEST_FPERIOD_OVERRIDE=FQ","FILING_STATUS=MR","SCALING_FORMAT=MLN","Sort=A","Dates=H","DateFormat=P","Fill=—","Direction=H","UseDPDF=Y")</f>
        <v>1500</v>
      </c>
      <c r="W60" s="13">
        <f>_xll.BDH("WMT US Equity","IS_TOT_CASH_COM_DVD","FQ1 2022","FQ1 2022","Currency=USD","Period=FQ","BEST_FPERIOD_OVERRIDE=FQ","FILING_STATUS=MR","SCALING_FORMAT=MLN","Sort=A","Dates=H","DateFormat=P","Fill=—","Direction=H","UseDPDF=Y")</f>
        <v>1549</v>
      </c>
      <c r="X60" s="13">
        <f>_xll.BDH("WMT US Equity","IS_TOT_CASH_COM_DVD","FQ2 2022","FQ2 2022","Currency=USD","Period=FQ","BEST_FPERIOD_OVERRIDE=FQ","FILING_STATUS=MR","SCALING_FORMAT=MLN","Sort=A","Dates=H","DateFormat=P","Fill=—","Direction=H","UseDPDF=Y")</f>
        <v>1542</v>
      </c>
      <c r="Y60" s="13">
        <f>_xll.BDH("WMT US Equity","IS_TOT_CASH_COM_DVD","FQ3 2022","FQ3 2022","Currency=USD","Period=FQ","BEST_FPERIOD_OVERRIDE=FQ","FILING_STATUS=MR","SCALING_FORMAT=MLN","Sort=A","Dates=H","DateFormat=P","Fill=—","Direction=H","UseDPDF=Y")</f>
        <v>1531.75</v>
      </c>
      <c r="Z60" s="13">
        <f>_xll.BDH("WMT US Equity","IS_TOT_CASH_COM_DVD","FQ4 2022","FQ4 2022","Currency=USD","Period=FQ","BEST_FPERIOD_OVERRIDE=FQ","FILING_STATUS=MR","SCALING_FORMAT=MLN","Sort=A","Dates=H","DateFormat=P","Fill=—","Direction=H","UseDPDF=Y")</f>
        <v>1500</v>
      </c>
      <c r="AA60" s="13">
        <f>_xll.BDH("WMT US Equity","IS_TOT_CASH_COM_DVD","FQ1 2023","FQ1 2023","Currency=USD","Period=FQ","BEST_FPERIOD_OVERRIDE=FQ","FILING_STATUS=MR","SCALING_FORMAT=MLN","Sort=A","Dates=H","DateFormat=P","Fill=—","Direction=H","UseDPDF=Y")</f>
        <v>1543</v>
      </c>
      <c r="AB60" s="13">
        <f>_xll.BDH("WMT US Equity","IS_TOT_CASH_COM_DVD","FQ2 2023","FQ2 2023","Currency=USD","Period=FQ","BEST_FPERIOD_OVERRIDE=FQ","FILING_STATUS=MR","SCALING_FORMAT=MLN","Sort=A","Dates=H","DateFormat=P","Fill=—","Direction=H","UseDPDF=Y")</f>
        <v>1532.16</v>
      </c>
      <c r="AC60" s="13">
        <f>_xll.BDH("WMT US Equity","IS_TOT_CASH_COM_DVD","FQ3 2023","FQ3 2023","Currency=USD","Period=FQ","BEST_FPERIOD_OVERRIDE=FQ","FILING_STATUS=MR","SCALING_FORMAT=MLN","Sort=A","Dates=H","DateFormat=P","Fill=—","Direction=H","UseDPDF=Y")</f>
        <v>1518.16</v>
      </c>
      <c r="AD60" s="13">
        <f>_xll.BDH("WMT US Equity","IS_TOT_CASH_COM_DVD","FQ4 2023","FQ4 2023","Currency=USD","Period=FQ","BEST_FPERIOD_OVERRIDE=FQ","FILING_STATUS=MR","SCALING_FORMAT=MLN","Sort=A","Dates=H","DateFormat=P","Fill=—","Direction=H","UseDPDF=Y")</f>
        <v>1509.76</v>
      </c>
      <c r="AE60" s="13">
        <f>_xll.BDH("WMT US Equity","IS_TOT_CASH_COM_DVD","FQ1 2024","FQ1 2024","Currency=USD","Period=FQ","BEST_FPERIOD_OVERRIDE=FQ","FILING_STATUS=MR","SCALING_FORMAT=MLN","Sort=A","Dates=H","DateFormat=P","Fill=—","Direction=H","UseDPDF=Y")</f>
        <v>1538</v>
      </c>
      <c r="AF60" s="13">
        <f>_xll.BDH("WMT US Equity","IS_TOT_CASH_COM_DVD","FQ2 2024","FQ2 2024","Currency=USD","Period=FQ","BEST_FPERIOD_OVERRIDE=FQ","FILING_STATUS=MR","SCALING_FORMAT=MLN","Sort=A","Dates=H","DateFormat=P","Fill=—","Direction=H","UseDPDF=Y")</f>
        <v>1535.01</v>
      </c>
      <c r="AG60" s="13">
        <f>_xll.BDH("WMT US Equity","IS_TOT_CASH_COM_DVD","FQ3 2024","FQ3 2024","Currency=USD","Period=FQ","BEST_FPERIOD_OVERRIDE=FQ","FILING_STATUS=MR","SCALING_FORMAT=MLN","Sort=A","Dates=H","DateFormat=P","Fill=—","Direction=H","UseDPDF=Y")</f>
        <v>1535.01</v>
      </c>
      <c r="AH60" s="13">
        <f>_xll.BDH("WMT US Equity","IS_TOT_CASH_COM_DVD","FQ4 2024","FQ4 2024","Currency=USD","Period=FQ","BEST_FPERIOD_OVERRIDE=FQ","FILING_STATUS=MR","SCALING_FORMAT=MLN","Sort=A","Dates=H","DateFormat=P","Fill=—","Direction=H","UseDPDF=Y")</f>
        <v>1533.3</v>
      </c>
      <c r="AI60" s="13">
        <f>_xll.BDH("WMT US Equity","IS_TOT_CASH_COM_DVD","FQ1 2025","FQ1 2025","Currency=USD","Period=FQ","BEST_FPERIOD_OVERRIDE=FQ","FILING_STATUS=MR","SCALING_FORMAT=MLN","Sort=A","Dates=H","DateFormat=P","Fill=—","Direction=H","UseDPDF=Y")</f>
        <v>6683.99</v>
      </c>
      <c r="AJ60" s="13">
        <f>_xll.BDH("WMT US Equity","IS_TOT_CASH_COM_DVD","FQ2 2025","FQ2 2025","Currency=USD","Period=FQ","BEST_FPERIOD_OVERRIDE=FQ","FILING_STATUS=MR","SCALING_FORMAT=MLN","Sort=A","Dates=H","DateFormat=P","Fill=—","Direction=H","UseDPDF=Y")</f>
        <v>1669.13</v>
      </c>
      <c r="AK60" s="13">
        <f>_xll.BDH("WMT US Equity","IS_TOT_CASH_COM_DVD","FQ3 2025","FQ3 2025","Currency=USD","Period=FQ","BEST_FPERIOD_OVERRIDE=FQ","FILING_STATUS=MR","SCALING_FORMAT=MLN","Sort=A","Dates=H","DateFormat=P","Fill=—","Direction=H","UseDPDF=Y")</f>
        <v>1667.885</v>
      </c>
      <c r="AL60" s="13">
        <f>_xll.BDH("WMT US Equity","IS_TOT_CASH_COM_DVD","FQ4 2025","FQ4 2025","Currency=USD","Period=FQ","BEST_FPERIOD_OVERRIDE=FQ","FILING_STATUS=MR","SCALING_FORMAT=MLN","Sort=A","Dates=H","DateFormat=P","Fill=—","Direction=H","UseDPDF=Y")</f>
        <v>1666.0174999999999</v>
      </c>
      <c r="AM60" s="13">
        <f>_xll.BDH("WMT US Equity","IS_TOT_CASH_COM_DVD","FQ1 2026","FQ1 2026","Currency=USD","Period=FQ","BEST_FPERIOD_OVERRIDE=FQ","FILING_STATUS=MR","SCALING_FORMAT=MLN","Sort=A","Dates=H","DateFormat=P","Fill=—","Direction=H","UseDPDF=Y")</f>
        <v>7530.34</v>
      </c>
      <c r="AN60" s="13">
        <f>_xll.BDH("WMT US Equity","IS_TOT_CASH_COM_DVD","FQ2 2026","FQ2 2026","Currency=USD","Period=FQ","BEST_FPERIOD_OVERRIDE=FQ","FILING_STATUS=MR","SCALING_FORMAT=MLN","Sort=A","Dates=H","DateFormat=P","Fill=—","Direction=H","UseDPDF=Y")</f>
        <v>1874.83</v>
      </c>
      <c r="AO60" s="13"/>
      <c r="AP60" s="13"/>
    </row>
    <row r="61" spans="1:42" x14ac:dyDescent="0.3">
      <c r="A61" s="10" t="s">
        <v>161</v>
      </c>
      <c r="B61" s="10" t="s">
        <v>162</v>
      </c>
      <c r="C61" s="13">
        <f>_xll.BDH("WMT US Equity","IS_CAP_INT_EXP","FQ1 2017","FQ1 2017","Currency=USD","Period=FQ","BEST_FPERIOD_OVERRIDE=FQ","FILING_STATUS=MR","SCALING_FORMAT=MLN","Sort=A","Dates=H","DateFormat=P","Fill=—","Direction=H","UseDPDF=Y")</f>
        <v>11</v>
      </c>
      <c r="D61" s="13">
        <f>_xll.BDH("WMT US Equity","IS_CAP_INT_EXP","FQ2 2017","FQ2 2017","Currency=USD","Period=FQ","BEST_FPERIOD_OVERRIDE=FQ","FILING_STATUS=MR","SCALING_FORMAT=MLN","Sort=A","Dates=H","DateFormat=P","Fill=—","Direction=H","UseDPDF=Y")</f>
        <v>8</v>
      </c>
      <c r="E61" s="13">
        <f>_xll.BDH("WMT US Equity","IS_CAP_INT_EXP","FQ3 2017","FQ3 2017","Currency=USD","Period=FQ","BEST_FPERIOD_OVERRIDE=FQ","FILING_STATUS=MR","SCALING_FORMAT=MLN","Sort=A","Dates=H","DateFormat=P","Fill=—","Direction=H","UseDPDF=Y")</f>
        <v>8</v>
      </c>
      <c r="F61" s="13">
        <f>_xll.BDH("WMT US Equity","IS_CAP_INT_EXP","FQ4 2017","FQ4 2017","Currency=USD","Period=FQ","BEST_FPERIOD_OVERRIDE=FQ","FILING_STATUS=MR","SCALING_FORMAT=MLN","Sort=A","Dates=H","DateFormat=P","Fill=—","Direction=H","UseDPDF=Y")</f>
        <v>9</v>
      </c>
      <c r="G61" s="13">
        <f>_xll.BDH("WMT US Equity","IS_CAP_INT_EXP","FQ1 2018","FQ1 2018","Currency=USD","Period=FQ","BEST_FPERIOD_OVERRIDE=FQ","FILING_STATUS=MR","SCALING_FORMAT=MLN","Sort=A","Dates=H","DateFormat=P","Fill=—","Direction=H","UseDPDF=Y")</f>
        <v>6</v>
      </c>
      <c r="H61" s="13">
        <f>_xll.BDH("WMT US Equity","IS_CAP_INT_EXP","FQ2 2018","FQ2 2018","Currency=USD","Period=FQ","BEST_FPERIOD_OVERRIDE=FQ","FILING_STATUS=MR","SCALING_FORMAT=MLN","Sort=A","Dates=H","DateFormat=P","Fill=—","Direction=H","UseDPDF=Y")</f>
        <v>5</v>
      </c>
      <c r="I61" s="13">
        <f>_xll.BDH("WMT US Equity","IS_CAP_INT_EXP","FQ3 2018","FQ3 2018","Currency=USD","Period=FQ","BEST_FPERIOD_OVERRIDE=FQ","FILING_STATUS=MR","SCALING_FORMAT=MLN","Sort=A","Dates=H","DateFormat=P","Fill=—","Direction=H","UseDPDF=Y")</f>
        <v>3</v>
      </c>
      <c r="J61" s="13">
        <f>_xll.BDH("WMT US Equity","IS_CAP_INT_EXP","FQ4 2018","FQ4 2018","Currency=USD","Period=FQ","BEST_FPERIOD_OVERRIDE=FQ","FILING_STATUS=MR","SCALING_FORMAT=MLN","Sort=A","Dates=H","DateFormat=P","Fill=—","Direction=H","UseDPDF=Y")</f>
        <v>3</v>
      </c>
      <c r="K61" s="13">
        <f>_xll.BDH("WMT US Equity","IS_CAP_INT_EXP","FQ1 2019","FQ1 2019","Currency=USD","Period=FQ","BEST_FPERIOD_OVERRIDE=FQ","FILING_STATUS=MR","SCALING_FORMAT=MLN","Sort=A","Dates=H","DateFormat=P","Fill=—","Direction=H","UseDPDF=Y")</f>
        <v>4</v>
      </c>
      <c r="L61" s="13">
        <f>_xll.BDH("WMT US Equity","IS_CAP_INT_EXP","FQ2 2019","FQ2 2019","Currency=USD","Period=FQ","BEST_FPERIOD_OVERRIDE=FQ","FILING_STATUS=MR","SCALING_FORMAT=MLN","Sort=A","Dates=H","DateFormat=P","Fill=—","Direction=H","UseDPDF=Y")</f>
        <v>3</v>
      </c>
      <c r="M61" s="13" t="str">
        <f>_xll.BDH("WMT US Equity","IS_CAP_INT_EXP","FQ3 2019","FQ3 2019","Currency=USD","Period=FQ","BEST_FPERIOD_OVERRIDE=FQ","FILING_STATUS=MR","SCALING_FORMAT=MLN","Sort=A","Dates=H","DateFormat=P","Fill=—","Direction=H","UseDPDF=Y")</f>
        <v>—</v>
      </c>
      <c r="N61" s="13" t="str">
        <f>_xll.BDH("WMT US Equity","IS_CAP_INT_EXP","FQ4 2019","FQ4 2019","Currency=USD","Period=FQ","BEST_FPERIOD_OVERRIDE=FQ","FILING_STATUS=MR","SCALING_FORMAT=MLN","Sort=A","Dates=H","DateFormat=P","Fill=—","Direction=H","UseDPDF=Y")</f>
        <v>—</v>
      </c>
      <c r="O61" s="13" t="str">
        <f>_xll.BDH("WMT US Equity","IS_CAP_INT_EXP","FQ1 2020","FQ1 2020","Currency=USD","Period=FQ","BEST_FPERIOD_OVERRIDE=FQ","FILING_STATUS=MR","SCALING_FORMAT=MLN","Sort=A","Dates=H","DateFormat=P","Fill=—","Direction=H","UseDPDF=Y")</f>
        <v>—</v>
      </c>
      <c r="P61" s="13" t="str">
        <f>_xll.BDH("WMT US Equity","IS_CAP_INT_EXP","FQ2 2020","FQ2 2020","Currency=USD","Period=FQ","BEST_FPERIOD_OVERRIDE=FQ","FILING_STATUS=MR","SCALING_FORMAT=MLN","Sort=A","Dates=H","DateFormat=P","Fill=—","Direction=H","UseDPDF=Y")</f>
        <v>—</v>
      </c>
      <c r="Q61" s="13" t="str">
        <f>_xll.BDH("WMT US Equity","IS_CAP_INT_EXP","FQ3 2020","FQ3 2020","Currency=USD","Period=FQ","BEST_FPERIOD_OVERRIDE=FQ","FILING_STATUS=MR","SCALING_FORMAT=MLN","Sort=A","Dates=H","DateFormat=P","Fill=—","Direction=H","UseDPDF=Y")</f>
        <v>—</v>
      </c>
      <c r="R61" s="13" t="str">
        <f>_xll.BDH("WMT US Equity","IS_CAP_INT_EXP","FQ4 2020","FQ4 2020","Currency=USD","Period=FQ","BEST_FPERIOD_OVERRIDE=FQ","FILING_STATUS=MR","SCALING_FORMAT=MLN","Sort=A","Dates=H","DateFormat=P","Fill=—","Direction=H","UseDPDF=Y")</f>
        <v>—</v>
      </c>
      <c r="S61" s="13" t="str">
        <f>_xll.BDH("WMT US Equity","IS_CAP_INT_EXP","FQ1 2021","FQ1 2021","Currency=USD","Period=FQ","BEST_FPERIOD_OVERRIDE=FQ","FILING_STATUS=MR","SCALING_FORMAT=MLN","Sort=A","Dates=H","DateFormat=P","Fill=—","Direction=H","UseDPDF=Y")</f>
        <v>—</v>
      </c>
      <c r="T61" s="13" t="str">
        <f>_xll.BDH("WMT US Equity","IS_CAP_INT_EXP","FQ2 2021","FQ2 2021","Currency=USD","Period=FQ","BEST_FPERIOD_OVERRIDE=FQ","FILING_STATUS=MR","SCALING_FORMAT=MLN","Sort=A","Dates=H","DateFormat=P","Fill=—","Direction=H","UseDPDF=Y")</f>
        <v>—</v>
      </c>
      <c r="U61" s="13" t="str">
        <f>_xll.BDH("WMT US Equity","IS_CAP_INT_EXP","FQ3 2021","FQ3 2021","Currency=USD","Period=FQ","BEST_FPERIOD_OVERRIDE=FQ","FILING_STATUS=MR","SCALING_FORMAT=MLN","Sort=A","Dates=H","DateFormat=P","Fill=—","Direction=H","UseDPDF=Y")</f>
        <v>—</v>
      </c>
      <c r="V61" s="13" t="str">
        <f>_xll.BDH("WMT US Equity","IS_CAP_INT_EXP","FQ4 2021","FQ4 2021","Currency=USD","Period=FQ","BEST_FPERIOD_OVERRIDE=FQ","FILING_STATUS=MR","SCALING_FORMAT=MLN","Sort=A","Dates=H","DateFormat=P","Fill=—","Direction=H","UseDPDF=Y")</f>
        <v>—</v>
      </c>
      <c r="W61" s="13" t="str">
        <f>_xll.BDH("WMT US Equity","IS_CAP_INT_EXP","FQ1 2022","FQ1 2022","Currency=USD","Period=FQ","BEST_FPERIOD_OVERRIDE=FQ","FILING_STATUS=MR","SCALING_FORMAT=MLN","Sort=A","Dates=H","DateFormat=P","Fill=—","Direction=H","UseDPDF=Y")</f>
        <v>—</v>
      </c>
      <c r="X61" s="13" t="str">
        <f>_xll.BDH("WMT US Equity","IS_CAP_INT_EXP","FQ2 2022","FQ2 2022","Currency=USD","Period=FQ","BEST_FPERIOD_OVERRIDE=FQ","FILING_STATUS=MR","SCALING_FORMAT=MLN","Sort=A","Dates=H","DateFormat=P","Fill=—","Direction=H","UseDPDF=Y")</f>
        <v>—</v>
      </c>
      <c r="Y61" s="13" t="str">
        <f>_xll.BDH("WMT US Equity","IS_CAP_INT_EXP","FQ3 2022","FQ3 2022","Currency=USD","Period=FQ","BEST_FPERIOD_OVERRIDE=FQ","FILING_STATUS=MR","SCALING_FORMAT=MLN","Sort=A","Dates=H","DateFormat=P","Fill=—","Direction=H","UseDPDF=Y")</f>
        <v>—</v>
      </c>
      <c r="Z61" s="13" t="str">
        <f>_xll.BDH("WMT US Equity","IS_CAP_INT_EXP","FQ4 2022","FQ4 2022","Currency=USD","Period=FQ","BEST_FPERIOD_OVERRIDE=FQ","FILING_STATUS=MR","SCALING_FORMAT=MLN","Sort=A","Dates=H","DateFormat=P","Fill=—","Direction=H","UseDPDF=Y")</f>
        <v>—</v>
      </c>
      <c r="AA61" s="13" t="str">
        <f>_xll.BDH("WMT US Equity","IS_CAP_INT_EXP","FQ1 2023","FQ1 2023","Currency=USD","Period=FQ","BEST_FPERIOD_OVERRIDE=FQ","FILING_STATUS=MR","SCALING_FORMAT=MLN","Sort=A","Dates=H","DateFormat=P","Fill=—","Direction=H","UseDPDF=Y")</f>
        <v>—</v>
      </c>
      <c r="AB61" s="13" t="str">
        <f>_xll.BDH("WMT US Equity","IS_CAP_INT_EXP","FQ2 2023","FQ2 2023","Currency=USD","Period=FQ","BEST_FPERIOD_OVERRIDE=FQ","FILING_STATUS=MR","SCALING_FORMAT=MLN","Sort=A","Dates=H","DateFormat=P","Fill=—","Direction=H","UseDPDF=Y")</f>
        <v>—</v>
      </c>
      <c r="AC61" s="13" t="str">
        <f>_xll.BDH("WMT US Equity","IS_CAP_INT_EXP","FQ3 2023","FQ3 2023","Currency=USD","Period=FQ","BEST_FPERIOD_OVERRIDE=FQ","FILING_STATUS=MR","SCALING_FORMAT=MLN","Sort=A","Dates=H","DateFormat=P","Fill=—","Direction=H","UseDPDF=Y")</f>
        <v>—</v>
      </c>
      <c r="AD61" s="13" t="str">
        <f>_xll.BDH("WMT US Equity","IS_CAP_INT_EXP","FQ4 2023","FQ4 2023","Currency=USD","Period=FQ","BEST_FPERIOD_OVERRIDE=FQ","FILING_STATUS=MR","SCALING_FORMAT=MLN","Sort=A","Dates=H","DateFormat=P","Fill=—","Direction=H","UseDPDF=Y")</f>
        <v>—</v>
      </c>
      <c r="AE61" s="13" t="str">
        <f>_xll.BDH("WMT US Equity","IS_CAP_INT_EXP","FQ1 2024","FQ1 2024","Currency=USD","Period=FQ","BEST_FPERIOD_OVERRIDE=FQ","FILING_STATUS=MR","SCALING_FORMAT=MLN","Sort=A","Dates=H","DateFormat=P","Fill=—","Direction=H","UseDPDF=Y")</f>
        <v>—</v>
      </c>
      <c r="AF61" s="13" t="str">
        <f>_xll.BDH("WMT US Equity","IS_CAP_INT_EXP","FQ2 2024","FQ2 2024","Currency=USD","Period=FQ","BEST_FPERIOD_OVERRIDE=FQ","FILING_STATUS=MR","SCALING_FORMAT=MLN","Sort=A","Dates=H","DateFormat=P","Fill=—","Direction=H","UseDPDF=Y")</f>
        <v>—</v>
      </c>
      <c r="AG61" s="13" t="str">
        <f>_xll.BDH("WMT US Equity","IS_CAP_INT_EXP","FQ3 2024","FQ3 2024","Currency=USD","Period=FQ","BEST_FPERIOD_OVERRIDE=FQ","FILING_STATUS=MR","SCALING_FORMAT=MLN","Sort=A","Dates=H","DateFormat=P","Fill=—","Direction=H","UseDPDF=Y")</f>
        <v>—</v>
      </c>
      <c r="AH61" s="13" t="str">
        <f>_xll.BDH("WMT US Equity","IS_CAP_INT_EXP","FQ4 2024","FQ4 2024","Currency=USD","Period=FQ","BEST_FPERIOD_OVERRIDE=FQ","FILING_STATUS=MR","SCALING_FORMAT=MLN","Sort=A","Dates=H","DateFormat=P","Fill=—","Direction=H","UseDPDF=Y")</f>
        <v>—</v>
      </c>
      <c r="AI61" s="13" t="str">
        <f>_xll.BDH("WMT US Equity","IS_CAP_INT_EXP","FQ1 2025","FQ1 2025","Currency=USD","Period=FQ","BEST_FPERIOD_OVERRIDE=FQ","FILING_STATUS=MR","SCALING_FORMAT=MLN","Sort=A","Dates=H","DateFormat=P","Fill=—","Direction=H","UseDPDF=Y")</f>
        <v>—</v>
      </c>
      <c r="AJ61" s="13" t="str">
        <f>_xll.BDH("WMT US Equity","IS_CAP_INT_EXP","FQ2 2025","FQ2 2025","Currency=USD","Period=FQ","BEST_FPERIOD_OVERRIDE=FQ","FILING_STATUS=MR","SCALING_FORMAT=MLN","Sort=A","Dates=H","DateFormat=P","Fill=—","Direction=H","UseDPDF=Y")</f>
        <v>—</v>
      </c>
      <c r="AK61" s="13" t="str">
        <f>_xll.BDH("WMT US Equity","IS_CAP_INT_EXP","FQ3 2025","FQ3 2025","Currency=USD","Period=FQ","BEST_FPERIOD_OVERRIDE=FQ","FILING_STATUS=MR","SCALING_FORMAT=MLN","Sort=A","Dates=H","DateFormat=P","Fill=—","Direction=H","UseDPDF=Y")</f>
        <v>—</v>
      </c>
      <c r="AL61" s="13" t="str">
        <f>_xll.BDH("WMT US Equity","IS_CAP_INT_EXP","FQ4 2025","FQ4 2025","Currency=USD","Period=FQ","BEST_FPERIOD_OVERRIDE=FQ","FILING_STATUS=MR","SCALING_FORMAT=MLN","Sort=A","Dates=H","DateFormat=P","Fill=—","Direction=H","UseDPDF=Y")</f>
        <v>—</v>
      </c>
      <c r="AM61" s="13" t="str">
        <f>_xll.BDH("WMT US Equity","IS_CAP_INT_EXP","FQ1 2026","FQ1 2026","Currency=USD","Period=FQ","BEST_FPERIOD_OVERRIDE=FQ","FILING_STATUS=MR","SCALING_FORMAT=MLN","Sort=A","Dates=H","DateFormat=P","Fill=—","Direction=H","UseDPDF=Y")</f>
        <v>—</v>
      </c>
      <c r="AN61" s="13" t="str">
        <f>_xll.BDH("WMT US Equity","IS_CAP_INT_EXP","FQ2 2026","FQ2 2026","Currency=USD","Period=FQ","BEST_FPERIOD_OVERRIDE=FQ","FILING_STATUS=MR","SCALING_FORMAT=MLN","Sort=A","Dates=H","DateFormat=P","Fill=—","Direction=H","UseDPDF=Y")</f>
        <v>—</v>
      </c>
      <c r="AO61" s="13"/>
      <c r="AP61" s="13"/>
    </row>
    <row r="62" spans="1:42" x14ac:dyDescent="0.3">
      <c r="A62" s="10" t="s">
        <v>163</v>
      </c>
      <c r="B62" s="10" t="s">
        <v>164</v>
      </c>
      <c r="C62" s="13" t="str">
        <f>_xll.BDH("WMT US Equity","IS_PERSONNEL_EXP","FQ1 2017","FQ1 2017","Currency=USD","Period=FQ","BEST_FPERIOD_OVERRIDE=FQ","FILING_STATUS=MR","SCALING_FORMAT=MLN","Sort=A","Dates=H","DateFormat=P","Fill=—","Direction=H","UseDPDF=Y")</f>
        <v>—</v>
      </c>
      <c r="D62" s="13" t="str">
        <f>_xll.BDH("WMT US Equity","IS_PERSONNEL_EXP","FQ2 2017","FQ2 2017","Currency=USD","Period=FQ","BEST_FPERIOD_OVERRIDE=FQ","FILING_STATUS=MR","SCALING_FORMAT=MLN","Sort=A","Dates=H","DateFormat=P","Fill=—","Direction=H","UseDPDF=Y")</f>
        <v>—</v>
      </c>
      <c r="E62" s="13" t="str">
        <f>_xll.BDH("WMT US Equity","IS_PERSONNEL_EXP","FQ3 2017","FQ3 2017","Currency=USD","Period=FQ","BEST_FPERIOD_OVERRIDE=FQ","FILING_STATUS=MR","SCALING_FORMAT=MLN","Sort=A","Dates=H","DateFormat=P","Fill=—","Direction=H","UseDPDF=Y")</f>
        <v>—</v>
      </c>
      <c r="F62" s="13" t="str">
        <f>_xll.BDH("WMT US Equity","IS_PERSONNEL_EXP","FQ4 2017","FQ4 2017","Currency=USD","Period=FQ","BEST_FPERIOD_OVERRIDE=FQ","FILING_STATUS=MR","SCALING_FORMAT=MLN","Sort=A","Dates=H","DateFormat=P","Fill=—","Direction=H","UseDPDF=Y")</f>
        <v>—</v>
      </c>
      <c r="G62" s="13" t="str">
        <f>_xll.BDH("WMT US Equity","IS_PERSONNEL_EXP","FQ1 2018","FQ1 2018","Currency=USD","Period=FQ","BEST_FPERIOD_OVERRIDE=FQ","FILING_STATUS=MR","SCALING_FORMAT=MLN","Sort=A","Dates=H","DateFormat=P","Fill=—","Direction=H","UseDPDF=Y")</f>
        <v>—</v>
      </c>
      <c r="H62" s="13" t="str">
        <f>_xll.BDH("WMT US Equity","IS_PERSONNEL_EXP","FQ2 2018","FQ2 2018","Currency=USD","Period=FQ","BEST_FPERIOD_OVERRIDE=FQ","FILING_STATUS=MR","SCALING_FORMAT=MLN","Sort=A","Dates=H","DateFormat=P","Fill=—","Direction=H","UseDPDF=Y")</f>
        <v>—</v>
      </c>
      <c r="I62" s="13" t="str">
        <f>_xll.BDH("WMT US Equity","IS_PERSONNEL_EXP","FQ3 2018","FQ3 2018","Currency=USD","Period=FQ","BEST_FPERIOD_OVERRIDE=FQ","FILING_STATUS=MR","SCALING_FORMAT=MLN","Sort=A","Dates=H","DateFormat=P","Fill=—","Direction=H","UseDPDF=Y")</f>
        <v>—</v>
      </c>
      <c r="J62" s="13" t="str">
        <f>_xll.BDH("WMT US Equity","IS_PERSONNEL_EXP","FQ4 2018","FQ4 2018","Currency=USD","Period=FQ","BEST_FPERIOD_OVERRIDE=FQ","FILING_STATUS=MR","SCALING_FORMAT=MLN","Sort=A","Dates=H","DateFormat=P","Fill=—","Direction=H","UseDPDF=Y")</f>
        <v>—</v>
      </c>
      <c r="K62" s="13" t="str">
        <f>_xll.BDH("WMT US Equity","IS_PERSONNEL_EXP","FQ1 2019","FQ1 2019","Currency=USD","Period=FQ","BEST_FPERIOD_OVERRIDE=FQ","FILING_STATUS=MR","SCALING_FORMAT=MLN","Sort=A","Dates=H","DateFormat=P","Fill=—","Direction=H","UseDPDF=Y")</f>
        <v>—</v>
      </c>
      <c r="L62" s="13" t="str">
        <f>_xll.BDH("WMT US Equity","IS_PERSONNEL_EXP","FQ2 2019","FQ2 2019","Currency=USD","Period=FQ","BEST_FPERIOD_OVERRIDE=FQ","FILING_STATUS=MR","SCALING_FORMAT=MLN","Sort=A","Dates=H","DateFormat=P","Fill=—","Direction=H","UseDPDF=Y")</f>
        <v>—</v>
      </c>
      <c r="M62" s="13">
        <f>_xll.BDH("WMT US Equity","IS_PERSONNEL_EXP","FQ3 2019","FQ3 2019","Currency=USD","Period=FQ","BEST_FPERIOD_OVERRIDE=FQ","FILING_STATUS=MR","SCALING_FORMAT=MLN","Sort=A","Dates=H","DateFormat=P","Fill=—","Direction=H","UseDPDF=Y")</f>
        <v>0</v>
      </c>
      <c r="N62" s="13">
        <f>_xll.BDH("WMT US Equity","IS_PERSONNEL_EXP","FQ4 2019","FQ4 2019","Currency=USD","Period=FQ","BEST_FPERIOD_OVERRIDE=FQ","FILING_STATUS=MR","SCALING_FORMAT=MLN","Sort=A","Dates=H","DateFormat=P","Fill=—","Direction=H","UseDPDF=Y")</f>
        <v>0</v>
      </c>
      <c r="O62" s="13" t="str">
        <f>_xll.BDH("WMT US Equity","IS_PERSONNEL_EXP","FQ1 2020","FQ1 2020","Currency=USD","Period=FQ","BEST_FPERIOD_OVERRIDE=FQ","FILING_STATUS=MR","SCALING_FORMAT=MLN","Sort=A","Dates=H","DateFormat=P","Fill=—","Direction=H","UseDPDF=Y")</f>
        <v>—</v>
      </c>
      <c r="P62" s="13" t="str">
        <f>_xll.BDH("WMT US Equity","IS_PERSONNEL_EXP","FQ2 2020","FQ2 2020","Currency=USD","Period=FQ","BEST_FPERIOD_OVERRIDE=FQ","FILING_STATUS=MR","SCALING_FORMAT=MLN","Sort=A","Dates=H","DateFormat=P","Fill=—","Direction=H","UseDPDF=Y")</f>
        <v>—</v>
      </c>
      <c r="Q62" s="13">
        <f>_xll.BDH("WMT US Equity","IS_PERSONNEL_EXP","FQ3 2020","FQ3 2020","Currency=USD","Period=FQ","BEST_FPERIOD_OVERRIDE=FQ","FILING_STATUS=MR","SCALING_FORMAT=MLN","Sort=A","Dates=H","DateFormat=P","Fill=—","Direction=H","UseDPDF=Y")</f>
        <v>0</v>
      </c>
      <c r="R62" s="13">
        <f>_xll.BDH("WMT US Equity","IS_PERSONNEL_EXP","FQ4 2020","FQ4 2020","Currency=USD","Period=FQ","BEST_FPERIOD_OVERRIDE=FQ","FILING_STATUS=MR","SCALING_FORMAT=MLN","Sort=A","Dates=H","DateFormat=P","Fill=—","Direction=H","UseDPDF=Y")</f>
        <v>0</v>
      </c>
      <c r="S62" s="13" t="str">
        <f>_xll.BDH("WMT US Equity","IS_PERSONNEL_EXP","FQ1 2021","FQ1 2021","Currency=USD","Period=FQ","BEST_FPERIOD_OVERRIDE=FQ","FILING_STATUS=MR","SCALING_FORMAT=MLN","Sort=A","Dates=H","DateFormat=P","Fill=—","Direction=H","UseDPDF=Y")</f>
        <v>—</v>
      </c>
      <c r="T62" s="13" t="str">
        <f>_xll.BDH("WMT US Equity","IS_PERSONNEL_EXP","FQ2 2021","FQ2 2021","Currency=USD","Period=FQ","BEST_FPERIOD_OVERRIDE=FQ","FILING_STATUS=MR","SCALING_FORMAT=MLN","Sort=A","Dates=H","DateFormat=P","Fill=—","Direction=H","UseDPDF=Y")</f>
        <v>—</v>
      </c>
      <c r="U62" s="13">
        <f>_xll.BDH("WMT US Equity","IS_PERSONNEL_EXP","FQ3 2021","FQ3 2021","Currency=USD","Period=FQ","BEST_FPERIOD_OVERRIDE=FQ","FILING_STATUS=MR","SCALING_FORMAT=MLN","Sort=A","Dates=H","DateFormat=P","Fill=—","Direction=H","UseDPDF=Y")</f>
        <v>0</v>
      </c>
      <c r="V62" s="13">
        <f>_xll.BDH("WMT US Equity","IS_PERSONNEL_EXP","FQ4 2021","FQ4 2021","Currency=USD","Period=FQ","BEST_FPERIOD_OVERRIDE=FQ","FILING_STATUS=MR","SCALING_FORMAT=MLN","Sort=A","Dates=H","DateFormat=P","Fill=—","Direction=H","UseDPDF=Y")</f>
        <v>0</v>
      </c>
      <c r="W62" s="13">
        <f>_xll.BDH("WMT US Equity","IS_PERSONNEL_EXP","FQ1 2022","FQ1 2022","Currency=USD","Period=FQ","BEST_FPERIOD_OVERRIDE=FQ","FILING_STATUS=MR","SCALING_FORMAT=MLN","Sort=A","Dates=H","DateFormat=P","Fill=—","Direction=H","UseDPDF=Y")</f>
        <v>0</v>
      </c>
      <c r="X62" s="13">
        <f>_xll.BDH("WMT US Equity","IS_PERSONNEL_EXP","FQ2 2022","FQ2 2022","Currency=USD","Period=FQ","BEST_FPERIOD_OVERRIDE=FQ","FILING_STATUS=MR","SCALING_FORMAT=MLN","Sort=A","Dates=H","DateFormat=P","Fill=—","Direction=H","UseDPDF=Y")</f>
        <v>0</v>
      </c>
      <c r="Y62" s="13">
        <f>_xll.BDH("WMT US Equity","IS_PERSONNEL_EXP","FQ3 2022","FQ3 2022","Currency=USD","Period=FQ","BEST_FPERIOD_OVERRIDE=FQ","FILING_STATUS=MR","SCALING_FORMAT=MLN","Sort=A","Dates=H","DateFormat=P","Fill=—","Direction=H","UseDPDF=Y")</f>
        <v>0</v>
      </c>
      <c r="Z62" s="13">
        <f>_xll.BDH("WMT US Equity","IS_PERSONNEL_EXP","FQ4 2022","FQ4 2022","Currency=USD","Period=FQ","BEST_FPERIOD_OVERRIDE=FQ","FILING_STATUS=MR","SCALING_FORMAT=MLN","Sort=A","Dates=H","DateFormat=P","Fill=—","Direction=H","UseDPDF=Y")</f>
        <v>0</v>
      </c>
      <c r="AA62" s="13">
        <f>_xll.BDH("WMT US Equity","IS_PERSONNEL_EXP","FQ1 2023","FQ1 2023","Currency=USD","Period=FQ","BEST_FPERIOD_OVERRIDE=FQ","FILING_STATUS=MR","SCALING_FORMAT=MLN","Sort=A","Dates=H","DateFormat=P","Fill=—","Direction=H","UseDPDF=Y")</f>
        <v>0</v>
      </c>
      <c r="AB62" s="13">
        <f>_xll.BDH("WMT US Equity","IS_PERSONNEL_EXP","FQ2 2023","FQ2 2023","Currency=USD","Period=FQ","BEST_FPERIOD_OVERRIDE=FQ","FILING_STATUS=MR","SCALING_FORMAT=MLN","Sort=A","Dates=H","DateFormat=P","Fill=—","Direction=H","UseDPDF=Y")</f>
        <v>0</v>
      </c>
      <c r="AC62" s="13">
        <f>_xll.BDH("WMT US Equity","IS_PERSONNEL_EXP","FQ3 2023","FQ3 2023","Currency=USD","Period=FQ","BEST_FPERIOD_OVERRIDE=FQ","FILING_STATUS=MR","SCALING_FORMAT=MLN","Sort=A","Dates=H","DateFormat=P","Fill=—","Direction=H","UseDPDF=Y")</f>
        <v>0</v>
      </c>
      <c r="AD62" s="13">
        <f>_xll.BDH("WMT US Equity","IS_PERSONNEL_EXP","FQ4 2023","FQ4 2023","Currency=USD","Period=FQ","BEST_FPERIOD_OVERRIDE=FQ","FILING_STATUS=MR","SCALING_FORMAT=MLN","Sort=A","Dates=H","DateFormat=P","Fill=—","Direction=H","UseDPDF=Y")</f>
        <v>0</v>
      </c>
      <c r="AE62" s="13">
        <f>_xll.BDH("WMT US Equity","IS_PERSONNEL_EXP","FQ1 2024","FQ1 2024","Currency=USD","Period=FQ","BEST_FPERIOD_OVERRIDE=FQ","FILING_STATUS=MR","SCALING_FORMAT=MLN","Sort=A","Dates=H","DateFormat=P","Fill=—","Direction=H","UseDPDF=Y")</f>
        <v>0</v>
      </c>
      <c r="AF62" s="13">
        <f>_xll.BDH("WMT US Equity","IS_PERSONNEL_EXP","FQ2 2024","FQ2 2024","Currency=USD","Period=FQ","BEST_FPERIOD_OVERRIDE=FQ","FILING_STATUS=MR","SCALING_FORMAT=MLN","Sort=A","Dates=H","DateFormat=P","Fill=—","Direction=H","UseDPDF=Y")</f>
        <v>0</v>
      </c>
      <c r="AG62" s="13">
        <f>_xll.BDH("WMT US Equity","IS_PERSONNEL_EXP","FQ3 2024","FQ3 2024","Currency=USD","Period=FQ","BEST_FPERIOD_OVERRIDE=FQ","FILING_STATUS=MR","SCALING_FORMAT=MLN","Sort=A","Dates=H","DateFormat=P","Fill=—","Direction=H","UseDPDF=Y")</f>
        <v>0</v>
      </c>
      <c r="AH62" s="13">
        <f>_xll.BDH("WMT US Equity","IS_PERSONNEL_EXP","FQ4 2024","FQ4 2024","Currency=USD","Period=FQ","BEST_FPERIOD_OVERRIDE=FQ","FILING_STATUS=MR","SCALING_FORMAT=MLN","Sort=A","Dates=H","DateFormat=P","Fill=—","Direction=H","UseDPDF=Y")</f>
        <v>0</v>
      </c>
      <c r="AI62" s="13">
        <f>_xll.BDH("WMT US Equity","IS_PERSONNEL_EXP","FQ1 2025","FQ1 2025","Currency=USD","Period=FQ","BEST_FPERIOD_OVERRIDE=FQ","FILING_STATUS=MR","SCALING_FORMAT=MLN","Sort=A","Dates=H","DateFormat=P","Fill=—","Direction=H","UseDPDF=Y")</f>
        <v>0</v>
      </c>
      <c r="AJ62" s="13">
        <f>_xll.BDH("WMT US Equity","IS_PERSONNEL_EXP","FQ2 2025","FQ2 2025","Currency=USD","Period=FQ","BEST_FPERIOD_OVERRIDE=FQ","FILING_STATUS=MR","SCALING_FORMAT=MLN","Sort=A","Dates=H","DateFormat=P","Fill=—","Direction=H","UseDPDF=Y")</f>
        <v>0</v>
      </c>
      <c r="AK62" s="13">
        <f>_xll.BDH("WMT US Equity","IS_PERSONNEL_EXP","FQ3 2025","FQ3 2025","Currency=USD","Period=FQ","BEST_FPERIOD_OVERRIDE=FQ","FILING_STATUS=MR","SCALING_FORMAT=MLN","Sort=A","Dates=H","DateFormat=P","Fill=—","Direction=H","UseDPDF=Y")</f>
        <v>0</v>
      </c>
      <c r="AL62" s="13">
        <f>_xll.BDH("WMT US Equity","IS_PERSONNEL_EXP","FQ4 2025","FQ4 2025","Currency=USD","Period=FQ","BEST_FPERIOD_OVERRIDE=FQ","FILING_STATUS=MR","SCALING_FORMAT=MLN","Sort=A","Dates=H","DateFormat=P","Fill=—","Direction=H","UseDPDF=Y")</f>
        <v>0</v>
      </c>
      <c r="AM62" s="13">
        <f>_xll.BDH("WMT US Equity","IS_PERSONNEL_EXP","FQ1 2026","FQ1 2026","Currency=USD","Period=FQ","BEST_FPERIOD_OVERRIDE=FQ","FILING_STATUS=MR","SCALING_FORMAT=MLN","Sort=A","Dates=H","DateFormat=P","Fill=—","Direction=H","UseDPDF=Y")</f>
        <v>0</v>
      </c>
      <c r="AN62" s="13">
        <f>_xll.BDH("WMT US Equity","IS_PERSONNEL_EXP","FQ2 2026","FQ2 2026","Currency=USD","Period=FQ","BEST_FPERIOD_OVERRIDE=FQ","FILING_STATUS=MR","SCALING_FORMAT=MLN","Sort=A","Dates=H","DateFormat=P","Fill=—","Direction=H","UseDPDF=Y")</f>
        <v>0</v>
      </c>
      <c r="AO62" s="13"/>
      <c r="AP62" s="13"/>
    </row>
    <row r="63" spans="1:42" x14ac:dyDescent="0.3">
      <c r="A63" s="10" t="s">
        <v>165</v>
      </c>
      <c r="B63" s="10" t="s">
        <v>166</v>
      </c>
      <c r="C63" s="13" t="str">
        <f>_xll.BDH("WMT US Equity","BS_CURR_RENTAL_EXPENSE","FQ1 2017","FQ1 2017","Currency=USD","Period=FQ","BEST_FPERIOD_OVERRIDE=FQ","FILING_STATUS=MR","SCALING_FORMAT=MLN","Sort=A","Dates=H","DateFormat=P","Fill=—","Direction=H","UseDPDF=Y")</f>
        <v>—</v>
      </c>
      <c r="D63" s="13" t="str">
        <f>_xll.BDH("WMT US Equity","BS_CURR_RENTAL_EXPENSE","FQ2 2017","FQ2 2017","Currency=USD","Period=FQ","BEST_FPERIOD_OVERRIDE=FQ","FILING_STATUS=MR","SCALING_FORMAT=MLN","Sort=A","Dates=H","DateFormat=P","Fill=—","Direction=H","UseDPDF=Y")</f>
        <v>—</v>
      </c>
      <c r="E63" s="13" t="str">
        <f>_xll.BDH("WMT US Equity","BS_CURR_RENTAL_EXPENSE","FQ3 2017","FQ3 2017","Currency=USD","Period=FQ","BEST_FPERIOD_OVERRIDE=FQ","FILING_STATUS=MR","SCALING_FORMAT=MLN","Sort=A","Dates=H","DateFormat=P","Fill=—","Direction=H","UseDPDF=Y")</f>
        <v>—</v>
      </c>
      <c r="F63" s="13" t="str">
        <f>_xll.BDH("WMT US Equity","BS_CURR_RENTAL_EXPENSE","FQ4 2017","FQ4 2017","Currency=USD","Period=FQ","BEST_FPERIOD_OVERRIDE=FQ","FILING_STATUS=MR","SCALING_FORMAT=MLN","Sort=A","Dates=H","DateFormat=P","Fill=—","Direction=H","UseDPDF=Y")</f>
        <v>—</v>
      </c>
      <c r="G63" s="13" t="str">
        <f>_xll.BDH("WMT US Equity","BS_CURR_RENTAL_EXPENSE","FQ1 2018","FQ1 2018","Currency=USD","Period=FQ","BEST_FPERIOD_OVERRIDE=FQ","FILING_STATUS=MR","SCALING_FORMAT=MLN","Sort=A","Dates=H","DateFormat=P","Fill=—","Direction=H","UseDPDF=Y")</f>
        <v>—</v>
      </c>
      <c r="H63" s="13" t="str">
        <f>_xll.BDH("WMT US Equity","BS_CURR_RENTAL_EXPENSE","FQ2 2018","FQ2 2018","Currency=USD","Period=FQ","BEST_FPERIOD_OVERRIDE=FQ","FILING_STATUS=MR","SCALING_FORMAT=MLN","Sort=A","Dates=H","DateFormat=P","Fill=—","Direction=H","UseDPDF=Y")</f>
        <v>—</v>
      </c>
      <c r="I63" s="13" t="str">
        <f>_xll.BDH("WMT US Equity","BS_CURR_RENTAL_EXPENSE","FQ3 2018","FQ3 2018","Currency=USD","Period=FQ","BEST_FPERIOD_OVERRIDE=FQ","FILING_STATUS=MR","SCALING_FORMAT=MLN","Sort=A","Dates=H","DateFormat=P","Fill=—","Direction=H","UseDPDF=Y")</f>
        <v>—</v>
      </c>
      <c r="J63" s="13" t="str">
        <f>_xll.BDH("WMT US Equity","BS_CURR_RENTAL_EXPENSE","FQ4 2018","FQ4 2018","Currency=USD","Period=FQ","BEST_FPERIOD_OVERRIDE=FQ","FILING_STATUS=MR","SCALING_FORMAT=MLN","Sort=A","Dates=H","DateFormat=P","Fill=—","Direction=H","UseDPDF=Y")</f>
        <v>—</v>
      </c>
      <c r="K63" s="13" t="str">
        <f>_xll.BDH("WMT US Equity","BS_CURR_RENTAL_EXPENSE","FQ1 2019","FQ1 2019","Currency=USD","Period=FQ","BEST_FPERIOD_OVERRIDE=FQ","FILING_STATUS=MR","SCALING_FORMAT=MLN","Sort=A","Dates=H","DateFormat=P","Fill=—","Direction=H","UseDPDF=Y")</f>
        <v>—</v>
      </c>
      <c r="L63" s="13" t="str">
        <f>_xll.BDH("WMT US Equity","BS_CURR_RENTAL_EXPENSE","FQ2 2019","FQ2 2019","Currency=USD","Period=FQ","BEST_FPERIOD_OVERRIDE=FQ","FILING_STATUS=MR","SCALING_FORMAT=MLN","Sort=A","Dates=H","DateFormat=P","Fill=—","Direction=H","UseDPDF=Y")</f>
        <v>—</v>
      </c>
      <c r="M63" s="13" t="str">
        <f>_xll.BDH("WMT US Equity","BS_CURR_RENTAL_EXPENSE","FQ3 2019","FQ3 2019","Currency=USD","Period=FQ","BEST_FPERIOD_OVERRIDE=FQ","FILING_STATUS=MR","SCALING_FORMAT=MLN","Sort=A","Dates=H","DateFormat=P","Fill=—","Direction=H","UseDPDF=Y")</f>
        <v>—</v>
      </c>
      <c r="N63" s="13" t="str">
        <f>_xll.BDH("WMT US Equity","BS_CURR_RENTAL_EXPENSE","FQ4 2019","FQ4 2019","Currency=USD","Period=FQ","BEST_FPERIOD_OVERRIDE=FQ","FILING_STATUS=MR","SCALING_FORMAT=MLN","Sort=A","Dates=H","DateFormat=P","Fill=—","Direction=H","UseDPDF=Y")</f>
        <v>—</v>
      </c>
      <c r="O63" s="13">
        <f>_xll.BDH("WMT US Equity","BS_CURR_RENTAL_EXPENSE","FQ1 2020","FQ1 2020","Currency=USD","Period=FQ","BEST_FPERIOD_OVERRIDE=FQ","FILING_STATUS=MR","SCALING_FORMAT=MLN","Sort=A","Dates=H","DateFormat=P","Fill=—","Direction=H","UseDPDF=Y")</f>
        <v>803</v>
      </c>
      <c r="P63" s="13">
        <f>_xll.BDH("WMT US Equity","BS_CURR_RENTAL_EXPENSE","FQ2 2020","FQ2 2020","Currency=USD","Period=FQ","BEST_FPERIOD_OVERRIDE=FQ","FILING_STATUS=MR","SCALING_FORMAT=MLN","Sort=A","Dates=H","DateFormat=P","Fill=—","Direction=H","UseDPDF=Y")</f>
        <v>829</v>
      </c>
      <c r="Q63" s="13">
        <f>_xll.BDH("WMT US Equity","BS_CURR_RENTAL_EXPENSE","FQ3 2020","FQ3 2020","Currency=USD","Period=FQ","BEST_FPERIOD_OVERRIDE=FQ","FILING_STATUS=MR","SCALING_FORMAT=MLN","Sort=A","Dates=H","DateFormat=P","Fill=—","Direction=H","UseDPDF=Y")</f>
        <v>865</v>
      </c>
      <c r="R63" s="13">
        <f>_xll.BDH("WMT US Equity","BS_CURR_RENTAL_EXPENSE","FQ4 2020","FQ4 2020","Currency=USD","Period=FQ","BEST_FPERIOD_OVERRIDE=FQ","FILING_STATUS=MR","SCALING_FORMAT=MLN","Sort=A","Dates=H","DateFormat=P","Fill=—","Direction=H","UseDPDF=Y")</f>
        <v>864</v>
      </c>
      <c r="S63" s="13" t="str">
        <f>_xll.BDH("WMT US Equity","BS_CURR_RENTAL_EXPENSE","FQ1 2021","FQ1 2021","Currency=USD","Period=FQ","BEST_FPERIOD_OVERRIDE=FQ","FILING_STATUS=MR","SCALING_FORMAT=MLN","Sort=A","Dates=H","DateFormat=P","Fill=—","Direction=H","UseDPDF=Y")</f>
        <v>—</v>
      </c>
      <c r="T63" s="13" t="str">
        <f>_xll.BDH("WMT US Equity","BS_CURR_RENTAL_EXPENSE","FQ2 2021","FQ2 2021","Currency=USD","Period=FQ","BEST_FPERIOD_OVERRIDE=FQ","FILING_STATUS=MR","SCALING_FORMAT=MLN","Sort=A","Dates=H","DateFormat=P","Fill=—","Direction=H","UseDPDF=Y")</f>
        <v>—</v>
      </c>
      <c r="U63" s="13" t="str">
        <f>_xll.BDH("WMT US Equity","BS_CURR_RENTAL_EXPENSE","FQ3 2021","FQ3 2021","Currency=USD","Period=FQ","BEST_FPERIOD_OVERRIDE=FQ","FILING_STATUS=MR","SCALING_FORMAT=MLN","Sort=A","Dates=H","DateFormat=P","Fill=—","Direction=H","UseDPDF=Y")</f>
        <v>—</v>
      </c>
      <c r="V63" s="13" t="str">
        <f>_xll.BDH("WMT US Equity","BS_CURR_RENTAL_EXPENSE","FQ4 2021","FQ4 2021","Currency=USD","Period=FQ","BEST_FPERIOD_OVERRIDE=FQ","FILING_STATUS=MR","SCALING_FORMAT=MLN","Sort=A","Dates=H","DateFormat=P","Fill=—","Direction=H","UseDPDF=Y")</f>
        <v>—</v>
      </c>
      <c r="W63" s="13" t="str">
        <f>_xll.BDH("WMT US Equity","BS_CURR_RENTAL_EXPENSE","FQ1 2022","FQ1 2022","Currency=USD","Period=FQ","BEST_FPERIOD_OVERRIDE=FQ","FILING_STATUS=MR","SCALING_FORMAT=MLN","Sort=A","Dates=H","DateFormat=P","Fill=—","Direction=H","UseDPDF=Y")</f>
        <v>—</v>
      </c>
      <c r="X63" s="13" t="str">
        <f>_xll.BDH("WMT US Equity","BS_CURR_RENTAL_EXPENSE","FQ2 2022","FQ2 2022","Currency=USD","Period=FQ","BEST_FPERIOD_OVERRIDE=FQ","FILING_STATUS=MR","SCALING_FORMAT=MLN","Sort=A","Dates=H","DateFormat=P","Fill=—","Direction=H","UseDPDF=Y")</f>
        <v>—</v>
      </c>
      <c r="Y63" s="13" t="str">
        <f>_xll.BDH("WMT US Equity","BS_CURR_RENTAL_EXPENSE","FQ3 2022","FQ3 2022","Currency=USD","Period=FQ","BEST_FPERIOD_OVERRIDE=FQ","FILING_STATUS=MR","SCALING_FORMAT=MLN","Sort=A","Dates=H","DateFormat=P","Fill=—","Direction=H","UseDPDF=Y")</f>
        <v>—</v>
      </c>
      <c r="Z63" s="13" t="str">
        <f>_xll.BDH("WMT US Equity","BS_CURR_RENTAL_EXPENSE","FQ4 2022","FQ4 2022","Currency=USD","Period=FQ","BEST_FPERIOD_OVERRIDE=FQ","FILING_STATUS=MR","SCALING_FORMAT=MLN","Sort=A","Dates=H","DateFormat=P","Fill=—","Direction=H","UseDPDF=Y")</f>
        <v>—</v>
      </c>
      <c r="AA63" s="13" t="str">
        <f>_xll.BDH("WMT US Equity","BS_CURR_RENTAL_EXPENSE","FQ1 2023","FQ1 2023","Currency=USD","Period=FQ","BEST_FPERIOD_OVERRIDE=FQ","FILING_STATUS=MR","SCALING_FORMAT=MLN","Sort=A","Dates=H","DateFormat=P","Fill=—","Direction=H","UseDPDF=Y")</f>
        <v>—</v>
      </c>
      <c r="AB63" s="13" t="str">
        <f>_xll.BDH("WMT US Equity","BS_CURR_RENTAL_EXPENSE","FQ2 2023","FQ2 2023","Currency=USD","Period=FQ","BEST_FPERIOD_OVERRIDE=FQ","FILING_STATUS=MR","SCALING_FORMAT=MLN","Sort=A","Dates=H","DateFormat=P","Fill=—","Direction=H","UseDPDF=Y")</f>
        <v>—</v>
      </c>
      <c r="AC63" s="13" t="str">
        <f>_xll.BDH("WMT US Equity","BS_CURR_RENTAL_EXPENSE","FQ3 2023","FQ3 2023","Currency=USD","Period=FQ","BEST_FPERIOD_OVERRIDE=FQ","FILING_STATUS=MR","SCALING_FORMAT=MLN","Sort=A","Dates=H","DateFormat=P","Fill=—","Direction=H","UseDPDF=Y")</f>
        <v>—</v>
      </c>
      <c r="AD63" s="13" t="str">
        <f>_xll.BDH("WMT US Equity","BS_CURR_RENTAL_EXPENSE","FQ4 2023","FQ4 2023","Currency=USD","Period=FQ","BEST_FPERIOD_OVERRIDE=FQ","FILING_STATUS=MR","SCALING_FORMAT=MLN","Sort=A","Dates=H","DateFormat=P","Fill=—","Direction=H","UseDPDF=Y")</f>
        <v>—</v>
      </c>
      <c r="AE63" s="13" t="str">
        <f>_xll.BDH("WMT US Equity","BS_CURR_RENTAL_EXPENSE","FQ1 2024","FQ1 2024","Currency=USD","Period=FQ","BEST_FPERIOD_OVERRIDE=FQ","FILING_STATUS=MR","SCALING_FORMAT=MLN","Sort=A","Dates=H","DateFormat=P","Fill=—","Direction=H","UseDPDF=Y")</f>
        <v>—</v>
      </c>
      <c r="AF63" s="13" t="str">
        <f>_xll.BDH("WMT US Equity","BS_CURR_RENTAL_EXPENSE","FQ2 2024","FQ2 2024","Currency=USD","Period=FQ","BEST_FPERIOD_OVERRIDE=FQ","FILING_STATUS=MR","SCALING_FORMAT=MLN","Sort=A","Dates=H","DateFormat=P","Fill=—","Direction=H","UseDPDF=Y")</f>
        <v>—</v>
      </c>
      <c r="AG63" s="13" t="str">
        <f>_xll.BDH("WMT US Equity","BS_CURR_RENTAL_EXPENSE","FQ3 2024","FQ3 2024","Currency=USD","Period=FQ","BEST_FPERIOD_OVERRIDE=FQ","FILING_STATUS=MR","SCALING_FORMAT=MLN","Sort=A","Dates=H","DateFormat=P","Fill=—","Direction=H","UseDPDF=Y")</f>
        <v>—</v>
      </c>
      <c r="AH63" s="13" t="str">
        <f>_xll.BDH("WMT US Equity","BS_CURR_RENTAL_EXPENSE","FQ4 2024","FQ4 2024","Currency=USD","Period=FQ","BEST_FPERIOD_OVERRIDE=FQ","FILING_STATUS=MR","SCALING_FORMAT=MLN","Sort=A","Dates=H","DateFormat=P","Fill=—","Direction=H","UseDPDF=Y")</f>
        <v>—</v>
      </c>
      <c r="AI63" s="13" t="str">
        <f>_xll.BDH("WMT US Equity","BS_CURR_RENTAL_EXPENSE","FQ1 2025","FQ1 2025","Currency=USD","Period=FQ","BEST_FPERIOD_OVERRIDE=FQ","FILING_STATUS=MR","SCALING_FORMAT=MLN","Sort=A","Dates=H","DateFormat=P","Fill=—","Direction=H","UseDPDF=Y")</f>
        <v>—</v>
      </c>
      <c r="AJ63" s="13" t="str">
        <f>_xll.BDH("WMT US Equity","BS_CURR_RENTAL_EXPENSE","FQ2 2025","FQ2 2025","Currency=USD","Period=FQ","BEST_FPERIOD_OVERRIDE=FQ","FILING_STATUS=MR","SCALING_FORMAT=MLN","Sort=A","Dates=H","DateFormat=P","Fill=—","Direction=H","UseDPDF=Y")</f>
        <v>—</v>
      </c>
      <c r="AK63" s="13" t="str">
        <f>_xll.BDH("WMT US Equity","BS_CURR_RENTAL_EXPENSE","FQ3 2025","FQ3 2025","Currency=USD","Period=FQ","BEST_FPERIOD_OVERRIDE=FQ","FILING_STATUS=MR","SCALING_FORMAT=MLN","Sort=A","Dates=H","DateFormat=P","Fill=—","Direction=H","UseDPDF=Y")</f>
        <v>—</v>
      </c>
      <c r="AL63" s="13" t="str">
        <f>_xll.BDH("WMT US Equity","BS_CURR_RENTAL_EXPENSE","FQ4 2025","FQ4 2025","Currency=USD","Period=FQ","BEST_FPERIOD_OVERRIDE=FQ","FILING_STATUS=MR","SCALING_FORMAT=MLN","Sort=A","Dates=H","DateFormat=P","Fill=—","Direction=H","UseDPDF=Y")</f>
        <v>—</v>
      </c>
      <c r="AM63" s="13" t="str">
        <f>_xll.BDH("WMT US Equity","BS_CURR_RENTAL_EXPENSE","FQ1 2026","FQ1 2026","Currency=USD","Period=FQ","BEST_FPERIOD_OVERRIDE=FQ","FILING_STATUS=MR","SCALING_FORMAT=MLN","Sort=A","Dates=H","DateFormat=P","Fill=—","Direction=H","UseDPDF=Y")</f>
        <v>—</v>
      </c>
      <c r="AN63" s="13" t="str">
        <f>_xll.BDH("WMT US Equity","BS_CURR_RENTAL_EXPENSE","FQ2 2026","FQ2 2026","Currency=USD","Period=FQ","BEST_FPERIOD_OVERRIDE=FQ","FILING_STATUS=MR","SCALING_FORMAT=MLN","Sort=A","Dates=H","DateFormat=P","Fill=—","Direction=H","UseDPDF=Y")</f>
        <v>—</v>
      </c>
      <c r="AO63" s="13"/>
      <c r="AP63" s="13"/>
    </row>
    <row r="64" spans="1:42" x14ac:dyDescent="0.3">
      <c r="A64" s="7" t="s">
        <v>167</v>
      </c>
      <c r="B64" s="7"/>
      <c r="C64" s="7" t="s">
        <v>3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Nguyen Minh</cp:lastModifiedBy>
  <dcterms:created xsi:type="dcterms:W3CDTF">2013-04-03T15:49:21Z</dcterms:created>
  <dcterms:modified xsi:type="dcterms:W3CDTF">2025-10-13T08:05:17Z</dcterms:modified>
</cp:coreProperties>
</file>