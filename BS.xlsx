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OneDrive\Desktop\My carrer\My_project\BWIN\"/>
    </mc:Choice>
  </mc:AlternateContent>
  <xr:revisionPtr revIDLastSave="0" documentId="8_{79503E81-5549-4BDB-A16B-4010C1D745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 Sheet - Standardized" sheetId="2" r:id="rId1"/>
  </sheet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92" i="2" l="1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</calcChain>
</file>

<file path=xl/sharedStrings.xml><?xml version="1.0" encoding="utf-8"?>
<sst xmlns="http://schemas.openxmlformats.org/spreadsheetml/2006/main" count="292" uniqueCount="247">
  <si>
    <t>Reference Items</t>
  </si>
  <si>
    <t>Right click to show data transparency (not supported for all values)</t>
  </si>
  <si>
    <t>In Millions of USD except Per Share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</si>
  <si>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</si>
  <si>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</si>
  <si>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</si>
  <si>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</si>
  <si>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</si>
  <si>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</si>
  <si>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</si>
  <si>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</si>
  <si>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</si>
  <si>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</si>
  <si>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</si>
  <si>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</si>
  <si>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</si>
  <si>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</si>
  <si>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</si>
  <si>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</si>
  <si>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</si>
  <si>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</si>
  <si>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</si>
  <si>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</si>
  <si>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</si>
  <si>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</si>
  <si>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</si>
  <si>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</si>
  <si>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</si>
  <si>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</si>
  <si>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</si>
  <si>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</si>
  <si>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</si>
  <si>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</si>
  <si>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</si>
  <si>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</si>
  <si>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</si>
  <si>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</si>
  <si>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</si>
  <si>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</si>
  <si>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</si>
  <si>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</si>
  <si>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</si>
  <si>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</si>
  <si>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3 Months Ending</t>
  </si>
  <si>
    <t>10/31/2015</t>
  </si>
  <si>
    <t>01/31/2016</t>
  </si>
  <si>
    <t>04/30/2016</t>
  </si>
  <si>
    <t>07/31/2016</t>
  </si>
  <si>
    <t>10/31/2016</t>
  </si>
  <si>
    <t>01/31/2017</t>
  </si>
  <si>
    <t>04/30/2017</t>
  </si>
  <si>
    <t>07/31/2017</t>
  </si>
  <si>
    <t>10/31/2017</t>
  </si>
  <si>
    <t>01/31/2018</t>
  </si>
  <si>
    <t>04/30/2018</t>
  </si>
  <si>
    <t>07/31/2018</t>
  </si>
  <si>
    <t>10/31/2018</t>
  </si>
  <si>
    <t>01/31/2019</t>
  </si>
  <si>
    <t>04/30/2019</t>
  </si>
  <si>
    <t>07/31/2019</t>
  </si>
  <si>
    <t>10/31/2019</t>
  </si>
  <si>
    <t>01/31/2020</t>
  </si>
  <si>
    <t>04/30/2020</t>
  </si>
  <si>
    <t>07/31/2020</t>
  </si>
  <si>
    <t>10/31/2020</t>
  </si>
  <si>
    <t>01/31/2021</t>
  </si>
  <si>
    <t>04/30/2021</t>
  </si>
  <si>
    <t>07/31/2021</t>
  </si>
  <si>
    <t>10/31/2021</t>
  </si>
  <si>
    <t>01/31/2022</t>
  </si>
  <si>
    <t>04/30/2022</t>
  </si>
  <si>
    <t>07/31/2022</t>
  </si>
  <si>
    <t>10/31/2022</t>
  </si>
  <si>
    <t>01/31/2023</t>
  </si>
  <si>
    <t>04/30/2023</t>
  </si>
  <si>
    <t>07/31/2023</t>
  </si>
  <si>
    <t>10/31/2023</t>
  </si>
  <si>
    <t>01/31/2024</t>
  </si>
  <si>
    <t>04/30/2024</t>
  </si>
  <si>
    <t>07/31/2024</t>
  </si>
  <si>
    <t>10/31/2024</t>
  </si>
  <si>
    <t>01/31/2025</t>
  </si>
  <si>
    <t>04/30/2025</t>
  </si>
  <si>
    <t>07/31/2025</t>
  </si>
  <si>
    <t>Total Assets</t>
  </si>
  <si>
    <t>CASH_CASH_EQTY_STI_DETAILED</t>
  </si>
  <si>
    <t>BS_CASH_NEAR_CASH_ITEM</t>
  </si>
  <si>
    <t>BS_MKT_SEC_OTHER_ST_INVEST</t>
  </si>
  <si>
    <t>BS_ACCT_NOTE_RCV</t>
  </si>
  <si>
    <t>BS_ACCTS_REC_EXCL_NOTES_REC</t>
  </si>
  <si>
    <t>NOTES_RECEIVABLE</t>
  </si>
  <si>
    <t>BS_INVENTORIES</t>
  </si>
  <si>
    <t>OTHER_CURRENT_ASSETS_DETAILED</t>
  </si>
  <si>
    <t>BS_DERIV_HEDGING_ASST_ST</t>
  </si>
  <si>
    <t>BS_DEFERRED_TAX_ASSETS_ST</t>
  </si>
  <si>
    <t>BS_OTHER_CUR_ASSET_LESS_PREPAY</t>
  </si>
  <si>
    <t>Total Current Assets</t>
  </si>
  <si>
    <t>BS_CUR_ASSET_REPORT</t>
  </si>
  <si>
    <t>BS_NET_FIX_ASSET</t>
  </si>
  <si>
    <t>BS_GROSS_FIX_ASSET</t>
  </si>
  <si>
    <t>BS_ACCUM_DEPR</t>
  </si>
  <si>
    <t>BS_LT_INVEST</t>
  </si>
  <si>
    <t>BS_OTHER_ASSETS_DEF_CHRG_OTHER</t>
  </si>
  <si>
    <t>BS_DISCLOSED_INTANGIBLES</t>
  </si>
  <si>
    <t>BS_GOODWILL</t>
  </si>
  <si>
    <t>OTHER_INTANGIBLE_ASSETS_DETAILED</t>
  </si>
  <si>
    <t>BS_DEFERRED_TAX_ASSETS_LT</t>
  </si>
  <si>
    <t>BS_DERIV_HEDGING_ASST_LT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</si>
  <si>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</si>
  <si>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</si>
  <si>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</si>
  <si>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</si>
  <si>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</si>
  <si>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>ACCT_PAYABLE_ACCRUALS_DETAILED</t>
  </si>
  <si>
    <t>BS_ACCT_PAYABLE</t>
  </si>
  <si>
    <t>BS_TAXES_PAYABLE</t>
  </si>
  <si>
    <t>INTEREST_DIVIDENDS_PAYABLE</t>
  </si>
  <si>
    <t>BS_ACCRUAL</t>
  </si>
  <si>
    <t>BS_ST_BORROW</t>
  </si>
  <si>
    <t>SHORT_TERM_DEBT_DETAILED</t>
  </si>
  <si>
    <t>ST_CAPITALIZED_LEASE_LIABILITIES</t>
  </si>
  <si>
    <t>ST_CAPITAL_LEASE_OBLIGATIONS</t>
  </si>
  <si>
    <t>BS_ST_OPERATING_LEASE_LIABS</t>
  </si>
  <si>
    <t>BS_CURR_PORTION_LT_DEBT</t>
  </si>
  <si>
    <t>OTHER_CURRENT_LIABS_SUB_DETAILED</t>
  </si>
  <si>
    <t>ST_DEFERRED_REVENUE</t>
  </si>
  <si>
    <t>BS_DERIV_HEDGING_LIAB_ST</t>
  </si>
  <si>
    <t>BS_DEFERRED_TAX_LIABS_ST</t>
  </si>
  <si>
    <t>OTHER_CURRENT_LIABS_DETAILED</t>
  </si>
  <si>
    <t>Total Current Liabilities</t>
  </si>
  <si>
    <t>BS_CUR_LIAB</t>
  </si>
  <si>
    <t>BS_LT_BORROW</t>
  </si>
  <si>
    <t>LONG_TERM_BORROWINGS_DETAILED</t>
  </si>
  <si>
    <t>LT_CAPITALIZED_LEASE_LIABILITIES</t>
  </si>
  <si>
    <t>LT_CAPITAL_LEASE_OBLIGATIONS</t>
  </si>
  <si>
    <t>BS_LT_OPERATING_LEASE_LIABS</t>
  </si>
  <si>
    <t>OTHER_NONCUR_LIABS_SUB_DETAILED</t>
  </si>
  <si>
    <t>BS_ACCRUED_LIABILITIES</t>
  </si>
  <si>
    <t>PENSION_LIABILITIES</t>
  </si>
  <si>
    <t>BS_PENSIONS_LT_LIABS</t>
  </si>
  <si>
    <t>BS_OPRB_LT_LIABS</t>
  </si>
  <si>
    <t>LT_DEFERRED_REVENUE</t>
  </si>
  <si>
    <t>BS_DEFERRED_TAX_LIABILITIES_LT</t>
  </si>
  <si>
    <t>BS_DERIV_HEDGING_LIAB_LT</t>
  </si>
  <si>
    <t>OTHER_NONCURRENT_LIABS_DETAILED</t>
  </si>
  <si>
    <t>Total Noncurrent Liabilities</t>
  </si>
  <si>
    <t>NON_CUR_LIAB</t>
  </si>
  <si>
    <t>Total Liabilities</t>
  </si>
  <si>
    <t>BS_TOT_LIAB2</t>
  </si>
  <si>
    <t>PFD_EQTY_HYBRID_CAPITAL</t>
  </si>
  <si>
    <t>BS_SH_CAP_AND_APIC</t>
  </si>
  <si>
    <t>BS_COMMON_STOCK</t>
  </si>
  <si>
    <t>BS_ADD_PAID_IN_CAP</t>
  </si>
  <si>
    <t>BS_AMT_OF_TSY_STOCK</t>
  </si>
  <si>
    <t>BS_PURE_RETAINED_EARNINGS</t>
  </si>
  <si>
    <t>OTHER_EQUITY_RATIO</t>
  </si>
  <si>
    <t>Equity Before Minority Interest</t>
  </si>
  <si>
    <t>EQTY_BEF_MINORITY_INT_DETAILED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</si>
  <si>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</si>
  <si>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</si>
  <si>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</si>
  <si>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</si>
  <si>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</si>
  <si>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</si>
  <si>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</si>
  <si>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</si>
  <si>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</si>
  <si>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</si>
  <si>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</si>
  <si>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</si>
  <si>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</si>
  <si>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</si>
  <si>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</si>
  <si>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</si>
  <si>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BS_TOTAL_CAPITAL_LEASES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</si>
  <si>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</si>
  <si>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</si>
  <si>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</si>
  <si>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</si>
  <si>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</si>
  <si>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</si>
  <si>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</si>
  <si>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</si>
  <si>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</si>
  <si>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</si>
  <si>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Cash Held Overseas</t>
  </si>
  <si>
    <t>BS_CASH_HELD_OVERSEAS</t>
  </si>
  <si>
    <t>Number of Employees</t>
  </si>
  <si>
    <t>NUM_OF_EMPLOYEES</t>
  </si>
  <si>
    <t>Source: Bloomberg</t>
  </si>
  <si>
    <t xml:space="preserve">   Cash, Cash Equivalents &amp; STI</t>
  </si>
  <si>
    <t xml:space="preserve">     Cash &amp; Cash Equivalents</t>
  </si>
  <si>
    <t xml:space="preserve">     ST Investments</t>
  </si>
  <si>
    <t xml:space="preserve">   Accounts &amp; Notes Receiv</t>
  </si>
  <si>
    <t xml:space="preserve">     Accounts Receivable, Net</t>
  </si>
  <si>
    <t xml:space="preserve">     Notes Receivable, Net</t>
  </si>
  <si>
    <t xml:space="preserve">   Inventories</t>
  </si>
  <si>
    <t xml:space="preserve">   Other ST Assets</t>
  </si>
  <si>
    <t xml:space="preserve">     Derivative &amp; Hedging Assets</t>
  </si>
  <si>
    <t xml:space="preserve">     Deferred Tax Assets</t>
  </si>
  <si>
    <t xml:space="preserve">     Misc ST Assets</t>
  </si>
  <si>
    <t xml:space="preserve">   Property, Plant &amp; Equip, Net</t>
  </si>
  <si>
    <t xml:space="preserve">     Property, Plant &amp; Equip</t>
  </si>
  <si>
    <t xml:space="preserve">   LT Investments &amp; Receivables</t>
  </si>
  <si>
    <t xml:space="preserve">   Other LT Assets</t>
  </si>
  <si>
    <t xml:space="preserve">     Total Intangible Assets</t>
  </si>
  <si>
    <t xml:space="preserve">     Goodwill</t>
  </si>
  <si>
    <t xml:space="preserve">     Other Intangible Assets</t>
  </si>
  <si>
    <t xml:space="preserve">     Misc LT Assets</t>
  </si>
  <si>
    <t xml:space="preserve">   Payables &amp; Accruals</t>
  </si>
  <si>
    <t xml:space="preserve">     Accounts Payable</t>
  </si>
  <si>
    <t xml:space="preserve">     Accrued Taxes</t>
  </si>
  <si>
    <t xml:space="preserve">     Interest &amp; Dividends Payable</t>
  </si>
  <si>
    <t xml:space="preserve">     Other Payables &amp; Accruals</t>
  </si>
  <si>
    <t xml:space="preserve">   ST Debt</t>
  </si>
  <si>
    <t xml:space="preserve">     ST Borrowings</t>
  </si>
  <si>
    <t xml:space="preserve">     ST Lease Liabilities</t>
  </si>
  <si>
    <t xml:space="preserve">       ST Finance Leases</t>
  </si>
  <si>
    <t xml:space="preserve">       ST Operating Leases</t>
  </si>
  <si>
    <t xml:space="preserve">     Current Portion of LT Debt</t>
  </si>
  <si>
    <t xml:space="preserve">   Other ST Liabilities</t>
  </si>
  <si>
    <t xml:space="preserve">     Deferred Revenue</t>
  </si>
  <si>
    <t xml:space="preserve">     Derivatives &amp; Hedging</t>
  </si>
  <si>
    <t xml:space="preserve">     Deferred Tax Liabilities</t>
  </si>
  <si>
    <t xml:space="preserve">     Misc ST Liabilities</t>
  </si>
  <si>
    <t xml:space="preserve">   LT Debt</t>
  </si>
  <si>
    <t xml:space="preserve">     LT Borrowings</t>
  </si>
  <si>
    <t xml:space="preserve">     LT Lease Liabilities</t>
  </si>
  <si>
    <t xml:space="preserve">       LT Finance Leases</t>
  </si>
  <si>
    <t xml:space="preserve">       LT Operating Leases</t>
  </si>
  <si>
    <t xml:space="preserve">   Other LT Liabilities</t>
  </si>
  <si>
    <t xml:space="preserve">     Accrued Liabilities</t>
  </si>
  <si>
    <t xml:space="preserve">     Pension Liabilities</t>
  </si>
  <si>
    <t xml:space="preserve">     Pensions</t>
  </si>
  <si>
    <t xml:space="preserve">     Misc LT Liabilities</t>
  </si>
  <si>
    <t xml:space="preserve">   Preferred Equity and Hybrid Capital</t>
  </si>
  <si>
    <t xml:space="preserve">   Share Capital &amp; APIC</t>
  </si>
  <si>
    <t xml:space="preserve">     Common Stock</t>
  </si>
  <si>
    <t xml:space="preserve">     Additional Paid in Capital</t>
  </si>
  <si>
    <t xml:space="preserve">   Retained Earnings</t>
  </si>
  <si>
    <t xml:space="preserve">   Other Equity</t>
  </si>
  <si>
    <t xml:space="preserve">   Minority/Non Controlling Interest</t>
  </si>
  <si>
    <t>Walmart Inc (WMT US)  Standardized</t>
  </si>
  <si>
    <t xml:space="preserve">     Accumulated Depreciation</t>
  </si>
  <si>
    <t xml:space="preserve">     Other PostRet Benefits</t>
  </si>
  <si>
    <t xml:space="preserve">   Treasury Stock</t>
  </si>
  <si>
    <t>Capital Leases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</si>
</sst>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164" fontId="11" fillId="34" borderId="2">
      <alignment horizontal="right"/>
    </xf>
  </cellStyleXfs>
  <cellXfs count="18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5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4" fontId="1" fillId="34" borderId="2" xfId="54">
      <alignment horizontal="right"/>
    </xf>
    <xf numFmtId="4" fontId="1" fillId="34" borderId="2" xfId="55">
      <alignment horizontal="right"/>
    </xf>
    <xf numFmtId="3" fontId="8" fillId="34" borderId="2" xfId="56">
      <alignment horizontal="right"/>
    </xf>
    <xf numFmtId="164" fontId="8" fillId="34" borderId="2" xfId="57">
      <alignment horizontal="right"/>
    </xf>
    <xf numFmtId="164" fontId="11" fillId="34" borderId="2" xfId="58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BDH|15302179910126504903</stp>
        <tr r="C19" s="2"/>
      </tp>
      <tp t="e">
        <v>#N/A</v>
        <stp/>
        <stp>BDH|16165409281445796568</stp>
        <tr r="Q92" s="2"/>
      </tp>
      <tp t="e">
        <v>#N/A</v>
        <stp/>
        <stp>BDH|15970498312463106922</stp>
        <tr r="P50" s="2"/>
      </tp>
      <tp t="e">
        <v>#N/A</v>
        <stp/>
        <stp>BDH|10849640235166026988</stp>
        <tr r="AB85" s="2"/>
      </tp>
      <tp t="e">
        <v>#N/A</v>
        <stp/>
        <stp>BDH|17978617041648134796</stp>
        <tr r="AD16" s="2"/>
      </tp>
      <tp t="e">
        <v>#N/A</v>
        <stp/>
        <stp>BDH|14934055145518015281</stp>
        <tr r="AH66" s="2"/>
      </tp>
      <tp t="e">
        <v>#N/A</v>
        <stp/>
        <stp>BDH|12815871002521544193</stp>
        <tr r="AK88" s="2"/>
      </tp>
      <tp t="e">
        <v>#N/A</v>
        <stp/>
        <stp>BDH|10845644389285035140</stp>
        <tr r="AJ17" s="2"/>
      </tp>
      <tp t="e">
        <v>#N/A</v>
        <stp/>
        <stp>BDH|16670981858307633716</stp>
        <tr r="AF70" s="2"/>
      </tp>
      <tp t="e">
        <v>#N/A</v>
        <stp/>
        <stp>BDH|11039648205469318439</stp>
        <tr r="Z62" s="2"/>
      </tp>
      <tp t="e">
        <v>#N/A</v>
        <stp/>
        <stp>BDH|16224376112199254746</stp>
        <tr r="T68" s="2"/>
      </tp>
      <tp t="e">
        <v>#N/A</v>
        <stp/>
        <stp>BDH|15703077483681327617</stp>
        <tr r="AP36" s="2"/>
      </tp>
      <tp t="e">
        <v>#N/A</v>
        <stp/>
        <stp>BDH|15095979331976736314</stp>
        <tr r="W76" s="2"/>
      </tp>
      <tp t="e">
        <v>#N/A</v>
        <stp/>
        <stp>BDH|16090153006819694457</stp>
        <tr r="AA36" s="2"/>
      </tp>
      <tp t="e">
        <v>#N/A</v>
        <stp/>
        <stp>BDH|14351342630199353742</stp>
        <tr r="AG55" s="2"/>
      </tp>
      <tp t="e">
        <v>#N/A</v>
        <stp/>
        <stp>BDH|18439303753027016375</stp>
        <tr r="U36" s="2"/>
      </tp>
      <tp t="e">
        <v>#N/A</v>
        <stp/>
        <stp>BDH|13532821591948463017</stp>
        <tr r="F29" s="2"/>
      </tp>
      <tp t="e">
        <v>#N/A</v>
        <stp/>
        <stp>BDH|11581242684334466526</stp>
        <tr r="E57" s="2"/>
      </tp>
      <tp t="e">
        <v>#N/A</v>
        <stp/>
        <stp>BDH|14877343598206792208</stp>
        <tr r="P47" s="2"/>
      </tp>
      <tp t="e">
        <v>#N/A</v>
        <stp/>
        <stp>BDH|16915704233221140987</stp>
        <tr r="AN45" s="2"/>
      </tp>
      <tp t="e">
        <v>#N/A</v>
        <stp/>
        <stp>BDH|12337704919986841800</stp>
        <tr r="Q43" s="2"/>
      </tp>
      <tp t="e">
        <v>#N/A</v>
        <stp/>
        <stp>BDH|12049719715226077867</stp>
        <tr r="W65" s="2"/>
      </tp>
      <tp t="e">
        <v>#N/A</v>
        <stp/>
        <stp>BDH|15572831761730261175</stp>
        <tr r="W74" s="2"/>
      </tp>
      <tp t="e">
        <v>#N/A</v>
        <stp/>
        <stp>BDH|17203816698028870415</stp>
        <tr r="F37" s="2"/>
      </tp>
      <tp t="e">
        <v>#N/A</v>
        <stp/>
        <stp>BDH|12203895663383852558</stp>
        <tr r="AB60" s="2"/>
      </tp>
      <tp t="e">
        <v>#N/A</v>
        <stp/>
        <stp>BDH|13058078714578370054</stp>
        <tr r="C68" s="2"/>
      </tp>
      <tp t="e">
        <v>#N/A</v>
        <stp/>
        <stp>BDH|13863377685760797281</stp>
        <tr r="AJ8" s="2"/>
      </tp>
      <tp t="e">
        <v>#N/A</v>
        <stp/>
        <stp>BDH|13151962115256395740</stp>
        <tr r="W90" s="2"/>
      </tp>
      <tp t="e">
        <v>#N/A</v>
        <stp/>
        <stp>BDH|15162829837987812396</stp>
        <tr r="Y14" s="2"/>
      </tp>
      <tp t="e">
        <v>#N/A</v>
        <stp/>
        <stp>BDH|10210967729217107690</stp>
        <tr r="D89" s="2"/>
      </tp>
      <tp t="e">
        <v>#N/A</v>
        <stp/>
        <stp>BDH|18210745322972607561</stp>
        <tr r="P45" s="2"/>
      </tp>
      <tp t="e">
        <v>#N/A</v>
        <stp/>
        <stp>BDH|11505622934697144963</stp>
        <tr r="AE21" s="2"/>
      </tp>
      <tp t="e">
        <v>#N/A</v>
        <stp/>
        <stp>BDH|11328046828779306081</stp>
        <tr r="T20" s="2"/>
      </tp>
      <tp t="e">
        <v>#N/A</v>
        <stp/>
        <stp>BDH|17550701647906334865</stp>
        <tr r="I12" s="2"/>
      </tp>
      <tp t="e">
        <v>#N/A</v>
        <stp/>
        <stp>BDH|16213144143828618142</stp>
        <tr r="V17" s="2"/>
      </tp>
      <tp t="e">
        <v>#N/A</v>
        <stp/>
        <stp>BDH|10563311631952434863</stp>
        <tr r="I61" s="2"/>
      </tp>
      <tp t="e">
        <v>#N/A</v>
        <stp/>
        <stp>BDH|13906885176766378039</stp>
        <tr r="T26" s="2"/>
      </tp>
      <tp t="e">
        <v>#N/A</v>
        <stp/>
        <stp>BDH|10975537706239371689</stp>
        <tr r="AO29" s="2"/>
      </tp>
      <tp t="e">
        <v>#N/A</v>
        <stp/>
        <stp>BDH|15386337672799535208</stp>
        <tr r="F48" s="2"/>
      </tp>
      <tp t="e">
        <v>#N/A</v>
        <stp/>
        <stp>BDH|13837905905570319088</stp>
        <tr r="M89" s="2"/>
      </tp>
      <tp t="e">
        <v>#N/A</v>
        <stp/>
        <stp>BDH|13041509675249340204</stp>
        <tr r="S8" s="2"/>
      </tp>
      <tp t="e">
        <v>#N/A</v>
        <stp/>
        <stp>BDH|13120668223944358915</stp>
        <tr r="AK50" s="2"/>
      </tp>
      <tp t="e">
        <v>#N/A</v>
        <stp/>
        <stp>BDH|17186843272545749768</stp>
        <tr r="AN85" s="2"/>
      </tp>
      <tp t="e">
        <v>#N/A</v>
        <stp/>
        <stp>BDH|11445705184052068666</stp>
        <tr r="AF34" s="2"/>
      </tp>
      <tp t="e">
        <v>#N/A</v>
        <stp/>
        <stp>BDH|17517798910883341893</stp>
        <tr r="AK69" s="2"/>
      </tp>
      <tp t="e">
        <v>#N/A</v>
        <stp/>
        <stp>BDH|17795511999862281341</stp>
        <tr r="W27" s="2"/>
      </tp>
      <tp t="e">
        <v>#N/A</v>
        <stp/>
        <stp>BDH|10449045797112786194</stp>
        <tr r="AK86" s="2"/>
      </tp>
      <tp t="e">
        <v>#N/A</v>
        <stp/>
        <stp>BDH|10741780524287560872</stp>
        <tr r="AC85" s="2"/>
      </tp>
      <tp t="e">
        <v>#N/A</v>
        <stp/>
        <stp>BDH|13206360248968593602</stp>
        <tr r="W61" s="2"/>
      </tp>
      <tp t="e">
        <v>#N/A</v>
        <stp/>
        <stp>BDH|11449773481757932323</stp>
        <tr r="AE64" s="2"/>
      </tp>
      <tp t="e">
        <v>#N/A</v>
        <stp/>
        <stp>BDH|13805425094352135665</stp>
        <tr r="G68" s="2"/>
      </tp>
      <tp t="e">
        <v>#N/A</v>
        <stp/>
        <stp>BDH|14112916418081508740</stp>
        <tr r="V40" s="2"/>
      </tp>
      <tp t="e">
        <v>#N/A</v>
        <stp/>
        <stp>BDH|11501029193304994645</stp>
        <tr r="R26" s="2"/>
      </tp>
      <tp t="e">
        <v>#N/A</v>
        <stp/>
        <stp>BDH|16457007974369150280</stp>
        <tr r="AC42" s="2"/>
      </tp>
      <tp t="e">
        <v>#N/A</v>
        <stp/>
        <stp>BDH|12891478372108727336</stp>
        <tr r="AC55" s="2"/>
      </tp>
      <tp t="e">
        <v>#N/A</v>
        <stp/>
        <stp>BDH|15273039796615612391</stp>
        <tr r="AA47" s="2"/>
      </tp>
      <tp t="e">
        <v>#N/A</v>
        <stp/>
        <stp>BDH|10079456742149760388</stp>
        <tr r="C29" s="2"/>
      </tp>
      <tp t="e">
        <v>#N/A</v>
        <stp/>
        <stp>BDH|10709985774062229619</stp>
        <tr r="S57" s="2"/>
      </tp>
      <tp t="e">
        <v>#N/A</v>
        <stp/>
        <stp>BDH|11701025021410462980</stp>
        <tr r="M10" s="2"/>
      </tp>
      <tp t="e">
        <v>#N/A</v>
        <stp/>
        <stp>BDH|15924537380043668146</stp>
        <tr r="H56" s="2"/>
      </tp>
      <tp t="e">
        <v>#N/A</v>
        <stp/>
        <stp>BDH|14264939428937214232</stp>
        <tr r="AI81" s="2"/>
      </tp>
      <tp t="e">
        <v>#N/A</v>
        <stp/>
        <stp>BDH|10187934891739166395</stp>
        <tr r="T24" s="2"/>
      </tp>
      <tp t="e">
        <v>#N/A</v>
        <stp/>
        <stp>BDH|15182938623650833427</stp>
        <tr r="AC69" s="2"/>
      </tp>
      <tp t="e">
        <v>#N/A</v>
        <stp/>
        <stp>BDH|16847290893563881419</stp>
        <tr r="AA64" s="2"/>
      </tp>
      <tp t="e">
        <v>#N/A</v>
        <stp/>
        <stp>BDH|14046294158428962136</stp>
        <tr r="AK44" s="2"/>
      </tp>
      <tp t="e">
        <v>#N/A</v>
        <stp/>
        <stp>BDH|14881084940649276387</stp>
        <tr r="R47" s="2"/>
      </tp>
      <tp t="e">
        <v>#N/A</v>
        <stp/>
        <stp>BDH|16839174196940392408</stp>
        <tr r="AJ51" s="2"/>
      </tp>
      <tp t="e">
        <v>#N/A</v>
        <stp/>
        <stp>BDH|10439609717884844919</stp>
        <tr r="U88" s="2"/>
      </tp>
      <tp t="e">
        <v>#N/A</v>
        <stp/>
        <stp>BDH|17601882195628319426</stp>
        <tr r="AI55" s="2"/>
      </tp>
      <tp t="e">
        <v>#N/A</v>
        <stp/>
        <stp>BDH|16625985655765934583</stp>
        <tr r="AH92" s="2"/>
      </tp>
      <tp t="e">
        <v>#N/A</v>
        <stp/>
        <stp>BDH|17130365037324914931</stp>
        <tr r="AM60" s="2"/>
      </tp>
      <tp t="e">
        <v>#N/A</v>
        <stp/>
        <stp>BDH|18053499807577210110</stp>
        <tr r="M85" s="2"/>
      </tp>
      <tp t="e">
        <v>#N/A</v>
        <stp/>
        <stp>BDH|10675971854752913410</stp>
        <tr r="G34" s="2"/>
      </tp>
      <tp t="e">
        <v>#N/A</v>
        <stp/>
        <stp>BDH|17677083175628166270</stp>
        <tr r="L76" s="2"/>
      </tp>
      <tp t="e">
        <v>#N/A</v>
        <stp/>
        <stp>BDH|17291995034304071333</stp>
        <tr r="U73" s="2"/>
      </tp>
      <tp t="e">
        <v>#N/A</v>
        <stp/>
        <stp>BDH|14633838569322113216</stp>
        <tr r="AK63" s="2"/>
      </tp>
      <tp t="e">
        <v>#N/A</v>
        <stp/>
        <stp>BDH|13009665367091949847</stp>
        <tr r="AD54" s="2"/>
      </tp>
      <tp t="e">
        <v>#N/A</v>
        <stp/>
        <stp>BDH|13251999462785356354</stp>
        <tr r="T65" s="2"/>
      </tp>
      <tp t="e">
        <v>#N/A</v>
        <stp/>
        <stp>BDH|16021679466374795898</stp>
        <tr r="AI88" s="2"/>
      </tp>
      <tp t="e">
        <v>#N/A</v>
        <stp/>
        <stp>BDH|16857569599096928613</stp>
        <tr r="D58" s="2"/>
      </tp>
      <tp t="e">
        <v>#N/A</v>
        <stp/>
        <stp>BDH|16271673197430988353</stp>
        <tr r="F53" s="2"/>
      </tp>
      <tp t="e">
        <v>#N/A</v>
        <stp/>
        <stp>BDH|16168689647459552756</stp>
        <tr r="P24" s="2"/>
      </tp>
      <tp t="e">
        <v>#N/A</v>
        <stp/>
        <stp>BDH|15990060936328244451</stp>
        <tr r="AC24" s="2"/>
      </tp>
      <tp t="e">
        <v>#N/A</v>
        <stp/>
        <stp>BDH|12540581144989723003</stp>
        <tr r="AI41" s="2"/>
      </tp>
      <tp t="e">
        <v>#N/A</v>
        <stp/>
        <stp>BDH|13493852047561120490</stp>
        <tr r="AD84" s="2"/>
      </tp>
      <tp t="e">
        <v>#N/A</v>
        <stp/>
        <stp>BDH|15379811278445454507</stp>
        <tr r="AH52" s="2"/>
      </tp>
      <tp t="e">
        <v>#N/A</v>
        <stp/>
        <stp>BDH|14720750070317299812</stp>
        <tr r="L42" s="2"/>
      </tp>
      <tp t="e">
        <v>#N/A</v>
        <stp/>
        <stp>BDH|15854491496541657209</stp>
        <tr r="AP28" s="2"/>
      </tp>
      <tp t="e">
        <v>#N/A</v>
        <stp/>
        <stp>BDH|11510568120724149936</stp>
        <tr r="S73" s="2"/>
      </tp>
      <tp t="e">
        <v>#N/A</v>
        <stp/>
        <stp>BDH|14382629814139055144</stp>
        <tr r="U46" s="2"/>
      </tp>
      <tp t="e">
        <v>#N/A</v>
        <stp/>
        <stp>BDH|12786804546442386737</stp>
        <tr r="AC92" s="2"/>
      </tp>
      <tp t="e">
        <v>#N/A</v>
        <stp/>
        <stp>BDH|12456946775134325374</stp>
        <tr r="P29" s="2"/>
      </tp>
      <tp t="e">
        <v>#N/A</v>
        <stp/>
        <stp>BDH|12264637485874001343</stp>
        <tr r="AI56" s="2"/>
      </tp>
      <tp t="e">
        <v>#N/A</v>
        <stp/>
        <stp>BDH|11862364958565571938</stp>
        <tr r="AB47" s="2"/>
      </tp>
      <tp t="e">
        <v>#N/A</v>
        <stp/>
        <stp>BDH|17066359496131659753</stp>
        <tr r="Y84" s="2"/>
      </tp>
      <tp t="e">
        <v>#N/A</v>
        <stp/>
        <stp>BDH|10904672538049023768</stp>
        <tr r="J49" s="2"/>
      </tp>
      <tp t="e">
        <v>#N/A</v>
        <stp/>
        <stp>BDH|13267636491463726479</stp>
        <tr r="Z34" s="2"/>
      </tp>
      <tp t="e">
        <v>#N/A</v>
        <stp/>
        <stp>BDH|15484812505151723740</stp>
        <tr r="AA66" s="2"/>
      </tp>
      <tp t="e">
        <v>#N/A</v>
        <stp/>
        <stp>BDH|18026124623846152632</stp>
        <tr r="R92" s="2"/>
      </tp>
      <tp t="e">
        <v>#N/A</v>
        <stp/>
        <stp>BDH|11351901946413380454</stp>
        <tr r="U66" s="2"/>
      </tp>
      <tp t="e">
        <v>#N/A</v>
        <stp/>
        <stp>BDH|10644926901436456422</stp>
        <tr r="AF29" s="2"/>
      </tp>
      <tp t="e">
        <v>#N/A</v>
        <stp/>
        <stp>BDH|18041514356976410508</stp>
        <tr r="M88" s="2"/>
      </tp>
      <tp t="e">
        <v>#N/A</v>
        <stp/>
        <stp>BDH|10125215303380914991</stp>
        <tr r="AI60" s="2"/>
      </tp>
      <tp t="e">
        <v>#N/A</v>
        <stp/>
        <stp>BDH|14133826135326191254</stp>
        <tr r="F84" s="2"/>
      </tp>
      <tp t="e">
        <v>#N/A</v>
        <stp/>
        <stp>BDH|18344949640046776823</stp>
        <tr r="AG12" s="2"/>
      </tp>
      <tp t="e">
        <v>#N/A</v>
        <stp/>
        <stp>BDH|18056552967423555358</stp>
        <tr r="Q9" s="2"/>
      </tp>
      <tp t="e">
        <v>#N/A</v>
        <stp/>
        <stp>BDH|10655474959243895926</stp>
        <tr r="AN89" s="2"/>
      </tp>
      <tp t="e">
        <v>#N/A</v>
        <stp/>
        <stp>BDH|14292953545946878485</stp>
        <tr r="N81" s="2"/>
      </tp>
      <tp t="e">
        <v>#N/A</v>
        <stp/>
        <stp>BDH|13210408690043582656</stp>
        <tr r="V49" s="2"/>
      </tp>
      <tp t="e">
        <v>#N/A</v>
        <stp/>
        <stp>BDH|14135172004596635861</stp>
        <tr r="AF77" s="2"/>
      </tp>
      <tp t="e">
        <v>#N/A</v>
        <stp/>
        <stp>BDH|16708234196526100017</stp>
        <tr r="L21" s="2"/>
      </tp>
      <tp t="e">
        <v>#N/A</v>
        <stp/>
        <stp>BDH|16118305484042279456</stp>
        <tr r="AC60" s="2"/>
      </tp>
      <tp t="e">
        <v>#N/A</v>
        <stp/>
        <stp>BDH|15826048624779527584</stp>
        <tr r="AN18" s="2"/>
      </tp>
      <tp t="e">
        <v>#N/A</v>
        <stp/>
        <stp>BDH|13865103639032193856</stp>
        <tr r="R52" s="2"/>
      </tp>
      <tp t="e">
        <v>#N/A</v>
        <stp/>
        <stp>BDH|11217833323936123661</stp>
        <tr r="AL59" s="2"/>
      </tp>
      <tp t="e">
        <v>#N/A</v>
        <stp/>
        <stp>BDH|12270486285367869228</stp>
        <tr r="AK21" s="2"/>
      </tp>
      <tp t="e">
        <v>#N/A</v>
        <stp/>
        <stp>BDH|13278871797119234055</stp>
        <tr r="X89" s="2"/>
      </tp>
      <tp t="e">
        <v>#N/A</v>
        <stp/>
        <stp>BDH|15861142096563678596</stp>
        <tr r="S14" s="2"/>
      </tp>
      <tp t="e">
        <v>#N/A</v>
        <stp/>
        <stp>BDH|13719017453419971492</stp>
        <tr r="H53" s="2"/>
      </tp>
      <tp t="e">
        <v>#N/A</v>
        <stp/>
        <stp>BDH|17048965251965776558</stp>
        <tr r="T91" s="2"/>
      </tp>
      <tp t="e">
        <v>#N/A</v>
        <stp/>
        <stp>BDH|14971085070131675923</stp>
        <tr r="F70" s="2"/>
      </tp>
      <tp t="e">
        <v>#N/A</v>
        <stp/>
        <stp>BDH|16454429881934156535</stp>
        <tr r="F25" s="2"/>
      </tp>
      <tp t="e">
        <v>#N/A</v>
        <stp/>
        <stp>BDH|15380549717929396364</stp>
        <tr r="T55" s="2"/>
      </tp>
      <tp t="e">
        <v>#N/A</v>
        <stp/>
        <stp>BDH|16911333730094845972</stp>
        <tr r="O53" s="2"/>
      </tp>
      <tp t="e">
        <v>#N/A</v>
        <stp/>
        <stp>BDH|15680448921648586024</stp>
        <tr r="AA16" s="2"/>
      </tp>
      <tp t="e">
        <v>#N/A</v>
        <stp/>
        <stp>BDH|10239929403136455437</stp>
        <tr r="Y59" s="2"/>
      </tp>
      <tp t="e">
        <v>#N/A</v>
        <stp/>
        <stp>BDH|12655145597803895292</stp>
        <tr r="U48" s="2"/>
      </tp>
      <tp t="e">
        <v>#N/A</v>
        <stp/>
        <stp>BDH|11365357190253523373</stp>
        <tr r="AI75" s="2"/>
      </tp>
      <tp t="e">
        <v>#N/A</v>
        <stp/>
        <stp>BDH|14872481088242406184</stp>
        <tr r="AM27" s="2"/>
      </tp>
      <tp t="e">
        <v>#N/A</v>
        <stp/>
        <stp>BDH|11242567670628458046</stp>
        <tr r="AN10" s="2"/>
      </tp>
      <tp t="e">
        <v>#N/A</v>
        <stp/>
        <stp>BDH|14948803108251535602</stp>
        <tr r="C26" s="2"/>
      </tp>
      <tp t="e">
        <v>#N/A</v>
        <stp/>
        <stp>BDH|16198975056280611116</stp>
        <tr r="AE72" s="2"/>
      </tp>
      <tp t="e">
        <v>#N/A</v>
        <stp/>
        <stp>BDH|17729059484610059410</stp>
        <tr r="AP91" s="2"/>
      </tp>
      <tp t="e">
        <v>#N/A</v>
        <stp/>
        <stp>BDH|14816265591055131199</stp>
        <tr r="AP37" s="2"/>
      </tp>
      <tp t="e">
        <v>#N/A</v>
        <stp/>
        <stp>BDH|13407269370029798422</stp>
        <tr r="E60" s="2"/>
      </tp>
      <tp t="e">
        <v>#N/A</v>
        <stp/>
        <stp>BDH|18396273803999341835</stp>
        <tr r="AE66" s="2"/>
      </tp>
      <tp t="e">
        <v>#N/A</v>
        <stp/>
        <stp>BDH|10777887866340906572</stp>
        <tr r="AI69" s="2"/>
      </tp>
      <tp t="e">
        <v>#N/A</v>
        <stp/>
        <stp>BDH|17497443891985278444</stp>
        <tr r="U56" s="2"/>
      </tp>
      <tp t="e">
        <v>#N/A</v>
        <stp/>
        <stp>BDH|17229118477462194822</stp>
        <tr r="J66" s="2"/>
      </tp>
      <tp t="e">
        <v>#N/A</v>
        <stp/>
        <stp>BDH|12218917342684030066</stp>
        <tr r="W91" s="2"/>
      </tp>
      <tp t="e">
        <v>#N/A</v>
        <stp/>
        <stp>BDH|11930296121839698300</stp>
        <tr r="AM57" s="2"/>
      </tp>
      <tp t="e">
        <v>#N/A</v>
        <stp/>
        <stp>BDH|18381330923650053250</stp>
        <tr r="AG10" s="2"/>
      </tp>
      <tp t="e">
        <v>#N/A</v>
        <stp/>
        <stp>BDH|11737414180694399234</stp>
        <tr r="K51" s="2"/>
      </tp>
      <tp t="e">
        <v>#N/A</v>
        <stp/>
        <stp>BDH|17272948565722290173</stp>
        <tr r="AI37" s="2"/>
      </tp>
      <tp t="e">
        <v>#N/A</v>
        <stp/>
        <stp>BDH|14286119067121664947</stp>
        <tr r="AJ87" s="2"/>
      </tp>
      <tp t="e">
        <v>#N/A</v>
        <stp/>
        <stp>BDH|14094918433463008645</stp>
        <tr r="AE92" s="2"/>
      </tp>
      <tp t="e">
        <v>#N/A</v>
        <stp/>
        <stp>BDH|11087946275631472538</stp>
        <tr r="AN82" s="2"/>
      </tp>
      <tp t="e">
        <v>#N/A</v>
        <stp/>
        <stp>BDH|13263874652005975080</stp>
        <tr r="Z91" s="2"/>
      </tp>
      <tp t="e">
        <v>#N/A</v>
        <stp/>
        <stp>BDH|12687597528589609783</stp>
        <tr r="AJ50" s="2"/>
      </tp>
      <tp t="e">
        <v>#N/A</v>
        <stp/>
        <stp>BDH|12586288832131285947</stp>
        <tr r="AE77" s="2"/>
      </tp>
      <tp t="e">
        <v>#N/A</v>
        <stp/>
        <stp>BDH|14149564544129937731</stp>
        <tr r="M74" s="2"/>
      </tp>
      <tp t="e">
        <v>#N/A</v>
        <stp/>
        <stp>BDH|18284385282139384125</stp>
        <tr r="AM85" s="2"/>
      </tp>
      <tp t="e">
        <v>#N/A</v>
        <stp/>
        <stp>BDH|16346132949459055125</stp>
        <tr r="X30" s="2"/>
      </tp>
      <tp t="e">
        <v>#N/A</v>
        <stp/>
        <stp>BDH|16329239798520498661</stp>
        <tr r="I87" s="2"/>
      </tp>
      <tp t="e">
        <v>#N/A</v>
        <stp/>
        <stp>BDH|14102069232024190899</stp>
        <tr r="P77" s="2"/>
      </tp>
      <tp t="e">
        <v>#N/A</v>
        <stp/>
        <stp>BDH|15928976035745389153</stp>
        <tr r="AF37" s="2"/>
      </tp>
      <tp t="e">
        <v>#N/A</v>
        <stp/>
        <stp>BDH|11334206706930182897</stp>
        <tr r="H21" s="2"/>
      </tp>
      <tp t="e">
        <v>#N/A</v>
        <stp/>
        <stp>BDH|17066920058977771708</stp>
        <tr r="T90" s="2"/>
      </tp>
      <tp t="e">
        <v>#N/A</v>
        <stp/>
        <stp>BDH|16856043585225061045</stp>
        <tr r="N65" s="2"/>
      </tp>
      <tp t="e">
        <v>#N/A</v>
        <stp/>
        <stp>BDH|15115442909018120207</stp>
        <tr r="AD81" s="2"/>
      </tp>
      <tp t="e">
        <v>#N/A</v>
        <stp/>
        <stp>BDH|14977819002510598724</stp>
        <tr r="F8" s="2"/>
      </tp>
      <tp t="e">
        <v>#N/A</v>
        <stp/>
        <stp>BDH|15818372693805042105</stp>
        <tr r="Y31" s="2"/>
      </tp>
      <tp t="e">
        <v>#N/A</v>
        <stp/>
        <stp>BDH|17187697877248406574</stp>
        <tr r="H44" s="2"/>
      </tp>
      <tp t="e">
        <v>#N/A</v>
        <stp/>
        <stp>BDH|14702745779699751618</stp>
        <tr r="AA61" s="2"/>
      </tp>
      <tp t="e">
        <v>#N/A</v>
        <stp/>
        <stp>BDH|10567374350599986473</stp>
        <tr r="U42" s="2"/>
      </tp>
      <tp t="e">
        <v>#N/A</v>
        <stp/>
        <stp>BDH|16086530740115945955</stp>
        <tr r="Q51" s="2"/>
      </tp>
      <tp t="e">
        <v>#N/A</v>
        <stp/>
        <stp>BDH|18341613276482395085</stp>
        <tr r="O37" s="2"/>
      </tp>
      <tp t="e">
        <v>#N/A</v>
        <stp/>
        <stp>BDH|10921970792849020226</stp>
        <tr r="AP69" s="2"/>
      </tp>
      <tp t="e">
        <v>#N/A</v>
        <stp/>
        <stp>BDH|15051460538358011104</stp>
        <tr r="AF84" s="2"/>
      </tp>
      <tp t="e">
        <v>#N/A</v>
        <stp/>
        <stp>BDH|10625931221347250780</stp>
        <tr r="AA13" s="2"/>
      </tp>
      <tp t="e">
        <v>#N/A</v>
        <stp/>
        <stp>BDH|12590704546968555178</stp>
        <tr r="AM21" s="2"/>
      </tp>
      <tp t="e">
        <v>#N/A</v>
        <stp/>
        <stp>BDH|11283728003328184639</stp>
        <tr r="AO19" s="2"/>
      </tp>
      <tp t="e">
        <v>#N/A</v>
        <stp/>
        <stp>BDH|13204786048969677159</stp>
        <tr r="K72" s="2"/>
      </tp>
      <tp t="e">
        <v>#N/A</v>
        <stp/>
        <stp>BDH|17709470390927191505</stp>
        <tr r="U49" s="2"/>
      </tp>
      <tp t="e">
        <v>#N/A</v>
        <stp/>
        <stp>BDH|11375356740526156879</stp>
        <tr r="AG36" s="2"/>
      </tp>
      <tp t="e">
        <v>#N/A</v>
        <stp/>
        <stp>BDH|18309714167870407113</stp>
        <tr r="AF56" s="2"/>
      </tp>
      <tp t="e">
        <v>#N/A</v>
        <stp/>
        <stp>BDH|12352562215546294824</stp>
        <tr r="N69" s="2"/>
      </tp>
      <tp t="e">
        <v>#N/A</v>
        <stp/>
        <stp>BDH|11378468611814139857</stp>
        <tr r="E23" s="2"/>
      </tp>
      <tp t="e">
        <v>#N/A</v>
        <stp/>
        <stp>BDH|15540875570077536574</stp>
        <tr r="F87" s="2"/>
      </tp>
      <tp t="e">
        <v>#N/A</v>
        <stp/>
        <stp>BDH|14945674177114932904</stp>
        <tr r="K47" s="2"/>
      </tp>
      <tp t="e">
        <v>#N/A</v>
        <stp/>
        <stp>BDH|10157833023790342220</stp>
        <tr r="AP53" s="2"/>
      </tp>
      <tp t="e">
        <v>#N/A</v>
        <stp/>
        <stp>BDH|14790367560128733152</stp>
        <tr r="AM14" s="2"/>
      </tp>
      <tp t="e">
        <v>#N/A</v>
        <stp/>
        <stp>BDH|12860106648097474876</stp>
        <tr r="AF57" s="2"/>
      </tp>
      <tp t="e">
        <v>#N/A</v>
        <stp/>
        <stp>BDH|11896488264109760201</stp>
        <tr r="AP26" s="2"/>
      </tp>
      <tp t="e">
        <v>#N/A</v>
        <stp/>
        <stp>BDH|11356363566998130400</stp>
        <tr r="D77" s="2"/>
      </tp>
      <tp t="e">
        <v>#N/A</v>
        <stp/>
        <stp>BDH|12040594335259980579</stp>
        <tr r="U51" s="2"/>
      </tp>
      <tp t="e">
        <v>#N/A</v>
        <stp/>
        <stp>BDH|15450720973059103463</stp>
        <tr r="AK59" s="2"/>
      </tp>
      <tp t="e">
        <v>#N/A</v>
        <stp/>
        <stp>BDH|15546553093827834698</stp>
        <tr r="L17" s="2"/>
      </tp>
      <tp t="e">
        <v>#N/A</v>
        <stp/>
        <stp>BDH|10519269304723317916</stp>
        <tr r="I63" s="2"/>
      </tp>
      <tp t="e">
        <v>#N/A</v>
        <stp/>
        <stp>BDH|12529870158293795486</stp>
        <tr r="M60" s="2"/>
      </tp>
      <tp t="e">
        <v>#N/A</v>
        <stp/>
        <stp>BDH|16052045707269517730</stp>
        <tr r="U9" s="2"/>
      </tp>
      <tp t="e">
        <v>#N/A</v>
        <stp/>
        <stp>BDH|14015230590014563334</stp>
        <tr r="AL30" s="2"/>
      </tp>
      <tp t="e">
        <v>#N/A</v>
        <stp/>
        <stp>BDH|13271982337044137592</stp>
        <tr r="O11" s="2"/>
      </tp>
      <tp t="e">
        <v>#N/A</v>
        <stp/>
        <stp>BDH|17797440451149668704</stp>
        <tr r="AC40" s="2"/>
      </tp>
      <tp t="e">
        <v>#N/A</v>
        <stp/>
        <stp>BDH|11321782106389195785</stp>
        <tr r="I67" s="2"/>
      </tp>
      <tp t="e">
        <v>#N/A</v>
        <stp/>
        <stp>BDH|15743285668360378906</stp>
        <tr r="AB64" s="2"/>
      </tp>
      <tp t="e">
        <v>#N/A</v>
        <stp/>
        <stp>BDH|11514407488181812414</stp>
        <tr r="AM81" s="2"/>
      </tp>
      <tp t="e">
        <v>#N/A</v>
        <stp/>
        <stp>BDH|15365568665646745839</stp>
        <tr r="R31" s="2"/>
      </tp>
      <tp t="e">
        <v>#N/A</v>
        <stp/>
        <stp>BDH|12783277391938344966</stp>
        <tr r="AJ91" s="2"/>
      </tp>
      <tp t="e">
        <v>#N/A</v>
        <stp/>
        <stp>BDH|12240192332838883052</stp>
        <tr r="Z57" s="2"/>
      </tp>
      <tp t="e">
        <v>#N/A</v>
        <stp/>
        <stp>BDH|13702907901211704368</stp>
        <tr r="AH64" s="2"/>
      </tp>
      <tp t="e">
        <v>#N/A</v>
        <stp/>
        <stp>BDH|11987719860688778080</stp>
        <tr r="G81" s="2"/>
      </tp>
      <tp t="e">
        <v>#N/A</v>
        <stp/>
        <stp>BDH|14326969915377177370</stp>
        <tr r="Q87" s="2"/>
      </tp>
      <tp t="e">
        <v>#N/A</v>
        <stp/>
        <stp>BDH|16245513583894006760</stp>
        <tr r="L66" s="2"/>
      </tp>
      <tp t="e">
        <v>#N/A</v>
        <stp/>
        <stp>BDH|18292554330693042512</stp>
        <tr r="AC10" s="2"/>
      </tp>
      <tp t="e">
        <v>#N/A</v>
        <stp/>
        <stp>BDH|12665255391823717237</stp>
        <tr r="X18" s="2"/>
      </tp>
      <tp t="e">
        <v>#N/A</v>
        <stp/>
        <stp>BDH|12570612583385935183</stp>
        <tr r="I64" s="2"/>
      </tp>
      <tp t="e">
        <v>#N/A</v>
        <stp/>
        <stp>BDH|12560076999941548289</stp>
        <tr r="AA90" s="2"/>
      </tp>
      <tp t="e">
        <v>#N/A</v>
        <stp/>
        <stp>BDH|12093894003337095539</stp>
        <tr r="U82" s="2"/>
      </tp>
      <tp t="e">
        <v>#N/A</v>
        <stp/>
        <stp>BDH|14135417729118029205</stp>
        <tr r="AK91" s="2"/>
      </tp>
      <tp t="e">
        <v>#N/A</v>
        <stp/>
        <stp>BDH|10438590117434028834</stp>
        <tr r="AC48" s="2"/>
      </tp>
      <tp t="e">
        <v>#N/A</v>
        <stp/>
        <stp>BDH|15682780509929651384</stp>
        <tr r="X58" s="2"/>
      </tp>
      <tp t="e">
        <v>#N/A</v>
        <stp/>
        <stp>BDH|17986768655745275815</stp>
        <tr r="I11" s="2"/>
      </tp>
      <tp t="e">
        <v>#N/A</v>
        <stp/>
        <stp>BDH|16080086230228560550</stp>
        <tr r="X13" s="2"/>
      </tp>
      <tp t="e">
        <v>#N/A</v>
        <stp/>
        <stp>BDH|15435622818389053369</stp>
        <tr r="T43" s="2"/>
      </tp>
      <tp t="e">
        <v>#N/A</v>
        <stp/>
        <stp>BDH|17899133860889476176</stp>
        <tr r="H7" s="2"/>
      </tp>
      <tp t="e">
        <v>#N/A</v>
        <stp/>
        <stp>BDH|17912464009288993346</stp>
        <tr r="AH37" s="2"/>
      </tp>
      <tp t="e">
        <v>#N/A</v>
        <stp/>
        <stp>BDH|13763282291286423615</stp>
        <tr r="K9" s="2"/>
      </tp>
      <tp t="e">
        <v>#N/A</v>
        <stp/>
        <stp>BDH|16172840628721152574</stp>
        <tr r="AB40" s="2"/>
      </tp>
      <tp t="e">
        <v>#N/A</v>
        <stp/>
        <stp>BDH|15718253880632852511</stp>
        <tr r="AK67" s="2"/>
      </tp>
      <tp t="e">
        <v>#N/A</v>
        <stp/>
        <stp>BDH|16892886276369591883</stp>
        <tr r="T83" s="2"/>
      </tp>
      <tp t="e">
        <v>#N/A</v>
        <stp/>
        <stp>BDH|12170182023470518959</stp>
        <tr r="AB10" s="2"/>
      </tp>
      <tp t="e">
        <v>#N/A</v>
        <stp/>
        <stp>BDH|13440480996792623468</stp>
        <tr r="AF64" s="2"/>
      </tp>
      <tp t="e">
        <v>#N/A</v>
        <stp/>
        <stp>BDH|16859972065993468246</stp>
        <tr r="T87" s="2"/>
      </tp>
      <tp t="e">
        <v>#N/A</v>
        <stp/>
        <stp>BDH|17444541049117096933</stp>
        <tr r="F68" s="2"/>
      </tp>
      <tp t="e">
        <v>#N/A</v>
        <stp/>
        <stp>BDH|12750961678177373301</stp>
        <tr r="AN13" s="2"/>
      </tp>
      <tp t="e">
        <v>#N/A</v>
        <stp/>
        <stp>BDH|10976421165142520814</stp>
        <tr r="O57" s="2"/>
      </tp>
      <tp t="e">
        <v>#N/A</v>
        <stp/>
        <stp>BDH|17373844564390128182</stp>
        <tr r="R13" s="2"/>
      </tp>
      <tp t="e">
        <v>#N/A</v>
        <stp/>
        <stp>BDH|12161243670458709784</stp>
        <tr r="AH19" s="2"/>
      </tp>
      <tp t="e">
        <v>#N/A</v>
        <stp/>
        <stp>BDH|15880008476879118322</stp>
        <tr r="AE48" s="2"/>
      </tp>
      <tp t="e">
        <v>#N/A</v>
        <stp/>
        <stp>BDH|10625091961208700649</stp>
        <tr r="W18" s="2"/>
      </tp>
      <tp t="e">
        <v>#N/A</v>
        <stp/>
        <stp>BDH|18122540368411171219</stp>
        <tr r="N39" s="2"/>
      </tp>
      <tp t="e">
        <v>#N/A</v>
        <stp/>
        <stp>BDH|15187397758419859253</stp>
        <tr r="S91" s="2"/>
      </tp>
      <tp t="e">
        <v>#N/A</v>
        <stp/>
        <stp>BDH|17481949633200802579</stp>
        <tr r="AJ16" s="2"/>
      </tp>
      <tp t="e">
        <v>#N/A</v>
        <stp/>
        <stp>BDH|17602119409397348914</stp>
        <tr r="J84" s="2"/>
      </tp>
      <tp t="e">
        <v>#N/A</v>
        <stp/>
        <stp>BDH|16121744988837056626</stp>
        <tr r="D39" s="2"/>
      </tp>
      <tp t="e">
        <v>#N/A</v>
        <stp/>
        <stp>BDH|17799993750434443757</stp>
        <tr r="AI21" s="2"/>
      </tp>
      <tp t="e">
        <v>#N/A</v>
        <stp/>
        <stp>BDH|11473983157090304576</stp>
        <tr r="T82" s="2"/>
      </tp>
      <tp t="e">
        <v>#N/A</v>
        <stp/>
        <stp>BDH|11338099969788867750</stp>
        <tr r="S65" s="2"/>
      </tp>
      <tp t="e">
        <v>#N/A</v>
        <stp/>
        <stp>BDH|16386167699600321612</stp>
        <tr r="C40" s="2"/>
      </tp>
      <tp t="e">
        <v>#N/A</v>
        <stp/>
        <stp>BDH|16872143269858371071</stp>
        <tr r="Q81" s="2"/>
      </tp>
      <tp t="e">
        <v>#N/A</v>
        <stp/>
        <stp>BDH|11857008872056941926</stp>
        <tr r="J36" s="2"/>
      </tp>
      <tp t="e">
        <v>#N/A</v>
        <stp/>
        <stp>BDH|13796166457236067874</stp>
        <tr r="W49" s="2"/>
      </tp>
      <tp t="e">
        <v>#N/A</v>
        <stp/>
        <stp>BDH|14318469130042100856</stp>
        <tr r="T29" s="2"/>
      </tp>
      <tp t="e">
        <v>#N/A</v>
        <stp/>
        <stp>BDH|12026529801666227802</stp>
        <tr r="AD18" s="2"/>
      </tp>
      <tp t="e">
        <v>#N/A</v>
        <stp/>
        <stp>BDH|14115274290225480333</stp>
        <tr r="I38" s="2"/>
      </tp>
      <tp t="e">
        <v>#N/A</v>
        <stp/>
        <stp>BDH|11832813869056618070</stp>
        <tr r="AJ34" s="2"/>
      </tp>
      <tp t="e">
        <v>#N/A</v>
        <stp/>
        <stp>BDH|17884013110868959716</stp>
        <tr r="U10" s="2"/>
      </tp>
      <tp t="e">
        <v>#N/A</v>
        <stp/>
        <stp>BDH|12675863745830327778</stp>
        <tr r="V41" s="2"/>
      </tp>
      <tp t="e">
        <v>#N/A</v>
        <stp/>
        <stp>BDH|11600974460467577048</stp>
        <tr r="S24" s="2"/>
      </tp>
      <tp t="e">
        <v>#N/A</v>
        <stp/>
        <stp>BDH|10377121782204525468</stp>
        <tr r="J42" s="2"/>
      </tp>
      <tp t="e">
        <v>#N/A</v>
        <stp/>
        <stp>BDH|17466373850131482970</stp>
        <tr r="Z28" s="2"/>
      </tp>
      <tp t="e">
        <v>#N/A</v>
        <stp/>
        <stp>BDH|15657497195421839024</stp>
        <tr r="AO90" s="2"/>
      </tp>
      <tp t="e">
        <v>#N/A</v>
        <stp/>
        <stp>BDH|11242902711751083139</stp>
        <tr r="Z8" s="2"/>
      </tp>
      <tp t="e">
        <v>#N/A</v>
        <stp/>
        <stp>BDH|16443936145196059426</stp>
        <tr r="I31" s="2"/>
      </tp>
      <tp t="e">
        <v>#N/A</v>
        <stp/>
        <stp>BDH|17170439178828881529</stp>
        <tr r="AF11" s="2"/>
      </tp>
      <tp t="e">
        <v>#N/A</v>
        <stp/>
        <stp>BDH|13005769556631216914</stp>
        <tr r="AN68" s="2"/>
      </tp>
      <tp t="e">
        <v>#N/A</v>
        <stp/>
        <stp>BDH|15504001937817928884</stp>
        <tr r="R56" s="2"/>
      </tp>
      <tp t="e">
        <v>#N/A</v>
        <stp/>
        <stp>BDH|17347279877192825980</stp>
        <tr r="AE34" s="2"/>
      </tp>
      <tp t="e">
        <v>#N/A</v>
        <stp/>
        <stp>BDH|16430625249869481498</stp>
        <tr r="AF62" s="2"/>
      </tp>
      <tp t="e">
        <v>#N/A</v>
        <stp/>
        <stp>BDH|16729608286827576668</stp>
        <tr r="Q37" s="2"/>
      </tp>
      <tp t="e">
        <v>#N/A</v>
        <stp/>
        <stp>BDH|12954948063085562199</stp>
        <tr r="AP34" s="2"/>
      </tp>
      <tp t="e">
        <v>#N/A</v>
        <stp/>
        <stp>BDH|10990308467399517595</stp>
        <tr r="AH84" s="2"/>
      </tp>
      <tp t="e">
        <v>#N/A</v>
        <stp/>
        <stp>BDH|16336402011943555925</stp>
        <tr r="AE37" s="2"/>
      </tp>
      <tp t="e">
        <v>#N/A</v>
        <stp/>
        <stp>BDH|17544450699066993551</stp>
        <tr r="O18" s="2"/>
      </tp>
      <tp t="e">
        <v>#N/A</v>
        <stp/>
        <stp>BDH|12750001298785846724</stp>
        <tr r="S49" s="2"/>
      </tp>
      <tp t="e">
        <v>#N/A</v>
        <stp/>
        <stp>BDH|16277606184385363406</stp>
        <tr r="V62" s="2"/>
      </tp>
      <tp t="e">
        <v>#N/A</v>
        <stp/>
        <stp>BDH|12091049703298612344</stp>
        <tr r="F55" s="2"/>
      </tp>
      <tp t="e">
        <v>#N/A</v>
        <stp/>
        <stp>BDH|11917836523640940252</stp>
        <tr r="T50" s="2"/>
      </tp>
      <tp t="e">
        <v>#N/A</v>
        <stp/>
        <stp>BDH|16104540234270445900</stp>
        <tr r="E92" s="2"/>
      </tp>
      <tp t="e">
        <v>#N/A</v>
        <stp/>
        <stp>BDH|10975572826789867750</stp>
        <tr r="X82" s="2"/>
      </tp>
      <tp t="e">
        <v>#N/A</v>
        <stp/>
        <stp>BDH|11384615130009765410</stp>
        <tr r="AP49" s="2"/>
      </tp>
      <tp t="e">
        <v>#N/A</v>
        <stp/>
        <stp>BDH|16107486282920661394</stp>
        <tr r="I53" s="2"/>
      </tp>
      <tp t="e">
        <v>#N/A</v>
        <stp/>
        <stp>BDH|17435849713944628314</stp>
        <tr r="R62" s="2"/>
      </tp>
      <tp t="e">
        <v>#N/A</v>
        <stp/>
        <stp>BDH|11852290005203420974</stp>
        <tr r="H83" s="2"/>
      </tp>
      <tp t="e">
        <v>#N/A</v>
        <stp/>
        <stp>BDH|12820075159468643677</stp>
        <tr r="C52" s="2"/>
      </tp>
      <tp t="e">
        <v>#N/A</v>
        <stp/>
        <stp>BDH|14659257985495324221</stp>
        <tr r="AH36" s="2"/>
      </tp>
      <tp t="e">
        <v>#N/A</v>
        <stp/>
        <stp>BDH|12970187507223734978</stp>
        <tr r="W35" s="2"/>
      </tp>
      <tp t="e">
        <v>#N/A</v>
        <stp/>
        <stp>BDH|18110866748988170587</stp>
        <tr r="L16" s="2"/>
      </tp>
      <tp t="e">
        <v>#N/A</v>
        <stp/>
        <stp>BDH|17466929055703033155</stp>
        <tr r="K18" s="2"/>
      </tp>
      <tp t="e">
        <v>#N/A</v>
        <stp/>
        <stp>BDH|12036879522564595568</stp>
        <tr r="AO52" s="2"/>
      </tp>
      <tp t="e">
        <v>#N/A</v>
        <stp/>
        <stp>BDH|13983452388077363119</stp>
        <tr r="G52" s="2"/>
      </tp>
      <tp t="e">
        <v>#N/A</v>
        <stp/>
        <stp>BDH|12104519199275807280</stp>
        <tr r="J22" s="2"/>
      </tp>
      <tp t="e">
        <v>#N/A</v>
        <stp/>
        <stp>BDH|14655280447522189911</stp>
        <tr r="AI26" s="2"/>
      </tp>
      <tp t="e">
        <v>#N/A</v>
        <stp/>
        <stp>BDH|16362004948362117939</stp>
        <tr r="AL73" s="2"/>
      </tp>
      <tp t="e">
        <v>#N/A</v>
        <stp/>
        <stp>BDH|16488312547959832133</stp>
        <tr r="V14" s="2"/>
      </tp>
      <tp t="e">
        <v>#N/A</v>
        <stp/>
        <stp>BDH|10063921461096852023</stp>
        <tr r="AC13" s="2"/>
      </tp>
      <tp t="e">
        <v>#N/A</v>
        <stp/>
        <stp>BDH|17737119047483976818</stp>
        <tr r="P82" s="2"/>
      </tp>
      <tp t="e">
        <v>#N/A</v>
        <stp/>
        <stp>BDH|17821233650069278007</stp>
        <tr r="AH91" s="2"/>
      </tp>
      <tp t="e">
        <v>#N/A</v>
        <stp/>
        <stp>BDH|11059359639018082054</stp>
        <tr r="U23" s="2"/>
      </tp>
      <tp t="e">
        <v>#N/A</v>
        <stp/>
        <stp>BDH|14511401848878299561</stp>
        <tr r="R50" s="2"/>
      </tp>
      <tp t="e">
        <v>#N/A</v>
        <stp/>
        <stp>BDH|12628752196280953540</stp>
        <tr r="AI73" s="2"/>
      </tp>
      <tp t="e">
        <v>#N/A</v>
        <stp/>
        <stp>BDH|15874147032649485728</stp>
        <tr r="AK10" s="2"/>
      </tp>
      <tp t="e">
        <v>#N/A</v>
        <stp/>
        <stp>BDH|10575439155080005885</stp>
        <tr r="AL42" s="2"/>
      </tp>
      <tp t="e">
        <v>#N/A</v>
        <stp/>
        <stp>BDH|17918515051069452762</stp>
        <tr r="AK19" s="2"/>
      </tp>
      <tp t="e">
        <v>#N/A</v>
        <stp/>
        <stp>BDH|11503394181201716215</stp>
        <tr r="AO12" s="2"/>
      </tp>
      <tp t="e">
        <v>#N/A</v>
        <stp/>
        <stp>BDH|13145396792452620275</stp>
        <tr r="K48" s="2"/>
      </tp>
      <tp t="e">
        <v>#N/A</v>
        <stp/>
        <stp>BDH|11779926028057310454</stp>
        <tr r="AE23" s="2"/>
      </tp>
      <tp t="e">
        <v>#N/A</v>
        <stp/>
        <stp>BDH|15483491546045201934</stp>
        <tr r="Y47" s="2"/>
      </tp>
      <tp t="e">
        <v>#N/A</v>
        <stp/>
        <stp>BDH|17310715211041083990</stp>
        <tr r="AO76" s="2"/>
      </tp>
      <tp t="e">
        <v>#N/A</v>
        <stp/>
        <stp>BDH|10954510778532928931</stp>
        <tr r="AE63" s="2"/>
      </tp>
      <tp t="e">
        <v>#N/A</v>
        <stp/>
        <stp>BDH|16897931670358594940</stp>
        <tr r="C46" s="2"/>
      </tp>
      <tp t="e">
        <v>#N/A</v>
        <stp/>
        <stp>BDH|10416783741609766307</stp>
        <tr r="F86" s="2"/>
      </tp>
      <tp t="e">
        <v>#N/A</v>
        <stp/>
        <stp>BDH|10463334159088173724</stp>
        <tr r="AA74" s="2"/>
      </tp>
      <tp t="e">
        <v>#N/A</v>
        <stp/>
        <stp>BDH|13504107428269608065</stp>
        <tr r="E10" s="2"/>
      </tp>
      <tp t="e">
        <v>#N/A</v>
        <stp/>
        <stp>BDH|14417718284242499098</stp>
        <tr r="AE71" s="2"/>
      </tp>
      <tp t="e">
        <v>#N/A</v>
        <stp/>
        <stp>BDH|12344812492122594896</stp>
        <tr r="K67" s="2"/>
      </tp>
      <tp t="e">
        <v>#N/A</v>
        <stp/>
        <stp>BDH|11427492348621004998</stp>
        <tr r="Q73" s="2"/>
      </tp>
      <tp t="e">
        <v>#N/A</v>
        <stp/>
        <stp>BDH|15093552100679164086</stp>
        <tr r="V43" s="2"/>
      </tp>
      <tp t="e">
        <v>#N/A</v>
        <stp/>
        <stp>BDH|12502299685537799627</stp>
        <tr r="L70" s="2"/>
      </tp>
      <tp t="e">
        <v>#N/A</v>
        <stp/>
        <stp>BDH|12744309209319195136</stp>
        <tr r="N71" s="2"/>
      </tp>
      <tp t="e">
        <v>#N/A</v>
        <stp/>
        <stp>BDH|12513880607845762618</stp>
        <tr r="V70" s="2"/>
      </tp>
      <tp t="e">
        <v>#N/A</v>
        <stp/>
        <stp>BDH|12049442398243444545</stp>
        <tr r="C50" s="2"/>
      </tp>
      <tp t="e">
        <v>#N/A</v>
        <stp/>
        <stp>BDH|13086253698555383422</stp>
        <tr r="AJ55" s="2"/>
      </tp>
      <tp t="e">
        <v>#N/A</v>
        <stp/>
        <stp>BDH|17149328882657791298</stp>
        <tr r="AF41" s="2"/>
      </tp>
      <tp t="e">
        <v>#N/A</v>
        <stp/>
        <stp>BDH|14721894360001575248</stp>
        <tr r="AC21" s="2"/>
      </tp>
      <tp t="e">
        <v>#N/A</v>
        <stp/>
        <stp>BDH|13298875707534936642</stp>
        <tr r="M24" s="2"/>
      </tp>
      <tp t="e">
        <v>#N/A</v>
        <stp/>
        <stp>BDH|13884544940212339905</stp>
        <tr r="D91" s="2"/>
      </tp>
      <tp t="e">
        <v>#N/A</v>
        <stp/>
        <stp>BDH|15611387275879555119</stp>
        <tr r="N9" s="2"/>
      </tp>
      <tp t="e">
        <v>#N/A</v>
        <stp/>
        <stp>BDH|17531406596060443386</stp>
        <tr r="H27" s="2"/>
      </tp>
      <tp t="e">
        <v>#N/A</v>
        <stp/>
        <stp>BDH|17889407427100799872</stp>
        <tr r="C88" s="2"/>
      </tp>
      <tp t="e">
        <v>#N/A</v>
        <stp/>
        <stp>BDH|11263003943809650595</stp>
        <tr r="J72" s="2"/>
      </tp>
      <tp t="e">
        <v>#N/A</v>
        <stp/>
        <stp>BDH|15002708338308492024</stp>
        <tr r="J29" s="2"/>
      </tp>
      <tp t="e">
        <v>#N/A</v>
        <stp/>
        <stp>BDH|13050899307821633362</stp>
        <tr r="I65" s="2"/>
      </tp>
      <tp t="e">
        <v>#N/A</v>
        <stp/>
        <stp>BDH|11188931072194123500</stp>
        <tr r="AI40" s="2"/>
      </tp>
      <tp t="e">
        <v>#N/A</v>
        <stp/>
        <stp>BDH|14378926307895512621</stp>
        <tr r="AJ73" s="2"/>
      </tp>
      <tp t="e">
        <v>#N/A</v>
        <stp/>
        <stp>BDH|16562943328871035287</stp>
        <tr r="AC63" s="2"/>
      </tp>
      <tp t="e">
        <v>#N/A</v>
        <stp/>
        <stp>BDH|18231928487553619407</stp>
        <tr r="N35" s="2"/>
      </tp>
      <tp t="e">
        <v>#N/A</v>
        <stp/>
        <stp>BDH|18112814851828707372</stp>
        <tr r="W53" s="2"/>
      </tp>
      <tp t="e">
        <v>#N/A</v>
        <stp/>
        <stp>BDH|11545155469389827102</stp>
        <tr r="Z84" s="2"/>
      </tp>
      <tp t="e">
        <v>#N/A</v>
        <stp/>
        <stp>BDH|13155743346957129926</stp>
        <tr r="K17" s="2"/>
      </tp>
      <tp t="e">
        <v>#N/A</v>
        <stp/>
        <stp>BDH|14033083682641281384</stp>
        <tr r="G73" s="2"/>
      </tp>
      <tp t="e">
        <v>#N/A</v>
        <stp/>
        <stp>BDH|11834894823032058720</stp>
        <tr r="G51" s="2"/>
      </tp>
      <tp t="e">
        <v>#N/A</v>
        <stp/>
        <stp>BDH|10677976263464427561</stp>
        <tr r="O83" s="2"/>
      </tp>
      <tp t="e">
        <v>#N/A</v>
        <stp/>
        <stp>BDH|12719155074889732325</stp>
        <tr r="AC34" s="2"/>
      </tp>
      <tp t="e">
        <v>#N/A</v>
        <stp/>
        <stp>BDH|15090170145306100804</stp>
        <tr r="AJ7" s="2"/>
      </tp>
      <tp t="e">
        <v>#N/A</v>
        <stp/>
        <stp>BDH|13598041583143491653</stp>
        <tr r="V44" s="2"/>
      </tp>
      <tp t="e">
        <v>#N/A</v>
        <stp/>
        <stp>BDH|10181306149590882933</stp>
        <tr r="AO14" s="2"/>
      </tp>
      <tp t="e">
        <v>#N/A</v>
        <stp/>
        <stp>BDH|17744233518079663394</stp>
        <tr r="AI29" s="2"/>
      </tp>
      <tp t="e">
        <v>#N/A</v>
        <stp/>
        <stp>BDH|17549399172548531592</stp>
        <tr r="AD8" s="2"/>
      </tp>
      <tp t="e">
        <v>#N/A</v>
        <stp/>
        <stp>BDH|14574128411593267963</stp>
        <tr r="AL22" s="2"/>
      </tp>
      <tp t="e">
        <v>#N/A</v>
        <stp/>
        <stp>BDH|12148783599074387611</stp>
        <tr r="AJ12" s="2"/>
      </tp>
      <tp t="e">
        <v>#N/A</v>
        <stp/>
        <stp>BDH|13685704109662837855</stp>
        <tr r="AK8" s="2"/>
      </tp>
      <tp t="e">
        <v>#N/A</v>
        <stp/>
        <stp>BDH|12129293627218464497</stp>
        <tr r="L68" s="2"/>
      </tp>
      <tp t="e">
        <v>#N/A</v>
        <stp/>
        <stp>BDH|13851699008179381285</stp>
        <tr r="D65" s="2"/>
      </tp>
      <tp t="e">
        <v>#N/A</v>
        <stp/>
        <stp>BDH|13615224918577032999</stp>
        <tr r="X63" s="2"/>
      </tp>
      <tp t="e">
        <v>#N/A</v>
        <stp/>
        <stp>BDH|10820030855808329381</stp>
        <tr r="V9" s="2"/>
      </tp>
      <tp t="e">
        <v>#N/A</v>
        <stp/>
        <stp>BDH|18000360678223338189</stp>
        <tr r="Q36" s="2"/>
      </tp>
      <tp t="e">
        <v>#N/A</v>
        <stp/>
        <stp>BDH|17024829915956140631</stp>
        <tr r="P23" s="2"/>
      </tp>
      <tp t="e">
        <v>#N/A</v>
        <stp/>
        <stp>BDH|14448595320068086590</stp>
        <tr r="T56" s="2"/>
      </tp>
      <tp t="e">
        <v>#N/A</v>
        <stp/>
        <stp>BDH|12161146193267171338</stp>
        <tr r="AP15" s="2"/>
      </tp>
      <tp t="e">
        <v>#N/A</v>
        <stp/>
        <stp>BDH|18154244255888701935</stp>
        <tr r="S86" s="2"/>
      </tp>
      <tp t="e">
        <v>#N/A</v>
        <stp/>
        <stp>BDH|11900699994043603365</stp>
        <tr r="W45" s="2"/>
      </tp>
      <tp t="e">
        <v>#N/A</v>
        <stp/>
        <stp>BDH|16303049864048461633</stp>
        <tr r="M48" s="2"/>
      </tp>
      <tp t="e">
        <v>#N/A</v>
        <stp/>
        <stp>BDH|13915751479268405551</stp>
        <tr r="AN12" s="2"/>
      </tp>
      <tp t="e">
        <v>#N/A</v>
        <stp/>
        <stp>BDH|10821856066585918560</stp>
        <tr r="AN30" s="2"/>
      </tp>
      <tp t="e">
        <v>#N/A</v>
        <stp/>
        <stp>BDH|13162697053337774981</stp>
        <tr r="K62" s="2"/>
      </tp>
      <tp t="e">
        <v>#N/A</v>
        <stp/>
        <stp>BDH|14974930600422654182</stp>
        <tr r="AG39" s="2"/>
      </tp>
      <tp t="e">
        <v>#N/A</v>
        <stp/>
        <stp>BDH|12451915200162588772</stp>
        <tr r="AN15" s="2"/>
      </tp>
      <tp t="e">
        <v>#N/A</v>
        <stp/>
        <stp>BDH|17049968637780036362</stp>
        <tr r="X35" s="2"/>
      </tp>
      <tp t="e">
        <v>#N/A</v>
        <stp/>
        <stp>BDH|10539701885232506329</stp>
        <tr r="W51" s="2"/>
      </tp>
      <tp t="e">
        <v>#N/A</v>
        <stp/>
        <stp>BDH|11182415971324735815</stp>
        <tr r="AF12" s="2"/>
      </tp>
      <tp t="e">
        <v>#N/A</v>
        <stp/>
        <stp>BDH|14310769637116365862</stp>
        <tr r="AE50" s="2"/>
      </tp>
      <tp t="e">
        <v>#N/A</v>
        <stp/>
        <stp>BDH|12117976032393045533</stp>
        <tr r="V88" s="2"/>
      </tp>
      <tp t="e">
        <v>#N/A</v>
        <stp/>
        <stp>BDH|14818472395467930043</stp>
        <tr r="X72" s="2"/>
      </tp>
      <tp t="e">
        <v>#N/A</v>
        <stp/>
        <stp>BDH|17209051028052133994</stp>
        <tr r="AM7" s="2"/>
      </tp>
      <tp t="e">
        <v>#N/A</v>
        <stp/>
        <stp>BDH|14242079377864425911</stp>
        <tr r="M44" s="2"/>
      </tp>
      <tp t="e">
        <v>#N/A</v>
        <stp/>
        <stp>BDH|12528908695959234554</stp>
        <tr r="S12" s="2"/>
      </tp>
      <tp t="e">
        <v>#N/A</v>
        <stp/>
        <stp>BDH|14426986808001441269</stp>
        <tr r="AJ63" s="2"/>
      </tp>
      <tp t="e">
        <v>#N/A</v>
        <stp/>
        <stp>BDH|12298440021848882295</stp>
        <tr r="S26" s="2"/>
      </tp>
      <tp t="e">
        <v>#N/A</v>
        <stp/>
        <stp>BDH|16529860822874551628</stp>
        <tr r="AO58" s="2"/>
      </tp>
      <tp t="e">
        <v>#N/A</v>
        <stp/>
        <stp>BDH|13194444039658669234</stp>
        <tr r="AD45" s="2"/>
      </tp>
      <tp t="e">
        <v>#N/A</v>
        <stp/>
        <stp>BDH|15372738052739934026</stp>
        <tr r="AC16" s="2"/>
      </tp>
      <tp t="e">
        <v>#N/A</v>
        <stp/>
        <stp>BDH|10566282291563359666</stp>
        <tr r="W66" s="2"/>
      </tp>
      <tp t="e">
        <v>#N/A</v>
        <stp/>
        <stp>BDH|18155659810687824645</stp>
        <tr r="N8" s="2"/>
      </tp>
      <tp t="e">
        <v>#N/A</v>
        <stp/>
        <stp>BDH|12020479590913652294</stp>
        <tr r="AK54" s="2"/>
      </tp>
      <tp t="e">
        <v>#N/A</v>
        <stp/>
        <stp>BDH|17323653449349573226</stp>
        <tr r="AA40" s="2"/>
      </tp>
      <tp t="e">
        <v>#N/A</v>
        <stp/>
        <stp>BDH|14089947239845070550</stp>
        <tr r="K82" s="2"/>
      </tp>
      <tp t="e">
        <v>#N/A</v>
        <stp/>
        <stp>BDH|15218951647682290492</stp>
        <tr r="O64" s="2"/>
      </tp>
      <tp t="e">
        <v>#N/A</v>
        <stp/>
        <stp>BDH|12929443376529674663</stp>
        <tr r="H8" s="2"/>
      </tp>
      <tp t="e">
        <v>#N/A</v>
        <stp/>
        <stp>BDH|16260859651820424593</stp>
        <tr r="AE10" s="2"/>
      </tp>
      <tp t="e">
        <v>#N/A</v>
        <stp/>
        <stp>BDH|14249320699391637141</stp>
        <tr r="L23" s="2"/>
      </tp>
      <tp t="e">
        <v>#N/A</v>
        <stp/>
        <stp>BDH|14893571921854604929</stp>
        <tr r="C64" s="2"/>
      </tp>
      <tp t="e">
        <v>#N/A</v>
        <stp/>
        <stp>BDH|17977899104762975377</stp>
        <tr r="AK84" s="2"/>
      </tp>
      <tp t="e">
        <v>#N/A</v>
        <stp/>
        <stp>BDH|18315622861531237789</stp>
        <tr r="E74" s="2"/>
      </tp>
      <tp t="e">
        <v>#N/A</v>
        <stp/>
        <stp>BDH|15496228088170014140</stp>
        <tr r="K50" s="2"/>
      </tp>
      <tp t="e">
        <v>#N/A</v>
        <stp/>
        <stp>BDH|10625786162057629800</stp>
        <tr r="AE76" s="2"/>
      </tp>
      <tp t="e">
        <v>#N/A</v>
        <stp/>
        <stp>BDH|18345185732633706742</stp>
        <tr r="H67" s="2"/>
      </tp>
      <tp t="e">
        <v>#N/A</v>
        <stp/>
        <stp>BDH|10542589240827270856</stp>
        <tr r="AF71" s="2"/>
      </tp>
      <tp t="e">
        <v>#N/A</v>
        <stp/>
        <stp>BDH|16618559006764851900</stp>
        <tr r="AP77" s="2"/>
      </tp>
      <tp t="e">
        <v>#N/A</v>
        <stp/>
        <stp>BDH|18300538371285846146</stp>
        <tr r="AH40" s="2"/>
      </tp>
      <tp t="e">
        <v>#N/A</v>
        <stp/>
        <stp>BDH|13608508349898488469</stp>
        <tr r="K26" s="2"/>
      </tp>
      <tp t="e">
        <v>#N/A</v>
        <stp/>
        <stp>BDH|14888847249125054396</stp>
        <tr r="K55" s="2"/>
      </tp>
      <tp t="e">
        <v>#N/A</v>
        <stp/>
        <stp>BDH|17263384222251297968</stp>
        <tr r="E35" s="2"/>
      </tp>
      <tp t="e">
        <v>#N/A</v>
        <stp/>
        <stp>BDH|12411684166378046467</stp>
        <tr r="V71" s="2"/>
      </tp>
      <tp t="e">
        <v>#N/A</v>
        <stp/>
        <stp>BDH|11041734799259581802</stp>
        <tr r="N19" s="2"/>
      </tp>
      <tp t="e">
        <v>#N/A</v>
        <stp/>
        <stp>BDH|15024522243928807267</stp>
        <tr r="U35" s="2"/>
      </tp>
      <tp t="e">
        <v>#N/A</v>
        <stp/>
        <stp>BDH|12092873848681819181</stp>
        <tr r="K66" s="2"/>
      </tp>
      <tp t="e">
        <v>#N/A</v>
        <stp/>
        <stp>BDH|12759810162557351585</stp>
        <tr r="AD25" s="2"/>
      </tp>
      <tp t="e">
        <v>#N/A</v>
        <stp/>
        <stp>BDH|15661118988036895496</stp>
        <tr r="AC44" s="2"/>
      </tp>
      <tp t="e">
        <v>#N/A</v>
        <stp/>
        <stp>BDH|11111033434634005883</stp>
        <tr r="Q40" s="2"/>
      </tp>
      <tp t="e">
        <v>#N/A</v>
        <stp/>
        <stp>BDH|10613748647374342874</stp>
        <tr r="AP50" s="2"/>
      </tp>
      <tp t="e">
        <v>#N/A</v>
        <stp/>
        <stp>BDH|17263112094089082965</stp>
        <tr r="AI61" s="2"/>
      </tp>
      <tp t="e">
        <v>#N/A</v>
        <stp/>
        <stp>BDH|15589146680257422441</stp>
        <tr r="L62" s="2"/>
      </tp>
      <tp t="e">
        <v>#N/A</v>
        <stp/>
        <stp>BDH|15884030372398928518</stp>
        <tr r="Z70" s="2"/>
      </tp>
      <tp t="e">
        <v>#N/A</v>
        <stp/>
        <stp>BDH|16666150293237517644</stp>
        <tr r="S92" s="2"/>
      </tp>
      <tp t="e">
        <v>#N/A</v>
        <stp/>
        <stp>BDH|15117120320079411066</stp>
        <tr r="J9" s="2"/>
      </tp>
      <tp t="e">
        <v>#N/A</v>
        <stp/>
        <stp>BDH|14716102897627349424</stp>
        <tr r="AG63" s="2"/>
      </tp>
      <tp t="e">
        <v>#N/A</v>
        <stp/>
        <stp>BDH|16471321106918315234</stp>
        <tr r="X9" s="2"/>
      </tp>
      <tp t="e">
        <v>#N/A</v>
        <stp/>
        <stp>BDH|11986488855796396974</stp>
        <tr r="Q85" s="2"/>
      </tp>
      <tp t="e">
        <v>#N/A</v>
        <stp/>
        <stp>BDH|13821888731285654274</stp>
        <tr r="S84" s="2"/>
      </tp>
      <tp t="e">
        <v>#N/A</v>
        <stp/>
        <stp>BDH|11670511964578458578</stp>
        <tr r="N88" s="2"/>
      </tp>
      <tp t="e">
        <v>#N/A</v>
        <stp/>
        <stp>BDH|11236844398956937970</stp>
        <tr r="AJ38" s="2"/>
      </tp>
      <tp t="e">
        <v>#N/A</v>
        <stp/>
        <stp>BDH|16259430932519340703</stp>
        <tr r="AL16" s="2"/>
      </tp>
      <tp t="e">
        <v>#N/A</v>
        <stp/>
        <stp>BDH|14821803108436422543</stp>
        <tr r="K74" s="2"/>
      </tp>
      <tp t="e">
        <v>#N/A</v>
        <stp/>
        <stp>BDH|12647394840413598996</stp>
        <tr r="AH41" s="2"/>
      </tp>
      <tp t="e">
        <v>#N/A</v>
        <stp/>
        <stp>BDH|10466410975705702948</stp>
        <tr r="K21" s="2"/>
      </tp>
      <tp t="e">
        <v>#N/A</v>
        <stp/>
        <stp>BDH|13834344270558739088</stp>
        <tr r="F35" s="2"/>
      </tp>
      <tp t="e">
        <v>#N/A</v>
        <stp/>
        <stp>BDH|16259694633735270999</stp>
        <tr r="G45" s="2"/>
      </tp>
      <tp t="e">
        <v>#N/A</v>
        <stp/>
        <stp>BDH|15328509790077155110</stp>
        <tr r="AP66" s="2"/>
      </tp>
      <tp t="e">
        <v>#N/A</v>
        <stp/>
        <stp>BDH|15919976110824553684</stp>
        <tr r="Z10" s="2"/>
      </tp>
      <tp t="e">
        <v>#N/A</v>
        <stp/>
        <stp>BDH|14878081129639991034</stp>
        <tr r="I37" s="2"/>
      </tp>
      <tp t="e">
        <v>#N/A</v>
        <stp/>
        <stp>BDH|16362500823299592760</stp>
        <tr r="S41" s="2"/>
      </tp>
      <tp t="e">
        <v>#N/A</v>
        <stp/>
        <stp>BDH|18332607766604627318</stp>
        <tr r="AC38" s="2"/>
      </tp>
      <tp t="e">
        <v>#N/A</v>
        <stp/>
        <stp>BDH|17751852072957693048</stp>
        <tr r="N13" s="2"/>
      </tp>
      <tp t="e">
        <v>#N/A</v>
        <stp/>
        <stp>BDH|15862694096562351765</stp>
        <tr r="I88" s="2"/>
      </tp>
      <tp t="e">
        <v>#N/A</v>
        <stp/>
        <stp>BDH|18347702226602700006</stp>
        <tr r="F71" s="2"/>
      </tp>
      <tp t="e">
        <v>#N/A</v>
        <stp/>
        <stp>BDH|18229218851870300048</stp>
        <tr r="AG77" s="2"/>
      </tp>
      <tp t="e">
        <v>#N/A</v>
        <stp/>
        <stp>BDH|10802959049336809493</stp>
        <tr r="V65" s="2"/>
      </tp>
      <tp t="e">
        <v>#N/A</v>
        <stp/>
        <stp>BDH|10706132365591610929</stp>
        <tr r="AO36" s="2"/>
      </tp>
      <tp t="e">
        <v>#N/A</v>
        <stp/>
        <stp>BDH|11991138618716692811</stp>
        <tr r="U90" s="2"/>
      </tp>
      <tp t="e">
        <v>#N/A</v>
        <stp/>
        <stp>BDH|17357011382886648636</stp>
        <tr r="V56" s="2"/>
      </tp>
      <tp t="e">
        <v>#N/A</v>
        <stp/>
        <stp>BDH|15972689856839700055</stp>
        <tr r="Z46" s="2"/>
      </tp>
      <tp t="e">
        <v>#N/A</v>
        <stp/>
        <stp>BDH|16905638535065334998</stp>
        <tr r="AJ71" s="2"/>
      </tp>
      <tp t="e">
        <v>#N/A</v>
        <stp/>
        <stp>BDH|13764924670741613364</stp>
        <tr r="AP41" s="2"/>
      </tp>
      <tp t="e">
        <v>#N/A</v>
        <stp/>
        <stp>BDH|18117063593806948897</stp>
        <tr r="AN92" s="2"/>
      </tp>
      <tp t="e">
        <v>#N/A</v>
        <stp/>
        <stp>BDH|12080257270698649071</stp>
        <tr r="AO16" s="2"/>
      </tp>
      <tp t="e">
        <v>#N/A</v>
        <stp/>
        <stp>BDH|16781466584393393626</stp>
        <tr r="E47" s="2"/>
      </tp>
      <tp t="e">
        <v>#N/A</v>
        <stp/>
        <stp>BDH|15296567745982470929</stp>
        <tr r="N74" s="2"/>
      </tp>
      <tp t="e">
        <v>#N/A</v>
        <stp/>
        <stp>BDH|10324211429107594894</stp>
        <tr r="T74" s="2"/>
      </tp>
      <tp t="e">
        <v>#N/A</v>
        <stp/>
        <stp>BDH|11983855989289340714</stp>
        <tr r="E67" s="2"/>
      </tp>
      <tp t="e">
        <v>#N/A</v>
        <stp/>
        <stp>BDH|17689402790085260030</stp>
        <tr r="AH71" s="2"/>
      </tp>
      <tp t="e">
        <v>#N/A</v>
        <stp/>
        <stp>BDH|15442157376145245921</stp>
        <tr r="AC68" s="2"/>
      </tp>
      <tp t="e">
        <v>#N/A</v>
        <stp/>
        <stp>BDH|18336106366129728953</stp>
        <tr r="AA15" s="2"/>
      </tp>
      <tp t="e">
        <v>#N/A</v>
        <stp/>
        <stp>BDH|12525422296341046162</stp>
        <tr r="U18" s="2"/>
      </tp>
      <tp t="e">
        <v>#N/A</v>
        <stp/>
        <stp>BDH|17295622995815417273</stp>
        <tr r="AP47" s="2"/>
      </tp>
      <tp t="e">
        <v>#N/A</v>
        <stp/>
        <stp>BDH|12018617593502335070</stp>
        <tr r="AC62" s="2"/>
      </tp>
      <tp t="e">
        <v>#N/A</v>
        <stp/>
        <stp>BDH|15915600948520791808</stp>
        <tr r="R19" s="2"/>
      </tp>
      <tp t="e">
        <v>#N/A</v>
        <stp/>
        <stp>BDH|10827121442552668885</stp>
        <tr r="AD60" s="2"/>
      </tp>
      <tp t="e">
        <v>#N/A</v>
        <stp/>
        <stp>BDH|13465145101619574427</stp>
        <tr r="AF61" s="2"/>
      </tp>
      <tp t="e">
        <v>#N/A</v>
        <stp/>
        <stp>BDH|10700277386787902294</stp>
        <tr r="V34" s="2"/>
      </tp>
      <tp t="e">
        <v>#N/A</v>
        <stp/>
        <stp>BDH|17245567509529358478</stp>
        <tr r="Q54" s="2"/>
      </tp>
      <tp t="e">
        <v>#N/A</v>
        <stp/>
        <stp>BDH|13506867036976557195</stp>
        <tr r="AK55" s="2"/>
      </tp>
      <tp t="e">
        <v>#N/A</v>
        <stp/>
        <stp>BDH|18442394724174452247</stp>
        <tr r="AJ47" s="2"/>
      </tp>
      <tp t="e">
        <v>#N/A</v>
        <stp/>
        <stp>BDH|17029924266472846554</stp>
        <tr r="E27" s="2"/>
      </tp>
      <tp t="e">
        <v>#N/A</v>
        <stp/>
        <stp>BDH|13716045502194122891</stp>
        <tr r="AA88" s="2"/>
      </tp>
      <tp t="e">
        <v>#N/A</v>
        <stp/>
        <stp>BDH|11821894778008137913</stp>
        <tr r="AA35" s="2"/>
      </tp>
      <tp t="e">
        <v>#N/A</v>
        <stp/>
        <stp>BDH|18439538726276995605</stp>
        <tr r="AE19" s="2"/>
      </tp>
      <tp t="e">
        <v>#N/A</v>
        <stp/>
        <stp>BDH|14458785106249254502</stp>
        <tr r="W70" s="2"/>
      </tp>
      <tp t="e">
        <v>#N/A</v>
        <stp/>
        <stp>BDH|18174641565010249799</stp>
        <tr r="S25" s="2"/>
      </tp>
      <tp t="e">
        <v>#N/A</v>
        <stp/>
        <stp>BDH|11647022975381896820</stp>
        <tr r="AD12" s="2"/>
      </tp>
      <tp t="e">
        <v>#N/A</v>
        <stp/>
        <stp>BDH|14976924169503154798</stp>
        <tr r="X15" s="2"/>
      </tp>
      <tp t="e">
        <v>#N/A</v>
        <stp/>
        <stp>BDH|17403013588372307240</stp>
        <tr r="AG17" s="2"/>
      </tp>
      <tp t="e">
        <v>#N/A</v>
        <stp/>
        <stp>BDH|18163843185896999130</stp>
        <tr r="AN70" s="2"/>
      </tp>
      <tp t="e">
        <v>#N/A</v>
        <stp/>
        <stp>BDH|14818352494608425901</stp>
        <tr r="U68" s="2"/>
      </tp>
      <tp t="e">
        <v>#N/A</v>
        <stp/>
        <stp>BDH|12186205042159710286</stp>
        <tr r="V90" s="2"/>
      </tp>
      <tp t="e">
        <v>#N/A</v>
        <stp/>
        <stp>BDH|11887796091992999253</stp>
        <tr r="AE39" s="2"/>
      </tp>
      <tp t="e">
        <v>#N/A</v>
        <stp/>
        <stp>BDH|14552783775358084341</stp>
        <tr r="Z17" s="2"/>
      </tp>
      <tp t="e">
        <v>#N/A</v>
        <stp/>
        <stp>BDH|11763674998238150954</stp>
        <tr r="AM12" s="2"/>
      </tp>
      <tp t="e">
        <v>#N/A</v>
        <stp/>
        <stp>BDH|11589491287995021747</stp>
        <tr r="Q24" s="2"/>
      </tp>
      <tp t="e">
        <v>#N/A</v>
        <stp/>
        <stp>BDH|13318033873429510293</stp>
        <tr r="K11" s="2"/>
      </tp>
      <tp t="e">
        <v>#N/A</v>
        <stp/>
        <stp>BDH|12123699670765241940</stp>
        <tr r="AL77" s="2"/>
      </tp>
      <tp t="e">
        <v>#N/A</v>
        <stp/>
        <stp>BDH|16054848493200911803</stp>
        <tr r="Q62" s="2"/>
      </tp>
      <tp t="e">
        <v>#N/A</v>
        <stp/>
        <stp>BDH|10939250325446493939</stp>
        <tr r="F90" s="2"/>
      </tp>
      <tp t="e">
        <v>#N/A</v>
        <stp/>
        <stp>BDH|17816802350982190774</stp>
        <tr r="C49" s="2"/>
      </tp>
      <tp t="e">
        <v>#N/A</v>
        <stp/>
        <stp>BDH|10432610486834364614</stp>
        <tr r="C76" s="2"/>
      </tp>
      <tp t="e">
        <v>#N/A</v>
        <stp/>
        <stp>BDH|12336668924623946991</stp>
        <tr r="AG28" s="2"/>
      </tp>
      <tp t="e">
        <v>#N/A</v>
        <stp/>
        <stp>BDH|13442830972927053744</stp>
        <tr r="K8" s="2"/>
      </tp>
      <tp t="e">
        <v>#N/A</v>
        <stp/>
        <stp>BDH|11839176443301861952</stp>
        <tr r="AF59" s="2"/>
      </tp>
      <tp t="e">
        <v>#N/A</v>
        <stp/>
        <stp>BDH|10534835602495430113</stp>
        <tr r="AL83" s="2"/>
      </tp>
      <tp t="e">
        <v>#N/A</v>
        <stp/>
        <stp>BDH|15730278655938341677</stp>
        <tr r="AH56" s="2"/>
      </tp>
      <tp t="e">
        <v>#N/A</v>
        <stp/>
        <stp>BDH|11673352822835588955</stp>
        <tr r="Z51" s="2"/>
      </tp>
      <tp t="e">
        <v>#N/A</v>
        <stp/>
        <stp>BDH|12331914673765139516</stp>
        <tr r="S83" s="2"/>
      </tp>
      <tp t="e">
        <v>#N/A</v>
        <stp/>
        <stp>BDH|14312902924414041767</stp>
        <tr r="K30" s="2"/>
      </tp>
      <tp t="e">
        <v>#N/A</v>
        <stp/>
        <stp>BDH|13779899011401868768</stp>
        <tr r="AC36" s="2"/>
      </tp>
      <tp t="e">
        <v>#N/A</v>
        <stp/>
        <stp>BDH|10251604000563660949</stp>
        <tr r="V61" s="2"/>
      </tp>
      <tp t="e">
        <v>#N/A</v>
        <stp/>
        <stp>BDH|10272975290928043456</stp>
        <tr r="H47" s="2"/>
      </tp>
      <tp t="e">
        <v>#N/A</v>
        <stp/>
        <stp>BDH|17534407060610674935</stp>
        <tr r="AL41" s="2"/>
      </tp>
      <tp t="e">
        <v>#N/A</v>
        <stp/>
        <stp>BDH|16425696113124912971</stp>
        <tr r="AO86" s="2"/>
      </tp>
      <tp t="e">
        <v>#N/A</v>
        <stp/>
        <stp>BDH|15619622676301619979</stp>
        <tr r="AG19" s="2"/>
      </tp>
      <tp t="e">
        <v>#N/A</v>
        <stp/>
        <stp>BDH|11301703653379382605</stp>
        <tr r="AO40" s="2"/>
      </tp>
      <tp t="e">
        <v>#N/A</v>
        <stp/>
        <stp>BDH|11689867040831512065</stp>
        <tr r="D74" s="2"/>
      </tp>
      <tp t="e">
        <v>#N/A</v>
        <stp/>
        <stp>BDH|10311556263337541835</stp>
        <tr r="K64" s="2"/>
      </tp>
      <tp t="e">
        <v>#N/A</v>
        <stp/>
        <stp>BDH|17625769873093522843</stp>
        <tr r="O15" s="2"/>
      </tp>
      <tp t="e">
        <v>#N/A</v>
        <stp/>
        <stp>BDH|11167969751565378470</stp>
        <tr r="AB89" s="2"/>
      </tp>
      <tp t="e">
        <v>#N/A</v>
        <stp/>
        <stp>BDH|10954210093586169186</stp>
        <tr r="N16" s="2"/>
      </tp>
      <tp t="e">
        <v>#N/A</v>
        <stp/>
        <stp>BDH|12760117199241851751</stp>
        <tr r="F17" s="2"/>
      </tp>
      <tp t="e">
        <v>#N/A</v>
        <stp/>
        <stp>BDH|17673712681066304273</stp>
        <tr r="D49" s="2"/>
      </tp>
      <tp t="e">
        <v>#N/A</v>
        <stp/>
        <stp>BDH|17486749806575569914</stp>
        <tr r="AL50" s="2"/>
      </tp>
      <tp t="e">
        <v>#N/A</v>
        <stp/>
        <stp>BDH|10934285189080347696</stp>
        <tr r="T73" s="2"/>
      </tp>
      <tp t="e">
        <v>#N/A</v>
        <stp/>
        <stp>BDH|17911419892814935268</stp>
        <tr r="X81" s="2"/>
      </tp>
      <tp t="e">
        <v>#N/A</v>
        <stp/>
        <stp>BDH|12573862668022804267</stp>
        <tr r="AD55" s="2"/>
      </tp>
      <tp t="e">
        <v>#N/A</v>
        <stp/>
        <stp>BDH|15055473015625239953</stp>
        <tr r="V69" s="2"/>
      </tp>
      <tp t="e">
        <v>#N/A</v>
        <stp/>
        <stp>BDH|11530426694519661906</stp>
        <tr r="AK43" s="2"/>
      </tp>
      <tp t="e">
        <v>#N/A</v>
        <stp/>
        <stp>BDH|16761055394706035530</stp>
        <tr r="AE9" s="2"/>
      </tp>
      <tp t="e">
        <v>#N/A</v>
        <stp/>
        <stp>BDH|12797534684804264776</stp>
        <tr r="F27" s="2"/>
      </tp>
      <tp t="e">
        <v>#N/A</v>
        <stp/>
        <stp>BDH|15473833465637601016</stp>
        <tr r="AD67" s="2"/>
      </tp>
      <tp t="e">
        <v>#N/A</v>
        <stp/>
        <stp>BDH|10298544156785794939</stp>
        <tr r="K70" s="2"/>
      </tp>
      <tp t="e">
        <v>#N/A</v>
        <stp/>
        <stp>BDH|16280853260857035339</stp>
        <tr r="H66" s="2"/>
      </tp>
      <tp t="e">
        <v>#N/A</v>
        <stp/>
        <stp>BDH|12944178565108618193</stp>
        <tr r="Y81" s="2"/>
      </tp>
      <tp t="e">
        <v>#N/A</v>
        <stp/>
        <stp>BDH|12534204560258725269</stp>
        <tr r="AN55" s="2"/>
      </tp>
      <tp t="e">
        <v>#N/A</v>
        <stp/>
        <stp>BDH|15614369040756610823</stp>
        <tr r="M62" s="2"/>
      </tp>
      <tp t="e">
        <v>#N/A</v>
        <stp/>
        <stp>BDH|10697564790456612624</stp>
        <tr r="L13" s="2"/>
      </tp>
      <tp t="e">
        <v>#N/A</v>
        <stp/>
        <stp>BDH|14108302551479346777</stp>
        <tr r="W7" s="2"/>
      </tp>
      <tp t="e">
        <v>#N/A</v>
        <stp/>
        <stp>BDH|11713501487893091344</stp>
        <tr r="S63" s="2"/>
      </tp>
      <tp t="e">
        <v>#N/A</v>
        <stp/>
        <stp>BDH|14735098759655238825</stp>
        <tr r="J70" s="2"/>
      </tp>
      <tp t="e">
        <v>#N/A</v>
        <stp/>
        <stp>BDH|17238702117509096427</stp>
        <tr r="E17" s="2"/>
      </tp>
      <tp t="e">
        <v>#N/A</v>
        <stp/>
        <stp>BDH|15438709334608413533</stp>
        <tr r="AO7" s="2"/>
      </tp>
      <tp t="e">
        <v>#N/A</v>
        <stp/>
        <stp>BDH|15236621280885373240</stp>
        <tr r="V23" s="2"/>
      </tp>
      <tp t="e">
        <v>#N/A</v>
        <stp/>
        <stp>BDH|12183564455118709633</stp>
        <tr r="R49" s="2"/>
      </tp>
      <tp t="e">
        <v>#N/A</v>
        <stp/>
        <stp>BDH|14415534534498504603</stp>
        <tr r="I34" s="2"/>
      </tp>
      <tp t="e">
        <v>#N/A</v>
        <stp/>
        <stp>BDH|11480168591292675733</stp>
        <tr r="AC9" s="2"/>
      </tp>
      <tp t="e">
        <v>#N/A</v>
        <stp/>
        <stp>BDH|11204966284469070563</stp>
        <tr r="G55" s="2"/>
      </tp>
      <tp t="e">
        <v>#N/A</v>
        <stp/>
        <stp>BDH|15723572879469664297</stp>
        <tr r="C45" s="2"/>
      </tp>
      <tp t="e">
        <v>#N/A</v>
        <stp/>
        <stp>BDH|18234209066893016326</stp>
        <tr r="AC47" s="2"/>
      </tp>
      <tp t="e">
        <v>#N/A</v>
        <stp/>
        <stp>BDH|16463964403324000774</stp>
        <tr r="AM75" s="2"/>
      </tp>
      <tp t="e">
        <v>#N/A</v>
        <stp/>
        <stp>BDH|15168342043078790679</stp>
        <tr r="L47" s="2"/>
      </tp>
      <tp t="e">
        <v>#N/A</v>
        <stp/>
        <stp>BDH|13795804679738327841</stp>
        <tr r="AG37" s="2"/>
      </tp>
      <tp t="e">
        <v>#N/A</v>
        <stp/>
        <stp>BDH|18134098336693398449</stp>
        <tr r="AE44" s="2"/>
      </tp>
      <tp t="e">
        <v>#N/A</v>
        <stp/>
        <stp>BDH|11638988157213494244</stp>
        <tr r="AO37" s="2"/>
      </tp>
      <tp t="e">
        <v>#N/A</v>
        <stp/>
        <stp>BDH|14688027639882231960</stp>
        <tr r="AM92" s="2"/>
      </tp>
      <tp t="e">
        <v>#N/A</v>
        <stp/>
        <stp>BDH|15088063288228242947</stp>
        <tr r="K65" s="2"/>
      </tp>
      <tp t="e">
        <v>#N/A</v>
        <stp/>
        <stp>BDH|13085785587667269754</stp>
        <tr r="F41" s="2"/>
      </tp>
      <tp t="e">
        <v>#N/A</v>
        <stp/>
        <stp>BDH|14272557609455047861</stp>
        <tr r="AP83" s="2"/>
      </tp>
      <tp t="e">
        <v>#N/A</v>
        <stp/>
        <stp>BDH|10741704628908285151</stp>
        <tr r="AK11" s="2"/>
      </tp>
      <tp t="e">
        <v>#N/A</v>
        <stp/>
        <stp>BDH|16389359648488559537</stp>
        <tr r="L43" s="2"/>
      </tp>
      <tp t="e">
        <v>#N/A</v>
        <stp/>
        <stp>BDH|11074840304654841139</stp>
        <tr r="O68" s="2"/>
      </tp>
      <tp t="e">
        <v>#N/A</v>
        <stp/>
        <stp>BDH|16660194691046387470</stp>
        <tr r="AC88" s="2"/>
      </tp>
      <tp t="e">
        <v>#N/A</v>
        <stp/>
        <stp>BDH|15393917067115939362</stp>
        <tr r="V10" s="2"/>
      </tp>
      <tp t="e">
        <v>#N/A</v>
        <stp/>
        <stp>BDH|11390285390290425650</stp>
        <tr r="AC31" s="2"/>
      </tp>
      <tp t="e">
        <v>#N/A</v>
        <stp/>
        <stp>BDH|17049908734999908879</stp>
        <tr r="Z86" s="2"/>
      </tp>
      <tp t="e">
        <v>#N/A</v>
        <stp/>
        <stp>BDH|14054304150386890853</stp>
        <tr r="Y17" s="2"/>
      </tp>
      <tp t="e">
        <v>#N/A</v>
        <stp/>
        <stp>BDH|14808707716306550869</stp>
        <tr r="C84" s="2"/>
      </tp>
      <tp t="e">
        <v>#N/A</v>
        <stp/>
        <stp>BDH|14843442533929434660</stp>
        <tr r="AC82" s="2"/>
      </tp>
      <tp t="e">
        <v>#N/A</v>
        <stp/>
        <stp>BDH|14299153969056186920</stp>
        <tr r="Q42" s="2"/>
      </tp>
      <tp t="e">
        <v>#N/A</v>
        <stp/>
        <stp>BDH|13418904469160540054</stp>
        <tr r="AI31" s="2"/>
      </tp>
      <tp t="e">
        <v>#N/A</v>
        <stp/>
        <stp>BDH|18094412148940226473</stp>
        <tr r="AB82" s="2"/>
      </tp>
      <tp t="e">
        <v>#N/A</v>
        <stp/>
        <stp>BDH|18179783814360706264</stp>
        <tr r="O43" s="2"/>
      </tp>
      <tp t="e">
        <v>#N/A</v>
        <stp/>
        <stp>BDH|16247298587133182316</stp>
        <tr r="M41" s="2"/>
      </tp>
      <tp t="e">
        <v>#N/A</v>
        <stp/>
        <stp>BDH|14842343205472695938</stp>
        <tr r="P63" s="2"/>
      </tp>
      <tp t="e">
        <v>#N/A</v>
        <stp/>
        <stp>BDH|10879265460080628840</stp>
        <tr r="AL49" s="2"/>
      </tp>
      <tp t="e">
        <v>#N/A</v>
        <stp/>
        <stp>BDH|14607749401796725989</stp>
        <tr r="Z82" s="2"/>
      </tp>
      <tp t="e">
        <v>#N/A</v>
        <stp/>
        <stp>BDH|11346868779961799379</stp>
        <tr r="AK39" s="2"/>
      </tp>
      <tp t="e">
        <v>#N/A</v>
        <stp/>
        <stp>BDH|12966990263384563598</stp>
        <tr r="P76" s="2"/>
      </tp>
      <tp t="e">
        <v>#N/A</v>
        <stp/>
        <stp>BDH|18137464382891911937</stp>
        <tr r="D62" s="2"/>
      </tp>
      <tp t="e">
        <v>#N/A</v>
        <stp/>
        <stp>BDH|16297956118992819085</stp>
        <tr r="AK23" s="2"/>
      </tp>
      <tp t="e">
        <v>#N/A</v>
        <stp/>
        <stp>BDH|11960227367500662950</stp>
        <tr r="AD82" s="2"/>
      </tp>
      <tp t="e">
        <v>#N/A</v>
        <stp/>
        <stp>BDH|14844614078069827063</stp>
        <tr r="AF36" s="2"/>
      </tp>
      <tp t="e">
        <v>#N/A</v>
        <stp/>
        <stp>BDH|15549851806463994219</stp>
        <tr r="AD44" s="2"/>
      </tp>
      <tp t="e">
        <v>#N/A</v>
        <stp/>
        <stp>BDH|14466639764680563889</stp>
        <tr r="D10" s="2"/>
      </tp>
      <tp t="e">
        <v>#N/A</v>
        <stp/>
        <stp>BDH|16999734883855316042</stp>
        <tr r="X17" s="2"/>
      </tp>
      <tp t="e">
        <v>#N/A</v>
        <stp/>
        <stp>BDH|14907360197101825219</stp>
        <tr r="AO85" s="2"/>
      </tp>
      <tp t="e">
        <v>#N/A</v>
        <stp/>
        <stp>BDH|11623825996848431574</stp>
        <tr r="N45" s="2"/>
      </tp>
      <tp t="e">
        <v>#N/A</v>
        <stp/>
        <stp>BDH|12186847726061128432</stp>
        <tr r="AG85" s="2"/>
      </tp>
      <tp t="e">
        <v>#N/A</v>
        <stp/>
        <stp>BDH|16552801410625723733</stp>
        <tr r="AF31" s="2"/>
      </tp>
      <tp t="e">
        <v>#N/A</v>
        <stp/>
        <stp>BDH|14522611328348906543</stp>
        <tr r="AB29" s="2"/>
      </tp>
      <tp t="e">
        <v>#N/A</v>
        <stp/>
        <stp>BDH|12345506392835580650</stp>
        <tr r="AL56" s="2"/>
      </tp>
      <tp t="e">
        <v>#N/A</v>
        <stp/>
        <stp>BDH|17760824930647339676</stp>
        <tr r="M23" s="2"/>
      </tp>
      <tp t="e">
        <v>#N/A</v>
        <stp/>
        <stp>BDH|17730700393500207476</stp>
        <tr r="Y65" s="2"/>
      </tp>
      <tp t="e">
        <v>#N/A</v>
        <stp/>
        <stp>BDH|18322534622301570365</stp>
        <tr r="AP65" s="2"/>
      </tp>
      <tp t="e">
        <v>#N/A</v>
        <stp/>
        <stp>BDH|18170997191622045787</stp>
        <tr r="Z47" s="2"/>
      </tp>
      <tp t="e">
        <v>#N/A</v>
        <stp/>
        <stp>BDH|11029315543909287201</stp>
        <tr r="X77" s="2"/>
      </tp>
      <tp t="e">
        <v>#N/A</v>
        <stp/>
        <stp>BDH|18030364153011364264</stp>
        <tr r="D67" s="2"/>
      </tp>
      <tp t="e">
        <v>#N/A</v>
        <stp/>
        <stp>BDH|13695547150389171700</stp>
        <tr r="Y60" s="2"/>
      </tp>
      <tp t="e">
        <v>#N/A</v>
        <stp/>
        <stp>BDH|11585541672488660661</stp>
        <tr r="AC56" s="2"/>
      </tp>
      <tp t="e">
        <v>#N/A</v>
        <stp/>
        <stp>BDH|14130171586394026439</stp>
        <tr r="L38" s="2"/>
      </tp>
      <tp t="e">
        <v>#N/A</v>
        <stp/>
        <stp>BDH|12651857440535592656</stp>
        <tr r="AN20" s="2"/>
      </tp>
      <tp t="e">
        <v>#N/A</v>
        <stp/>
        <stp>BDH|14076908644567434336</stp>
        <tr r="AM55" s="2"/>
      </tp>
      <tp t="e">
        <v>#N/A</v>
        <stp/>
        <stp>BDH|17416967349925822203</stp>
        <tr r="AP64" s="2"/>
      </tp>
      <tp t="e">
        <v>#N/A</v>
        <stp/>
        <stp>BDH|15539687498667704009</stp>
        <tr r="M58" s="2"/>
      </tp>
      <tp t="e">
        <v>#N/A</v>
        <stp/>
        <stp>BDH|15539116944804125930</stp>
        <tr r="L24" s="2"/>
      </tp>
      <tp t="e">
        <v>#N/A</v>
        <stp/>
        <stp>BDH|15093222320039672163</stp>
        <tr r="AF50" s="2"/>
      </tp>
      <tp t="e">
        <v>#N/A</v>
        <stp/>
        <stp>BDH|10534432046638485560</stp>
        <tr r="AI65" s="2"/>
      </tp>
      <tp t="e">
        <v>#N/A</v>
        <stp/>
        <stp>BDH|14736054840435294824</stp>
        <tr r="L61" s="2"/>
      </tp>
      <tp t="e">
        <v>#N/A</v>
        <stp/>
        <stp>BDH|13570995059052758005</stp>
        <tr r="F15" s="2"/>
      </tp>
      <tp t="e">
        <v>#N/A</v>
        <stp/>
        <stp>BDH|17393228793145632461</stp>
        <tr r="Z16" s="2"/>
      </tp>
      <tp t="e">
        <v>#N/A</v>
        <stp/>
        <stp>BDH|10248003079093014997</stp>
        <tr r="D45" s="2"/>
      </tp>
      <tp t="e">
        <v>#N/A</v>
        <stp/>
        <stp>BDH|17519018727071784966</stp>
        <tr r="W8" s="2"/>
      </tp>
      <tp t="e">
        <v>#N/A</v>
        <stp/>
        <stp>BDH|10636662877679573507</stp>
        <tr r="S28" s="2"/>
      </tp>
      <tp t="e">
        <v>#N/A</v>
        <stp/>
        <stp>BDH|12714720316068201136</stp>
        <tr r="N62" s="2"/>
      </tp>
      <tp t="e">
        <v>#N/A</v>
        <stp/>
        <stp>BDH|13331325290945669127</stp>
        <tr r="AM53" s="2"/>
      </tp>
      <tp t="e">
        <v>#N/A</v>
        <stp/>
        <stp>BDH|17971281881800537003</stp>
        <tr r="X92" s="2"/>
      </tp>
      <tp t="e">
        <v>#N/A</v>
        <stp/>
        <stp>BDH|12184800656390353210</stp>
        <tr r="AM29" s="2"/>
      </tp>
      <tp t="e">
        <v>#N/A</v>
        <stp/>
        <stp>BDH|10845943962673247199</stp>
        <tr r="AH89" s="2"/>
      </tp>
      <tp t="e">
        <v>#N/A</v>
        <stp/>
        <stp>BDH|16235527269529818142</stp>
        <tr r="P36" s="2"/>
      </tp>
      <tp t="e">
        <v>#N/A</v>
        <stp/>
        <stp>BDH|14937675103107033886</stp>
        <tr r="AC49" s="2"/>
      </tp>
      <tp t="e">
        <v>#N/A</v>
        <stp/>
        <stp>BDH|13545935465701359052</stp>
        <tr r="AD89" s="2"/>
      </tp>
      <tp t="e">
        <v>#N/A</v>
        <stp/>
        <stp>BDH|15078644463671344917</stp>
        <tr r="Z88" s="2"/>
      </tp>
      <tp t="e">
        <v>#N/A</v>
        <stp/>
        <stp>BDH|13366181172668430084</stp>
        <tr r="AI12" s="2"/>
      </tp>
      <tp t="e">
        <v>#N/A</v>
        <stp/>
        <stp>BDH|13839223378342628914</stp>
        <tr r="M54" s="2"/>
      </tp>
      <tp t="e">
        <v>#N/A</v>
        <stp/>
        <stp>BDH|11075912358563833359</stp>
        <tr r="T47" s="2"/>
      </tp>
      <tp t="e">
        <v>#N/A</v>
        <stp/>
        <stp>BDH|18181324101184567234</stp>
        <tr r="I29" s="2"/>
      </tp>
      <tp t="e">
        <v>#N/A</v>
        <stp/>
        <stp>BDH|12729708095542254346</stp>
        <tr r="AJ44" s="2"/>
      </tp>
      <tp t="e">
        <v>#N/A</v>
        <stp/>
        <stp>BDH|14272146259728211590</stp>
        <tr r="AM76" s="2"/>
      </tp>
      <tp t="e">
        <v>#N/A</v>
        <stp/>
        <stp>BDH|11328607586651770361</stp>
        <tr r="H18" s="2"/>
      </tp>
      <tp t="e">
        <v>#N/A</v>
        <stp/>
        <stp>BDH|10996727144236998821</stp>
        <tr r="AH13" s="2"/>
      </tp>
      <tp t="e">
        <v>#N/A</v>
        <stp/>
        <stp>BDH|10759610155798498601</stp>
        <tr r="AM36" s="2"/>
      </tp>
      <tp t="e">
        <v>#N/A</v>
        <stp/>
        <stp>BDH|16527785486226586291</stp>
        <tr r="AL19" s="2"/>
      </tp>
      <tp t="e">
        <v>#N/A</v>
        <stp/>
        <stp>BDH|12203034785455077236</stp>
        <tr r="Q16" s="2"/>
      </tp>
      <tp t="e">
        <v>#N/A</v>
        <stp/>
        <stp>BDH|10069482022618459391</stp>
        <tr r="AM73" s="2"/>
      </tp>
      <tp t="e">
        <v>#N/A</v>
        <stp/>
        <stp>BDH|17796251583609720905</stp>
        <tr r="AN62" s="2"/>
      </tp>
      <tp t="e">
        <v>#N/A</v>
        <stp/>
        <stp>BDH|13838780351158685412</stp>
        <tr r="H52" s="2"/>
      </tp>
      <tp t="e">
        <v>#N/A</v>
        <stp/>
        <stp>BDH|11396682159228020745</stp>
        <tr r="V77" s="2"/>
      </tp>
      <tp t="e">
        <v>#N/A</v>
        <stp/>
        <stp>BDH|14090717022628588403</stp>
        <tr r="AJ41" s="2"/>
      </tp>
      <tp t="e">
        <v>#N/A</v>
        <stp/>
        <stp>BDH|11401648672194490902</stp>
        <tr r="AH30" s="2"/>
      </tp>
      <tp t="e">
        <v>#N/A</v>
        <stp/>
        <stp>BDH|15152064683913308319</stp>
        <tr r="M53" s="2"/>
      </tp>
      <tp t="e">
        <v>#N/A</v>
        <stp/>
        <stp>BDH|14659170095901758058</stp>
        <tr r="AP48" s="2"/>
      </tp>
      <tp t="e">
        <v>#N/A</v>
        <stp/>
        <stp>BDH|17810584530594551835</stp>
        <tr r="AO47" s="2"/>
      </tp>
      <tp t="e">
        <v>#N/A</v>
        <stp/>
        <stp>BDH|17971230359649560407</stp>
        <tr r="U54" s="2"/>
      </tp>
      <tp t="e">
        <v>#N/A</v>
        <stp/>
        <stp>BDH|14604042993664005473</stp>
        <tr r="T21" s="2"/>
      </tp>
      <tp t="e">
        <v>#N/A</v>
        <stp/>
        <stp>BDH|15912781794001034734</stp>
        <tr r="AP71" s="2"/>
      </tp>
      <tp t="e">
        <v>#N/A</v>
        <stp/>
        <stp>BDH|13699712865337181855</stp>
        <tr r="V84" s="2"/>
      </tp>
      <tp t="e">
        <v>#N/A</v>
        <stp/>
        <stp>BDH|15006858043890620466</stp>
        <tr r="AE13" s="2"/>
      </tp>
      <tp t="e">
        <v>#N/A</v>
        <stp/>
        <stp>BDH|18243608321340374190</stp>
        <tr r="Y7" s="2"/>
      </tp>
      <tp t="e">
        <v>#N/A</v>
        <stp/>
        <stp>BDH|13377449589077647515</stp>
        <tr r="I54" s="2"/>
      </tp>
      <tp t="e">
        <v>#N/A</v>
        <stp/>
        <stp>BDH|17916959963163133674</stp>
        <tr r="AJ62" s="2"/>
      </tp>
      <tp t="e">
        <v>#N/A</v>
        <stp/>
        <stp>BDH|16490113089494624631</stp>
        <tr r="R72" s="2"/>
      </tp>
      <tp t="e">
        <v>#N/A</v>
        <stp/>
        <stp>BDH|12325995574880427130</stp>
        <tr r="AB58" s="2"/>
      </tp>
      <tp t="e">
        <v>#N/A</v>
        <stp/>
        <stp>BDH|16487225626193931808</stp>
        <tr r="AL74" s="2"/>
      </tp>
      <tp t="e">
        <v>#N/A</v>
        <stp/>
        <stp>BDH|12208999532974578151</stp>
        <tr r="AD13" s="2"/>
      </tp>
      <tp t="e">
        <v>#N/A</v>
        <stp/>
        <stp>BDH|15130851570297577082</stp>
        <tr r="P58" s="2"/>
      </tp>
      <tp t="e">
        <v>#N/A</v>
        <stp/>
        <stp>BDH|17968102124700368970</stp>
        <tr r="Q65" s="2"/>
      </tp>
      <tp t="e">
        <v>#N/A</v>
        <stp/>
        <stp>BDH|13102753300769533098</stp>
        <tr r="O51" s="2"/>
      </tp>
      <tp t="e">
        <v>#N/A</v>
        <stp/>
        <stp>BDH|15587497255150244934</stp>
        <tr r="E25" s="2"/>
      </tp>
      <tp t="e">
        <v>#N/A</v>
        <stp/>
        <stp>BDH|15804343712958502237</stp>
        <tr r="Q72" s="2"/>
      </tp>
      <tp t="e">
        <v>#N/A</v>
        <stp/>
        <stp>BDH|16406710848910600835</stp>
        <tr r="AC61" s="2"/>
      </tp>
      <tp t="e">
        <v>#N/A</v>
        <stp/>
        <stp>BDH|17578956423957836637</stp>
        <tr r="K19" s="2"/>
      </tp>
      <tp t="e">
        <v>#N/A</v>
        <stp/>
        <stp>BDH|17237494592435318223</stp>
        <tr r="N58" s="2"/>
      </tp>
      <tp t="e">
        <v>#N/A</v>
        <stp/>
        <stp>BDH|10581915203414471086</stp>
        <tr r="K12" s="2"/>
      </tp>
      <tp t="e">
        <v>#N/A</v>
        <stp/>
        <stp>BDH|18352504155092977740</stp>
        <tr r="D38" s="2"/>
      </tp>
      <tp t="e">
        <v>#N/A</v>
        <stp/>
        <stp>BDH|13927356949549645083</stp>
        <tr r="O82" s="2"/>
      </tp>
      <tp t="e">
        <v>#N/A</v>
        <stp/>
        <stp>BDH|16367346198088259960</stp>
        <tr r="O13" s="2"/>
      </tp>
      <tp t="e">
        <v>#N/A</v>
        <stp/>
        <stp>BDH|10675362030189908435</stp>
        <tr r="D56" s="2"/>
      </tp>
      <tp t="e">
        <v>#N/A</v>
        <stp/>
        <stp>BDH|10192864553905742594</stp>
        <tr r="Q68" s="2"/>
      </tp>
      <tp t="e">
        <v>#N/A</v>
        <stp/>
        <stp>BDH|15665492172623915898</stp>
        <tr r="W46" s="2"/>
      </tp>
      <tp t="e">
        <v>#N/A</v>
        <stp/>
        <stp>BDH|16442327289541189137</stp>
        <tr r="W56" s="2"/>
      </tp>
      <tp t="e">
        <v>#N/A</v>
        <stp/>
        <stp>BDH|13839538034429456165</stp>
        <tr r="AD70" s="2"/>
      </tp>
      <tp t="e">
        <v>#N/A</v>
        <stp/>
        <stp>BDH|17393908341413624496</stp>
        <tr r="S45" s="2"/>
      </tp>
      <tp t="e">
        <v>#N/A</v>
        <stp/>
        <stp>BDH|11208367513778827630</stp>
        <tr r="AP92" s="2"/>
      </tp>
      <tp t="e">
        <v>#N/A</v>
        <stp/>
        <stp>BDH|16944600745358682159</stp>
        <tr r="Y27" s="2"/>
      </tp>
      <tp t="e">
        <v>#N/A</v>
        <stp/>
        <stp>BDH|12360503302398757297</stp>
        <tr r="AJ23" s="2"/>
      </tp>
      <tp t="e">
        <v>#N/A</v>
        <stp/>
        <stp>BDH|10518508037888808348</stp>
        <tr r="AM15" s="2"/>
      </tp>
      <tp t="e">
        <v>#N/A</v>
        <stp/>
        <stp>BDH|11186433288140261065</stp>
        <tr r="Q23" s="2"/>
      </tp>
      <tp t="e">
        <v>#N/A</v>
        <stp/>
        <stp>BDH|14049251778994636856</stp>
        <tr r="G75" s="2"/>
      </tp>
      <tp t="e">
        <v>#N/A</v>
        <stp/>
        <stp>BDH|12293767203941020994</stp>
        <tr r="S52" s="2"/>
      </tp>
      <tp t="e">
        <v>#N/A</v>
        <stp/>
        <stp>BDH|17777484534108249571</stp>
        <tr r="M70" s="2"/>
      </tp>
      <tp t="e">
        <v>#N/A</v>
        <stp/>
        <stp>BDH|17722423273369026087</stp>
        <tr r="T76" s="2"/>
      </tp>
      <tp t="e">
        <v>#N/A</v>
        <stp/>
        <stp>BDH|12958056195891293755</stp>
        <tr r="AC15" s="2"/>
      </tp>
      <tp t="e">
        <v>#N/A</v>
        <stp/>
        <stp>BDH|11640814888394828895</stp>
        <tr r="AA45" s="2"/>
      </tp>
      <tp t="e">
        <v>#N/A</v>
        <stp/>
        <stp>BDH|15683133917471373607</stp>
        <tr r="P85" s="2"/>
      </tp>
      <tp t="e">
        <v>#N/A</v>
        <stp/>
        <stp>BDH|17867248014746105084</stp>
        <tr r="L34" s="2"/>
      </tp>
      <tp t="e">
        <v>#N/A</v>
        <stp/>
        <stp>BDH|16462120416971530541</stp>
        <tr r="AK90" s="2"/>
      </tp>
      <tp t="e">
        <v>#N/A</v>
        <stp/>
        <stp>BDH|16314637500901726361</stp>
        <tr r="L26" s="2"/>
      </tp>
      <tp t="e">
        <v>#N/A</v>
        <stp/>
        <stp>BDH|10509756007931646409</stp>
        <tr r="K71" s="2"/>
      </tp>
      <tp t="e">
        <v>#N/A</v>
        <stp/>
        <stp>BDH|15744323487094643851</stp>
        <tr r="AG90" s="2"/>
      </tp>
      <tp t="e">
        <v>#N/A</v>
        <stp/>
        <stp>BDH|13262011652347172315</stp>
        <tr r="AJ56" s="2"/>
      </tp>
      <tp t="e">
        <v>#N/A</v>
        <stp/>
        <stp>BDH|18439171000958465369</stp>
        <tr r="O76" s="2"/>
      </tp>
      <tp t="e">
        <v>#N/A</v>
        <stp/>
        <stp>BDH|17623053041008079932</stp>
        <tr r="S69" s="2"/>
      </tp>
      <tp t="e">
        <v>#N/A</v>
        <stp/>
        <stp>BDH|10288295527173501197</stp>
        <tr r="AC37" s="2"/>
      </tp>
      <tp t="e">
        <v>#N/A</v>
        <stp/>
        <stp>BDH|10790153409567246492</stp>
        <tr r="AK7" s="2"/>
      </tp>
      <tp t="e">
        <v>#N/A</v>
        <stp/>
        <stp>BDH|17298360903957097176</stp>
        <tr r="AI86" s="2"/>
      </tp>
      <tp t="e">
        <v>#N/A</v>
        <stp/>
        <stp>BDH|11398170179416506380</stp>
        <tr r="Q27" s="2"/>
      </tp>
      <tp t="e">
        <v>#N/A</v>
        <stp/>
        <stp>BDH|12900343474336886215</stp>
        <tr r="K31" s="2"/>
      </tp>
      <tp t="e">
        <v>#N/A</v>
        <stp/>
        <stp>BDH|12067705621232590744</stp>
        <tr r="AE31" s="2"/>
      </tp>
      <tp t="e">
        <v>#N/A</v>
        <stp/>
        <stp>BDH|10425212824695162701</stp>
        <tr r="AA22" s="2"/>
      </tp>
      <tp t="e">
        <v>#N/A</v>
        <stp/>
        <stp>BDH|14562656664724110251</stp>
        <tr r="AD35" s="2"/>
      </tp>
      <tp t="e">
        <v>#N/A</v>
        <stp/>
        <stp>BDH|11618310542352249671</stp>
        <tr r="AO61" s="2"/>
      </tp>
      <tp t="e">
        <v>#N/A</v>
        <stp/>
        <stp>BDH|16833874103919745583</stp>
        <tr r="G56" s="2"/>
      </tp>
      <tp t="e">
        <v>#N/A</v>
        <stp/>
        <stp>BDH|10312754172665598725</stp>
        <tr r="P52" s="2"/>
      </tp>
      <tp t="e">
        <v>#N/A</v>
        <stp/>
        <stp>BDH|17010378885968475658</stp>
        <tr r="O47" s="2"/>
      </tp>
      <tp t="e">
        <v>#N/A</v>
        <stp/>
        <stp>BDH|17154791648600772648</stp>
        <tr r="V53" s="2"/>
      </tp>
      <tp t="e">
        <v>#N/A</v>
        <stp/>
        <stp>BDH|10416752029280993724</stp>
        <tr r="K68" s="2"/>
      </tp>
      <tp t="e">
        <v>#N/A</v>
        <stp/>
        <stp>BDH|13137392833288970918</stp>
        <tr r="M40" s="2"/>
      </tp>
      <tp t="e">
        <v>#N/A</v>
        <stp/>
        <stp>BDH|13768555487945481922</stp>
        <tr r="I40" s="2"/>
      </tp>
      <tp t="e">
        <v>#N/A</v>
        <stp/>
        <stp>BDH|11908542025313383789</stp>
        <tr r="AE54" s="2"/>
      </tp>
      <tp t="e">
        <v>#N/A</v>
        <stp/>
        <stp>BDH|14440375930535471344</stp>
        <tr r="Z72" s="2"/>
      </tp>
      <tp t="e">
        <v>#N/A</v>
        <stp/>
        <stp>BDH|12157092568165549366</stp>
        <tr r="R30" s="2"/>
      </tp>
      <tp t="e">
        <v>#N/A</v>
        <stp/>
        <stp>BDH|10358154745152214531</stp>
        <tr r="AK38" s="2"/>
      </tp>
      <tp t="e">
        <v>#N/A</v>
        <stp/>
        <stp>BDH|11225735700610068432</stp>
        <tr r="N86" s="2"/>
      </tp>
      <tp t="e">
        <v>#N/A</v>
        <stp/>
        <stp>BDH|18157694688041146531</stp>
        <tr r="AH75" s="2"/>
      </tp>
      <tp t="e">
        <v>#N/A</v>
        <stp/>
        <stp>BDH|15273561814173092051</stp>
        <tr r="C65" s="2"/>
      </tp>
      <tp t="e">
        <v>#N/A</v>
        <stp/>
        <stp>BDH|16891493849382824655</stp>
        <tr r="AO25" s="2"/>
      </tp>
      <tp t="e">
        <v>#N/A</v>
        <stp/>
        <stp>BDH|16240768025293171254</stp>
        <tr r="G10" s="2"/>
      </tp>
      <tp t="e">
        <v>#N/A</v>
        <stp/>
        <stp>BDH|13752724369429929904</stp>
        <tr r="Z60" s="2"/>
      </tp>
      <tp t="e">
        <v>#N/A</v>
        <stp/>
        <stp>BDH|14215467721678013806</stp>
        <tr r="AD74" s="2"/>
      </tp>
      <tp t="e">
        <v>#N/A</v>
        <stp/>
        <stp>BDH|11067022267721668463</stp>
        <tr r="V45" s="2"/>
      </tp>
      <tp t="e">
        <v>#N/A</v>
        <stp/>
        <stp>BDH|15573936203959405753</stp>
        <tr r="AN14" s="2"/>
      </tp>
      <tp t="e">
        <v>#N/A</v>
        <stp/>
        <stp>BDH|18113944863062552779</stp>
        <tr r="D90" s="2"/>
      </tp>
      <tp t="e">
        <v>#N/A</v>
        <stp/>
        <stp>BDH|12532208298443864810</stp>
        <tr r="AF82" s="2"/>
      </tp>
      <tp t="e">
        <v>#N/A</v>
        <stp/>
        <stp>BDH|13449762222320299460</stp>
        <tr r="H38" s="2"/>
      </tp>
      <tp t="e">
        <v>#N/A</v>
        <stp/>
        <stp>BDH|15992200615662897605</stp>
        <tr r="J26" s="2"/>
      </tp>
      <tp t="e">
        <v>#N/A</v>
        <stp/>
        <stp>BDH|12541068863851269763</stp>
        <tr r="AE14" s="2"/>
      </tp>
      <tp t="e">
        <v>#N/A</v>
        <stp/>
        <stp>BDH|11178269602563992285</stp>
        <tr r="F61" s="2"/>
      </tp>
      <tp t="e">
        <v>#N/A</v>
        <stp/>
        <stp>BDH|13247552640670436075</stp>
        <tr r="O24" s="2"/>
      </tp>
      <tp t="e">
        <v>#N/A</v>
        <stp/>
        <stp>BDH|17011549504736628616</stp>
        <tr r="L87" s="2"/>
      </tp>
      <tp t="e">
        <v>#N/A</v>
        <stp/>
        <stp>BDH|14256229955467287608</stp>
        <tr r="D81" s="2"/>
      </tp>
      <tp t="e">
        <v>#N/A</v>
        <stp/>
        <stp>BDH|10702300184898112151</stp>
        <tr r="W24" s="2"/>
      </tp>
      <tp t="e">
        <v>#N/A</v>
        <stp/>
        <stp>BDH|11378294879397689120</stp>
        <tr r="P86" s="2"/>
      </tp>
      <tp t="e">
        <v>#N/A</v>
        <stp/>
        <stp>BDH|11597587666611482180</stp>
        <tr r="T61" s="2"/>
      </tp>
      <tp t="e">
        <v>#N/A</v>
        <stp/>
        <stp>BDH|11841768210634051199</stp>
        <tr r="P74" s="2"/>
      </tp>
      <tp t="e">
        <v>#N/A</v>
        <stp/>
        <stp>BDH|10128205861236634008</stp>
        <tr r="P62" s="2"/>
      </tp>
      <tp t="e">
        <v>#N/A</v>
        <stp/>
        <stp>BDH|15764927983535582351</stp>
        <tr r="Y29" s="2"/>
      </tp>
      <tp t="e">
        <v>#N/A</v>
        <stp/>
        <stp>BDH|17975357934950729599</stp>
        <tr r="AO23" s="2"/>
      </tp>
      <tp t="e">
        <v>#N/A</v>
        <stp/>
        <stp>BDH|12863090104766529662</stp>
        <tr r="AN58" s="2"/>
      </tp>
      <tp t="e">
        <v>#N/A</v>
        <stp/>
        <stp>BDH|15343826297696148014</stp>
        <tr r="D28" s="2"/>
      </tp>
      <tp t="e">
        <v>#N/A</v>
        <stp/>
        <stp>BDH|16982625441563150527</stp>
        <tr r="J69" s="2"/>
      </tp>
      <tp t="e">
        <v>#N/A</v>
        <stp/>
        <stp>BDH|13898885307400630983</stp>
        <tr r="J37" s="2"/>
      </tp>
      <tp t="e">
        <v>#N/A</v>
        <stp/>
        <stp>BDH|15966754112474339549</stp>
        <tr r="W23" s="2"/>
      </tp>
      <tp t="e">
        <v>#N/A</v>
        <stp/>
        <stp>BDH|17442610740466848147</stp>
        <tr r="L84" s="2"/>
      </tp>
      <tp t="e">
        <v>#N/A</v>
        <stp/>
        <stp>BDH|10709346109535145425</stp>
        <tr r="Q22" s="2"/>
      </tp>
      <tp t="e">
        <v>#N/A</v>
        <stp/>
        <stp>BDH|15287362557133398296</stp>
        <tr r="T17" s="2"/>
      </tp>
      <tp t="e">
        <v>#N/A</v>
        <stp/>
        <stp>BDH|16813493631406878508</stp>
        <tr r="F36" s="2"/>
      </tp>
      <tp t="e">
        <v>#N/A</v>
        <stp/>
        <stp>BDH|13635078641124030187</stp>
        <tr r="X29" s="2"/>
      </tp>
      <tp t="e">
        <v>#N/A</v>
        <stp/>
        <stp>BDH|13111698530136054201</stp>
        <tr r="Y72" s="2"/>
      </tp>
      <tp t="e">
        <v>#N/A</v>
        <stp/>
        <stp>BDH|16813724230248034826</stp>
        <tr r="Z40" s="2"/>
      </tp>
      <tp t="e">
        <v>#N/A</v>
        <stp/>
        <stp>BDH|12262046072223414486</stp>
        <tr r="D12" s="2"/>
      </tp>
      <tp t="e">
        <v>#N/A</v>
        <stp/>
        <stp>BDH|14085142664826851702</stp>
        <tr r="N85" s="2"/>
      </tp>
      <tp t="e">
        <v>#N/A</v>
        <stp/>
        <stp>BDH|17291927382623169786</stp>
        <tr r="W89" s="2"/>
      </tp>
      <tp t="e">
        <v>#N/A</v>
        <stp/>
        <stp>BDH|10477519122953986657</stp>
        <tr r="S44" s="2"/>
      </tp>
      <tp t="e">
        <v>#N/A</v>
        <stp/>
        <stp>BDH|14050267788835276972</stp>
        <tr r="M65" s="2"/>
      </tp>
      <tp t="e">
        <v>#N/A</v>
        <stp/>
        <stp>BDH|10634639896548032582</stp>
        <tr r="Y49" s="2"/>
      </tp>
      <tp t="e">
        <v>#N/A</v>
        <stp/>
        <stp>BDH|12397149429764414716</stp>
        <tr r="H41" s="2"/>
      </tp>
      <tp t="e">
        <v>#N/A</v>
        <stp/>
        <stp>BDH|16341213450722048193</stp>
        <tr r="AK28" s="2"/>
      </tp>
      <tp t="e">
        <v>#N/A</v>
        <stp/>
        <stp>BDH|10442264758115343023</stp>
        <tr r="L77" s="2"/>
      </tp>
      <tp t="e">
        <v>#N/A</v>
        <stp/>
        <stp>BDH|13754741378404931588</stp>
        <tr r="L10" s="2"/>
      </tp>
      <tp t="e">
        <v>#N/A</v>
        <stp/>
        <stp>BDH|17742290032863258741</stp>
        <tr r="F7" s="2"/>
      </tp>
      <tp t="e">
        <v>#N/A</v>
        <stp/>
        <stp>BDH|15807175861620218061</stp>
        <tr r="AP10" s="2"/>
      </tp>
      <tp t="e">
        <v>#N/A</v>
        <stp/>
        <stp>BDH|15307327864177810570</stp>
        <tr r="AA52" s="2"/>
      </tp>
      <tp t="e">
        <v>#N/A</v>
        <stp/>
        <stp>BDH|10996615556934556569</stp>
        <tr r="F67" s="2"/>
      </tp>
      <tp t="e">
        <v>#N/A</v>
        <stp/>
        <stp>BDH|17030470858437669348</stp>
        <tr r="G17" s="2"/>
      </tp>
      <tp t="e">
        <v>#N/A</v>
        <stp/>
        <stp>BDH|15458596972333355619</stp>
        <tr r="AP67" s="2"/>
      </tp>
      <tp t="e">
        <v>#N/A</v>
        <stp/>
        <stp>BDH|13810446321381716676</stp>
        <tr r="AF91" s="2"/>
      </tp>
      <tp t="e">
        <v>#N/A</v>
        <stp/>
        <stp>BDH|18062236952289569493</stp>
        <tr r="O77" s="2"/>
      </tp>
      <tp t="e">
        <v>#N/A</v>
        <stp/>
        <stp>BDH|13862101156850501569</stp>
        <tr r="F83" s="2"/>
      </tp>
      <tp t="e">
        <v>#N/A</v>
        <stp/>
        <stp>BDH|16410992333519693759</stp>
        <tr r="AG70" s="2"/>
      </tp>
      <tp t="e">
        <v>#N/A</v>
        <stp/>
        <stp>BDH|12965455895189308477</stp>
        <tr r="AO43" s="2"/>
      </tp>
      <tp t="e">
        <v>#N/A</v>
        <stp/>
        <stp>BDH|10713373853682923661</stp>
        <tr r="AA68" s="2"/>
      </tp>
      <tp t="e">
        <v>#N/A</v>
        <stp/>
        <stp>BDH|15536964288485631316</stp>
        <tr r="R25" s="2"/>
      </tp>
      <tp t="e">
        <v>#N/A</v>
        <stp/>
        <stp>BDH|10384451038482484763</stp>
        <tr r="AK27" s="2"/>
      </tp>
      <tp t="e">
        <v>#N/A</v>
        <stp/>
        <stp>BDH|10079955446486660994</stp>
        <tr r="P89" s="2"/>
      </tp>
      <tp t="e">
        <v>#N/A</v>
        <stp/>
        <stp>BDH|16167648025905885577</stp>
        <tr r="AP45" s="2"/>
      </tp>
      <tp t="e">
        <v>#N/A</v>
        <stp/>
        <stp>BDH|11969521962376097663</stp>
        <tr r="AA46" s="2"/>
      </tp>
      <tp t="e">
        <v>#N/A</v>
        <stp/>
        <stp>BDH|13936587539440449737</stp>
        <tr r="U15" s="2"/>
      </tp>
      <tp t="e">
        <v>#N/A</v>
        <stp/>
        <stp>BDH|16356472238793753044</stp>
        <tr r="AL85" s="2"/>
      </tp>
      <tp t="e">
        <v>#N/A</v>
        <stp/>
        <stp>BDH|16831931333188343646</stp>
        <tr r="AC66" s="2"/>
      </tp>
      <tp t="e">
        <v>#N/A</v>
        <stp/>
        <stp>BDH|17415812474882780894</stp>
        <tr r="S60" s="2"/>
      </tp>
      <tp t="e">
        <v>#N/A</v>
        <stp/>
        <stp>BDH|13243387034224033514</stp>
        <tr r="C58" s="2"/>
      </tp>
      <tp t="e">
        <v>#N/A</v>
        <stp/>
        <stp>BDH|10699858111513417891</stp>
        <tr r="D85" s="2"/>
      </tp>
      <tp t="e">
        <v>#N/A</v>
        <stp/>
        <stp>BDH|14044219547775932510</stp>
        <tr r="AH88" s="2"/>
      </tp>
      <tp t="e">
        <v>#N/A</v>
        <stp/>
        <stp>BDH|17594534985430811857</stp>
        <tr r="AG65" s="2"/>
      </tp>
      <tp t="e">
        <v>#N/A</v>
        <stp/>
        <stp>BDH|10230226919415392445</stp>
        <tr r="AO55" s="2"/>
      </tp>
      <tp t="e">
        <v>#N/A</v>
        <stp/>
        <stp>BDH|15116155543314805617</stp>
        <tr r="J83" s="2"/>
      </tp>
      <tp t="e">
        <v>#N/A</v>
        <stp/>
        <stp>BDH|12989950992295494545</stp>
        <tr r="N87" s="2"/>
      </tp>
      <tp t="e">
        <v>#N/A</v>
        <stp/>
        <stp>BDH|10870559707726553119</stp>
        <tr r="W29" s="2"/>
      </tp>
      <tp t="e">
        <v>#N/A</v>
        <stp/>
        <stp>BDH|10234202274517077086</stp>
        <tr r="N54" s="2"/>
      </tp>
      <tp t="e">
        <v>#N/A</v>
        <stp/>
        <stp>BDH|17043462864375032339</stp>
        <tr r="C55" s="2"/>
      </tp>
      <tp t="e">
        <v>#N/A</v>
        <stp/>
        <stp>BDH|10812656624391824604</stp>
        <tr r="G46" s="2"/>
      </tp>
      <tp t="e">
        <v>#N/A</v>
        <stp/>
        <stp>BDH|10753735850676105747</stp>
        <tr r="N76" s="2"/>
      </tp>
      <tp t="e">
        <v>#N/A</v>
        <stp/>
        <stp>BDH|10025330500258472867</stp>
        <tr r="AH83" s="2"/>
      </tp>
      <tp t="e">
        <v>#N/A</v>
        <stp/>
        <stp>BDH|10844571054384247785</stp>
        <tr r="M28" s="2"/>
      </tp>
      <tp t="e">
        <v>#N/A</v>
        <stp/>
        <stp>BDH|13826620061714874425</stp>
        <tr r="Q30" s="2"/>
      </tp>
      <tp t="e">
        <v>#N/A</v>
        <stp/>
        <stp>BDH|12191410541463430249</stp>
        <tr r="AF35" s="2"/>
      </tp>
      <tp t="e">
        <v>#N/A</v>
        <stp/>
        <stp>BDH|13195284520659191997</stp>
        <tr r="AC17" s="2"/>
      </tp>
      <tp t="e">
        <v>#N/A</v>
        <stp/>
        <stp>BDH|18143984445826811047</stp>
        <tr r="T64" s="2"/>
      </tp>
      <tp t="e">
        <v>#N/A</v>
        <stp/>
        <stp>BDH|14176470000722366158</stp>
        <tr r="K84" s="2"/>
      </tp>
      <tp t="e">
        <v>#N/A</v>
        <stp/>
        <stp>BDH|10207259430440723203</stp>
        <tr r="J7" s="2"/>
      </tp>
      <tp t="e">
        <v>#N/A</v>
        <stp/>
        <stp>BDH|11033104685892792922</stp>
        <tr r="AL18" s="2"/>
      </tp>
      <tp t="e">
        <v>#N/A</v>
        <stp/>
        <stp>BDH|17873752899069087349</stp>
        <tr r="Z24" s="2"/>
      </tp>
      <tp t="e">
        <v>#N/A</v>
        <stp/>
        <stp>BDH|14272627059043990737</stp>
        <tr r="AM90" s="2"/>
      </tp>
      <tp t="e">
        <v>#N/A</v>
        <stp/>
        <stp>BDH|15724139372382139246</stp>
        <tr r="AI84" s="2"/>
      </tp>
      <tp t="e">
        <v>#N/A</v>
        <stp/>
        <stp>BDH|15055316743252022309</stp>
        <tr r="D68" s="2"/>
      </tp>
      <tp t="e">
        <v>#N/A</v>
        <stp/>
        <stp>BDH|17326095759021092017</stp>
        <tr r="R41" s="2"/>
      </tp>
      <tp t="e">
        <v>#N/A</v>
        <stp/>
        <stp>BDH|11579720634981132703</stp>
        <tr r="K34" s="2"/>
      </tp>
      <tp t="e">
        <v>#N/A</v>
        <stp/>
        <stp>BDH|17989826368552248832</stp>
        <tr r="T57" s="2"/>
      </tp>
      <tp t="e">
        <v>#N/A</v>
        <stp/>
        <stp>BDH|17754584532307779583</stp>
        <tr r="K92" s="2"/>
      </tp>
      <tp t="e">
        <v>#N/A</v>
        <stp/>
        <stp>BDH|16168029703941503473</stp>
        <tr r="L92" s="2"/>
      </tp>
      <tp t="e">
        <v>#N/A</v>
        <stp/>
        <stp>BDH|10683341946971172573</stp>
        <tr r="P48" s="2"/>
      </tp>
      <tp t="e">
        <v>#N/A</v>
        <stp/>
        <stp>BDH|10204377304748204814</stp>
        <tr r="AK26" s="2"/>
      </tp>
      <tp t="e">
        <v>#N/A</v>
        <stp/>
        <stp>BDH|11135005476080058528</stp>
        <tr r="K27" s="2"/>
      </tp>
      <tp t="e">
        <v>#N/A</v>
        <stp/>
        <stp>BDH|12492531955740144167</stp>
        <tr r="W14" s="2"/>
      </tp>
      <tp t="e">
        <v>#N/A</v>
        <stp/>
        <stp>BDH|15412393350708057883</stp>
        <tr r="F82" s="2"/>
      </tp>
      <tp t="e">
        <v>#N/A</v>
        <stp/>
        <stp>BDH|10060314055356383329</stp>
        <tr r="S46" s="2"/>
      </tp>
      <tp t="e">
        <v>#N/A</v>
        <stp/>
        <stp>BDH|17263602227624527457</stp>
        <tr r="AM72" s="2"/>
      </tp>
      <tp t="e">
        <v>#N/A</v>
        <stp/>
        <stp>BDH|13928396722085062474</stp>
        <tr r="AJ45" s="2"/>
      </tp>
      <tp t="e">
        <v>#N/A</v>
        <stp/>
        <stp>BDH|12128973430519320202</stp>
        <tr r="AJ31" s="2"/>
      </tp>
      <tp t="e">
        <v>#N/A</v>
        <stp/>
        <stp>BDH|18053592404836028889</stp>
        <tr r="E69" s="2"/>
      </tp>
      <tp t="e">
        <v>#N/A</v>
        <stp/>
        <stp>BDH|12023758470714174503</stp>
        <tr r="Q74" s="2"/>
      </tp>
      <tp t="e">
        <v>#N/A</v>
        <stp/>
        <stp>BDH|10322271042215487065</stp>
        <tr r="AF89" s="2"/>
      </tp>
      <tp t="e">
        <v>#N/A</v>
        <stp/>
        <stp>BDH|16516403960092672574</stp>
        <tr r="C82" s="2"/>
      </tp>
      <tp t="e">
        <v>#N/A</v>
        <stp/>
        <stp>BDH|11575474034395625042</stp>
        <tr r="G49" s="2"/>
      </tp>
      <tp t="e">
        <v>#N/A</v>
        <stp/>
        <stp>BDH|11100158921697598640</stp>
        <tr r="AG13" s="2"/>
      </tp>
      <tp t="e">
        <v>#N/A</v>
        <stp/>
        <stp>BDH|13561751524311758475</stp>
        <tr r="H40" s="2"/>
      </tp>
      <tp t="e">
        <v>#N/A</v>
        <stp/>
        <stp>BDH|13116775802280916793</stp>
        <tr r="X91" s="2"/>
      </tp>
      <tp t="e">
        <v>#N/A</v>
        <stp/>
        <stp>BDH|11736626730920662747</stp>
        <tr r="AM9" s="2"/>
      </tp>
      <tp t="e">
        <v>#N/A</v>
        <stp/>
        <stp>BDH|15369444664832321679</stp>
        <tr r="D25" s="2"/>
      </tp>
      <tp t="e">
        <v>#N/A</v>
        <stp/>
        <stp>BDH|17446602476853070659</stp>
        <tr r="S54" s="2"/>
      </tp>
      <tp t="e">
        <v>#N/A</v>
        <stp/>
        <stp>BDH|13757653083059052763</stp>
        <tr r="V38" s="2"/>
      </tp>
      <tp t="e">
        <v>#N/A</v>
        <stp/>
        <stp>BDH|16557350593456444903</stp>
        <tr r="U38" s="2"/>
      </tp>
      <tp t="e">
        <v>#N/A</v>
        <stp/>
        <stp>BDH|14243918891990587708</stp>
        <tr r="AN8" s="2"/>
      </tp>
      <tp t="e">
        <v>#N/A</v>
        <stp/>
        <stp>BDH|12878445892375909919</stp>
        <tr r="AB8" s="2"/>
      </tp>
      <tp t="e">
        <v>#N/A</v>
        <stp/>
        <stp>BDH|14381176725674705000</stp>
        <tr r="AN71" s="2"/>
      </tp>
      <tp t="e">
        <v>#N/A</v>
        <stp/>
        <stp>BDH|12779108748674058093</stp>
        <tr r="AJ20" s="2"/>
      </tp>
      <tp t="e">
        <v>#N/A</v>
        <stp/>
        <stp>BDH|10623189427676707681</stp>
        <tr r="R69" s="2"/>
      </tp>
      <tp t="e">
        <v>#N/A</v>
        <stp/>
        <stp>BDH|18191877522122335310</stp>
        <tr r="M83" s="2"/>
      </tp>
      <tp t="e">
        <v>#N/A</v>
        <stp/>
        <stp>BDH|16752750216216376512</stp>
        <tr r="AM44" s="2"/>
      </tp>
      <tp t="e">
        <v>#N/A</v>
        <stp/>
        <stp>BDH|10641763654357018621</stp>
        <tr r="C77" s="2"/>
      </tp>
      <tp t="e">
        <v>#N/A</v>
        <stp/>
        <stp>BDH|12022363012523002020</stp>
        <tr r="AK71" s="2"/>
      </tp>
      <tp t="e">
        <v>#N/A</v>
        <stp/>
        <stp>BDH|11919311351924143015</stp>
        <tr r="L41" s="2"/>
      </tp>
      <tp t="e">
        <v>#N/A</v>
        <stp/>
        <stp>BDH|11137316340831878417</stp>
        <tr r="AL63" s="2"/>
      </tp>
      <tp t="e">
        <v>#N/A</v>
        <stp/>
        <stp>BDH|10426384203427746715</stp>
        <tr r="G8" s="2"/>
      </tp>
      <tp t="e">
        <v>#N/A</v>
        <stp/>
        <stp>BDH|14627618859661690517</stp>
        <tr r="L90" s="2"/>
      </tp>
      <tp t="e">
        <v>#N/A</v>
        <stp/>
        <stp>BDH|11127786775901023344</stp>
        <tr r="AL37" s="2"/>
      </tp>
      <tp t="e">
        <v>#N/A</v>
        <stp/>
        <stp>BDH|13113643327002886620</stp>
        <tr r="X38" s="2"/>
      </tp>
      <tp t="e">
        <v>#N/A</v>
        <stp/>
        <stp>BDH|13441023457977911205</stp>
        <tr r="AP62" s="2"/>
      </tp>
      <tp t="e">
        <v>#N/A</v>
        <stp/>
        <stp>BDH|18399621029149269626</stp>
        <tr r="J51" s="2"/>
      </tp>
      <tp t="e">
        <v>#N/A</v>
        <stp/>
        <stp>BDH|11833588186709706694</stp>
        <tr r="Y20" s="2"/>
      </tp>
      <tp t="e">
        <v>#N/A</v>
        <stp/>
        <stp>BDH|10579220149242080762</stp>
        <tr r="P49" s="2"/>
      </tp>
      <tp t="e">
        <v>#N/A</v>
        <stp/>
        <stp>BDH|10255360950652556798</stp>
        <tr r="I16" s="2"/>
      </tp>
      <tp t="e">
        <v>#N/A</v>
        <stp/>
        <stp>BDH|15475092445645588759</stp>
        <tr r="M61" s="2"/>
      </tp>
      <tp t="e">
        <v>#N/A</v>
        <stp/>
        <stp>BDH|15858735984451676812</stp>
        <tr r="T39" s="2"/>
      </tp>
      <tp t="e">
        <v>#N/A</v>
        <stp/>
        <stp>BDH|11745175742695273285</stp>
        <tr r="C9" s="2"/>
      </tp>
      <tp t="e">
        <v>#N/A</v>
        <stp/>
        <stp>BDH|12002779774082039387</stp>
        <tr r="V64" s="2"/>
      </tp>
      <tp t="e">
        <v>#N/A</v>
        <stp/>
        <stp>BDH|17981800906494548814</stp>
        <tr r="AL71" s="2"/>
      </tp>
      <tp t="e">
        <v>#N/A</v>
        <stp/>
        <stp>BDH|17962104511262541667</stp>
        <tr r="AP51" s="2"/>
      </tp>
      <tp t="e">
        <v>#N/A</v>
        <stp/>
        <stp>BDH|17167080730131331615</stp>
        <tr r="H11" s="2"/>
      </tp>
      <tp t="e">
        <v>#N/A</v>
        <stp/>
        <stp>BDH|10953974313988294341</stp>
        <tr r="AI34" s="2"/>
      </tp>
      <tp t="e">
        <v>#N/A</v>
        <stp/>
        <stp>BDH|13939541737784340221</stp>
        <tr r="N26" s="2"/>
      </tp>
      <tp t="e">
        <v>#N/A</v>
        <stp/>
        <stp>BDH|13081592164307583434</stp>
        <tr r="E55" s="2"/>
      </tp>
      <tp t="e">
        <v>#N/A</v>
        <stp/>
        <stp>BDH|14220230533323885502</stp>
        <tr r="N40" s="2"/>
      </tp>
      <tp t="e">
        <v>#N/A</v>
        <stp/>
        <stp>BDH|12622147754906403386</stp>
        <tr r="AL13" s="2"/>
      </tp>
      <tp t="e">
        <v>#N/A</v>
        <stp/>
        <stp>BDH|11248700524744480382</stp>
        <tr r="C25" s="2"/>
      </tp>
      <tp t="e">
        <v>#N/A</v>
        <stp/>
        <stp>BDH|16904276523887710206</stp>
        <tr r="AB53" s="2"/>
      </tp>
      <tp t="e">
        <v>#N/A</v>
        <stp/>
        <stp>BDH|10593686036816464059</stp>
        <tr r="C54" s="2"/>
      </tp>
      <tp t="e">
        <v>#N/A</v>
        <stp/>
        <stp>BDH|18125866662742858779</stp>
        <tr r="C66" s="2"/>
      </tp>
      <tp t="e">
        <v>#N/A</v>
        <stp/>
        <stp>BDH|11958948149667622885</stp>
        <tr r="H28" s="2"/>
      </tp>
      <tp t="e">
        <v>#N/A</v>
        <stp/>
        <stp>BDH|16756198214060865588</stp>
        <tr r="D46" s="2"/>
      </tp>
      <tp t="e">
        <v>#N/A</v>
        <stp/>
        <stp>BDH|10233661341041728082</stp>
        <tr r="N34" s="2"/>
      </tp>
      <tp t="e">
        <v>#N/A</v>
        <stp/>
        <stp>BDH|18258987723024654457</stp>
        <tr r="F56" s="2"/>
      </tp>
      <tp t="e">
        <v>#N/A</v>
        <stp/>
        <stp>BDH|15715941135509925551</stp>
        <tr r="AL53" s="2"/>
      </tp>
      <tp t="e">
        <v>#N/A</v>
        <stp/>
        <stp>BDH|12457054193570699892</stp>
        <tr r="M34" s="2"/>
      </tp>
      <tp t="e">
        <v>#N/A</v>
        <stp/>
        <stp>BDH|12141365257123987447</stp>
        <tr r="AO20" s="2"/>
      </tp>
      <tp t="e">
        <v>#N/A</v>
        <stp/>
        <stp>BDH|16889467849451962432</stp>
        <tr r="C60" s="2"/>
      </tp>
      <tp t="e">
        <v>#N/A</v>
        <stp/>
        <stp>BDH|11513587444652771138</stp>
        <tr r="D75" s="2"/>
      </tp>
      <tp t="e">
        <v>#N/A</v>
        <stp/>
        <stp>BDH|11036027198469471234</stp>
        <tr r="E48" s="2"/>
      </tp>
      <tp t="e">
        <v>#N/A</v>
        <stp/>
        <stp>BDH|12724792715007646003</stp>
        <tr r="AK41" s="2"/>
      </tp>
      <tp t="e">
        <v>#N/A</v>
        <stp/>
        <stp>BDH|17437197736831623714</stp>
        <tr r="R34" s="2"/>
      </tp>
      <tp t="e">
        <v>#N/A</v>
        <stp/>
        <stp>BDH|13674660875893100286</stp>
        <tr r="D83" s="2"/>
      </tp>
      <tp t="e">
        <v>#N/A</v>
        <stp/>
        <stp>BDH|13941667846731523306</stp>
        <tr r="S72" s="2"/>
      </tp>
      <tp t="e">
        <v>#N/A</v>
        <stp/>
        <stp>BDH|10631247751506636292</stp>
        <tr r="Z69" s="2"/>
      </tp>
      <tp t="e">
        <v>#N/A</v>
        <stp/>
        <stp>BDH|17991829010958752508</stp>
        <tr r="Q41" s="2"/>
      </tp>
      <tp t="e">
        <v>#N/A</v>
        <stp/>
        <stp>BDH|12871809346505826890</stp>
        <tr r="J62" s="2"/>
      </tp>
      <tp t="e">
        <v>#N/A</v>
        <stp/>
        <stp>BDH|11487111361012952722</stp>
        <tr r="AL9" s="2"/>
      </tp>
      <tp t="e">
        <v>#N/A</v>
        <stp/>
        <stp>BDH|17087102669260414329</stp>
        <tr r="D82" s="2"/>
      </tp>
      <tp t="e">
        <v>#N/A</v>
        <stp/>
        <stp>BDH|16937783324876221692</stp>
        <tr r="AF72" s="2"/>
      </tp>
      <tp t="e">
        <v>#N/A</v>
        <stp/>
        <stp>BDH|18382673259768751047</stp>
        <tr r="AB61" s="2"/>
      </tp>
      <tp t="e">
        <v>#N/A</v>
        <stp/>
        <stp>BDH|15187630497018802136</stp>
        <tr r="T10" s="2"/>
      </tp>
      <tp t="e">
        <v>#N/A</v>
        <stp/>
        <stp>BDH|16474280423792089716</stp>
        <tr r="AP63" s="2"/>
      </tp>
      <tp t="e">
        <v>#N/A</v>
        <stp/>
        <stp>BDH|17869226292607387852</stp>
        <tr r="P59" s="2"/>
      </tp>
      <tp t="e">
        <v>#N/A</v>
        <stp/>
        <stp>BDH|12483376175361444732</stp>
        <tr r="AD75" s="2"/>
      </tp>
      <tp t="e">
        <v>#N/A</v>
        <stp/>
        <stp>BDH|18385125390480276024</stp>
        <tr r="AB36" s="2"/>
      </tp>
      <tp t="e">
        <v>#N/A</v>
        <stp/>
        <stp>BDH|14159204126815109170</stp>
        <tr r="O56" s="2"/>
      </tp>
      <tp t="e">
        <v>#N/A</v>
        <stp/>
        <stp>BDH|10431333344875720254</stp>
        <tr r="AM70" s="2"/>
      </tp>
      <tp t="e">
        <v>#N/A</v>
        <stp/>
        <stp>BDH|15099952109889427590</stp>
        <tr r="AB16" s="2"/>
      </tp>
      <tp t="e">
        <v>#N/A</v>
        <stp/>
        <stp>BDH|16766735400607074653</stp>
        <tr r="E50" s="2"/>
      </tp>
      <tp t="e">
        <v>#N/A</v>
        <stp/>
        <stp>BDH|11371142259640650591</stp>
        <tr r="E68" s="2"/>
      </tp>
      <tp t="e">
        <v>#N/A</v>
        <stp/>
        <stp>BDH|16744773421646033505</stp>
        <tr r="AD27" s="2"/>
      </tp>
      <tp t="e">
        <v>#N/A</v>
        <stp/>
        <stp>BDH|12827271478571440624</stp>
        <tr r="AD10" s="2"/>
      </tp>
      <tp t="e">
        <v>#N/A</v>
        <stp/>
        <stp>BDH|10134367323134357566</stp>
        <tr r="F24" s="2"/>
      </tp>
      <tp t="e">
        <v>#N/A</v>
        <stp/>
        <stp>BDH|13365136520853708377</stp>
        <tr r="AF51" s="2"/>
      </tp>
      <tp t="e">
        <v>#N/A</v>
        <stp/>
        <stp>BDH|14961501048914490158</stp>
        <tr r="P60" s="2"/>
      </tp>
      <tp t="e">
        <v>#N/A</v>
        <stp/>
        <stp>BDH|11978267379287433322</stp>
        <tr r="X10" s="2"/>
      </tp>
      <tp t="e">
        <v>#N/A</v>
        <stp/>
        <stp>BDH|17686797515853849221</stp>
        <tr r="U8" s="2"/>
      </tp>
      <tp t="e">
        <v>#N/A</v>
        <stp/>
        <stp>BDH|17941531439918663958</stp>
        <tr r="J44" s="2"/>
      </tp>
      <tp t="e">
        <v>#N/A</v>
        <stp/>
        <stp>BDH|16884124728177594274</stp>
        <tr r="S58" s="2"/>
      </tp>
      <tp t="e">
        <v>#N/A</v>
        <stp/>
        <stp>BDH|12126641666413586169</stp>
        <tr r="AJ90" s="2"/>
      </tp>
      <tp t="e">
        <v>#N/A</v>
        <stp/>
        <stp>BDH|12786546663989816882</stp>
        <tr r="J30" s="2"/>
      </tp>
      <tp t="e">
        <v>#N/A</v>
        <stp/>
        <stp>BDH|16600574602607816488</stp>
        <tr r="U19" s="2"/>
      </tp>
      <tp t="e">
        <v>#N/A</v>
        <stp/>
        <stp>BDH|11308601823954037130</stp>
        <tr r="AA20" s="2"/>
      </tp>
      <tp t="e">
        <v>#N/A</v>
        <stp/>
        <stp>BDH|14675177062266201529</stp>
        <tr r="AD83" s="2"/>
      </tp>
      <tp t="e">
        <v>#N/A</v>
        <stp/>
        <stp>BDH|14304940410338398472</stp>
        <tr r="AD19" s="2"/>
      </tp>
      <tp t="e">
        <v>#N/A</v>
        <stp/>
        <stp>BDH|15527642714721641300</stp>
        <tr r="AL29" s="2"/>
      </tp>
      <tp t="e">
        <v>#N/A</v>
        <stp/>
        <stp>BDH|14382422939722993124</stp>
        <tr r="Q49" s="2"/>
      </tp>
      <tp t="e">
        <v>#N/A</v>
        <stp/>
        <stp>BDH|16407690985558304082</stp>
        <tr r="AC65" s="2"/>
      </tp>
      <tp t="e">
        <v>#N/A</v>
        <stp/>
        <stp>BDH|14853333828696420346</stp>
        <tr r="AJ57" s="2"/>
      </tp>
      <tp t="e">
        <v>#N/A</v>
        <stp/>
        <stp>BDH|13687041739723155380</stp>
        <tr r="G88" s="2"/>
      </tp>
      <tp t="e">
        <v>#N/A</v>
        <stp/>
        <stp>BDH|14973875136328392791</stp>
        <tr r="W21" s="2"/>
      </tp>
      <tp t="e">
        <v>#N/A</v>
        <stp/>
        <stp>BDH|17627733113729637827</stp>
        <tr r="M56" s="2"/>
      </tp>
      <tp t="e">
        <v>#N/A</v>
        <stp/>
        <stp>BDH|10563208301907121575</stp>
        <tr r="P15" s="2"/>
      </tp>
      <tp t="e">
        <v>#N/A</v>
        <stp/>
        <stp>BDH|13275556428633959745</stp>
        <tr r="T19" s="2"/>
      </tp>
      <tp t="e">
        <v>#N/A</v>
        <stp/>
        <stp>BDH|17021871815237255922</stp>
        <tr r="AA29" s="2"/>
      </tp>
      <tp t="e">
        <v>#N/A</v>
        <stp/>
        <stp>BDH|12313217247701612516</stp>
        <tr r="AM49" s="2"/>
      </tp>
      <tp t="e">
        <v>#N/A</v>
        <stp/>
        <stp>BDH|12810866285074954606</stp>
        <tr r="AJ77" s="2"/>
      </tp>
      <tp t="e">
        <v>#N/A</v>
        <stp/>
        <stp>BDH|12068741843311377018</stp>
        <tr r="AP40" s="2"/>
      </tp>
      <tp t="e">
        <v>#N/A</v>
        <stp/>
        <stp>BDH|17218960386625141360</stp>
        <tr r="S62" s="2"/>
      </tp>
      <tp t="e">
        <v>#N/A</v>
        <stp/>
        <stp>BDH|14324713076387479356</stp>
        <tr r="AM23" s="2"/>
      </tp>
      <tp t="e">
        <v>#N/A</v>
        <stp/>
        <stp>BDH|12589154316342388004</stp>
        <tr r="AH69" s="2"/>
      </tp>
      <tp t="e">
        <v>#N/A</v>
        <stp/>
        <stp>BDH|15030060686475203874</stp>
        <tr r="AE82" s="2"/>
      </tp>
      <tp t="e">
        <v>#N/A</v>
        <stp/>
        <stp>BDH|17108167346325617727</stp>
        <tr r="C48" s="2"/>
      </tp>
      <tp t="e">
        <v>#N/A</v>
        <stp/>
        <stp>BDH|16735234201174162017</stp>
        <tr r="L83" s="2"/>
      </tp>
      <tp t="e">
        <v>#N/A</v>
        <stp/>
        <stp>BDH|14517313055304336676</stp>
        <tr r="G76" s="2"/>
      </tp>
      <tp t="e">
        <v>#N/A</v>
        <stp/>
        <stp>BDH|17652064158885582798</stp>
        <tr r="AD47" s="2"/>
      </tp>
      <tp t="e">
        <v>#N/A</v>
        <stp/>
        <stp>BDH|17093052466925130469</stp>
        <tr r="J14" s="2"/>
      </tp>
      <tp t="e">
        <v>#N/A</v>
        <stp/>
        <stp>BDH|13715223661777647069</stp>
        <tr r="W43" s="2"/>
      </tp>
      <tp t="e">
        <v>#N/A</v>
        <stp/>
        <stp>BDH|15087370395219470622</stp>
        <tr r="AL62" s="2"/>
      </tp>
      <tp t="e">
        <v>#N/A</v>
        <stp/>
        <stp>BDH|11522035816908463806</stp>
        <tr r="AO88" s="2"/>
      </tp>
      <tp t="e">
        <v>#N/A</v>
        <stp/>
        <stp>BDH|16841954581874162398</stp>
        <tr r="AK87" s="2"/>
      </tp>
      <tp t="e">
        <v>#N/A</v>
        <stp/>
        <stp>BDH|18099976515742116243</stp>
        <tr r="AL88" s="2"/>
      </tp>
      <tp t="e">
        <v>#N/A</v>
        <stp/>
        <stp>BDH|12495264873566017168</stp>
        <tr r="AD31" s="2"/>
      </tp>
      <tp t="e">
        <v>#N/A</v>
        <stp/>
        <stp>BDH|10874322275623853707</stp>
        <tr r="N18" s="2"/>
      </tp>
      <tp t="e">
        <v>#N/A</v>
        <stp/>
        <stp>BDH|12094616686919445542</stp>
        <tr r="AF87" s="2"/>
      </tp>
      <tp t="e">
        <v>#N/A</v>
        <stp/>
        <stp>BDH|17022436990102595818</stp>
        <tr r="R74" s="2"/>
      </tp>
      <tp t="e">
        <v>#N/A</v>
        <stp/>
        <stp>BDH|10368028904190314004</stp>
        <tr r="AO67" s="2"/>
      </tp>
      <tp t="e">
        <v>#N/A</v>
        <stp/>
        <stp>BDH|11513312430065184431</stp>
        <tr r="Y68" s="2"/>
      </tp>
      <tp t="e">
        <v>#N/A</v>
        <stp/>
        <stp>BDH|10270283623886856670</stp>
        <tr r="W28" s="2"/>
      </tp>
      <tp t="e">
        <v>#N/A</v>
        <stp/>
        <stp>BDH|17865076772298985825</stp>
        <tr r="C20" s="2"/>
      </tp>
      <tp t="e">
        <v>#N/A</v>
        <stp/>
        <stp>BDH|17597687527697576491</stp>
        <tr r="C74" s="2"/>
      </tp>
      <tp t="e">
        <v>#N/A</v>
        <stp/>
        <stp>BDH|16264293423004705298</stp>
        <tr r="J58" s="2"/>
      </tp>
      <tp t="e">
        <v>#N/A</v>
        <stp/>
        <stp>BDH|16038201394209798458</stp>
        <tr r="C56" s="2"/>
      </tp>
      <tp t="e">
        <v>#N/A</v>
        <stp/>
        <stp>BDH|12365771907766623335</stp>
        <tr r="V67" s="2"/>
      </tp>
      <tp t="e">
        <v>#N/A</v>
        <stp/>
        <stp>BDH|12161786455272974233</stp>
        <tr r="Z54" s="2"/>
      </tp>
      <tp t="e">
        <v>#N/A</v>
        <stp/>
        <stp>BDH|12638071700807274558</stp>
        <tr r="Y21" s="2"/>
      </tp>
      <tp t="e">
        <v>#N/A</v>
        <stp/>
        <stp>BDH|17024113461614000463</stp>
        <tr r="V8" s="2"/>
      </tp>
      <tp t="e">
        <v>#N/A</v>
        <stp/>
        <stp>BDH|15281576368184395278</stp>
        <tr r="L89" s="2"/>
      </tp>
      <tp t="e">
        <v>#N/A</v>
        <stp/>
        <stp>BDH|13948706575622327164</stp>
        <tr r="I28" s="2"/>
      </tp>
      <tp t="e">
        <v>#N/A</v>
        <stp/>
        <stp>BDH|16783097372801464008</stp>
        <tr r="AO77" s="2"/>
      </tp>
      <tp t="e">
        <v>#N/A</v>
        <stp/>
        <stp>BDH|13470066718603307112</stp>
        <tr r="I81" s="2"/>
      </tp>
      <tp t="e">
        <v>#N/A</v>
        <stp/>
        <stp>BDH|11288139220485952704</stp>
        <tr r="AN17" s="2"/>
      </tp>
      <tp t="e">
        <v>#N/A</v>
        <stp/>
        <stp>BDH|11639633328026247349</stp>
        <tr r="AC18" s="2"/>
      </tp>
      <tp t="e">
        <v>#N/A</v>
        <stp/>
        <stp>BDH|14424188137217174112</stp>
        <tr r="AH23" s="2"/>
      </tp>
      <tp t="e">
        <v>#N/A</v>
        <stp/>
        <stp>BDH|10710521059288168867</stp>
        <tr r="AH39" s="2"/>
      </tp>
      <tp t="e">
        <v>#N/A</v>
        <stp/>
        <stp>BDH|10334679209803154572</stp>
        <tr r="E7" s="2"/>
      </tp>
      <tp t="e">
        <v>#N/A</v>
        <stp/>
        <stp>BDH|16643235572256427585</stp>
        <tr r="AG58" s="2"/>
      </tp>
      <tp t="e">
        <v>#N/A</v>
        <stp/>
        <stp>BDH|17953298095158676491</stp>
        <tr r="AI14" s="2"/>
      </tp>
      <tp t="e">
        <v>#N/A</v>
        <stp/>
        <stp>BDH|17985360476074496779</stp>
        <tr r="D88" s="2"/>
      </tp>
      <tp t="e">
        <v>#N/A</v>
        <stp/>
        <stp>BDH|10535455033832095599</stp>
        <tr r="AM38" s="2"/>
      </tp>
      <tp t="e">
        <v>#N/A</v>
        <stp/>
        <stp>BDH|12355198549211066694</stp>
        <tr r="R75" s="2"/>
      </tp>
      <tp t="e">
        <v>#N/A</v>
        <stp/>
        <stp>BDH|15770387466784200414</stp>
        <tr r="AK48" s="2"/>
      </tp>
      <tp t="e">
        <v>#N/A</v>
        <stp/>
        <stp>BDH|13942759057129994887</stp>
        <tr r="G61" s="2"/>
      </tp>
      <tp t="e">
        <v>#N/A</v>
        <stp/>
        <stp>BDH|14964505470614173222</stp>
        <tr r="AH35" s="2"/>
      </tp>
      <tp t="e">
        <v>#N/A</v>
        <stp/>
        <stp>BDH|16803362245421106000</stp>
        <tr r="C53" s="2"/>
      </tp>
      <tp t="e">
        <v>#N/A</v>
        <stp/>
        <stp>BDH|17917108766146404665</stp>
        <tr r="U64" s="2"/>
      </tp>
      <tp t="e">
        <v>#N/A</v>
        <stp/>
        <stp>BDH|12860157504057168450</stp>
        <tr r="AA57" s="2"/>
      </tp>
      <tp t="e">
        <v>#N/A</v>
        <stp/>
        <stp>BDH|16891535040601700601</stp>
        <tr r="T23" s="2"/>
      </tp>
      <tp t="e">
        <v>#N/A</v>
        <stp/>
        <stp>BDH|14540235059230199320</stp>
        <tr r="Q17" s="2"/>
      </tp>
      <tp t="e">
        <v>#N/A</v>
        <stp/>
        <stp>BDH|11650449443565924441</stp>
        <tr r="C23" s="2"/>
      </tp>
      <tp t="e">
        <v>#N/A</v>
        <stp/>
        <stp>BDH|10204222859754316367</stp>
        <tr r="X84" s="2"/>
      </tp>
      <tp t="e">
        <v>#N/A</v>
        <stp/>
        <stp>BDH|12594189372343633751</stp>
        <tr r="H16" s="2"/>
      </tp>
      <tp t="e">
        <v>#N/A</v>
        <stp/>
        <stp>BDH|13054502884219956726</stp>
        <tr r="AG82" s="2"/>
      </tp>
      <tp t="e">
        <v>#N/A</v>
        <stp/>
        <stp>BDH|12157373260106117180</stp>
        <tr r="AE85" s="2"/>
      </tp>
      <tp t="e">
        <v>#N/A</v>
        <stp/>
        <stp>BDH|12992690278273798006</stp>
        <tr r="AK64" s="2"/>
      </tp>
      <tp t="e">
        <v>#N/A</v>
        <stp/>
        <stp>BDH|14694177973734896654</stp>
        <tr r="AN26" s="2"/>
      </tp>
      <tp t="e">
        <v>#N/A</v>
        <stp/>
        <stp>BDH|17628186360254382436</stp>
        <tr r="AE69" s="2"/>
      </tp>
      <tp t="e">
        <v>#N/A</v>
        <stp/>
        <stp>BDH|16656467438546066769</stp>
        <tr r="AI83" s="2"/>
      </tp>
      <tp t="e">
        <v>#N/A</v>
        <stp/>
        <stp>BDH|10823853195938655901</stp>
        <tr r="Q83" s="2"/>
      </tp>
      <tp t="e">
        <v>#N/A</v>
        <stp/>
        <stp>BDH|13715989570498070519</stp>
        <tr r="AN54" s="2"/>
      </tp>
      <tp t="e">
        <v>#N/A</v>
        <stp/>
        <stp>BDH|17951671272585471363</stp>
        <tr r="E62" s="2"/>
      </tp>
      <tp t="e">
        <v>#N/A</v>
        <stp/>
        <stp>BDH|17071295503592021741</stp>
        <tr r="K23" s="2"/>
      </tp>
      <tp t="e">
        <v>#N/A</v>
        <stp/>
        <stp>BDH|13803151655007088197</stp>
        <tr r="AI27" s="2"/>
      </tp>
      <tp t="e">
        <v>#N/A</v>
        <stp/>
        <stp>BDH|16805663625963214085</stp>
        <tr r="AA48" s="2"/>
      </tp>
      <tp t="e">
        <v>#N/A</v>
        <stp/>
        <stp>BDH|17427509975442697665</stp>
        <tr r="AC11" s="2"/>
      </tp>
      <tp t="e">
        <v>#N/A</v>
        <stp/>
        <stp>BDH|17690504255927120135</stp>
        <tr r="AJ74" s="2"/>
      </tp>
      <tp t="e">
        <v>#N/A</v>
        <stp/>
        <stp>BDH|18202504276512087959</stp>
        <tr r="X87" s="2"/>
      </tp>
      <tp t="e">
        <v>#N/A</v>
        <stp/>
        <stp>BDH|16446274043846695776</stp>
        <tr r="S39" s="2"/>
      </tp>
      <tp t="e">
        <v>#N/A</v>
        <stp/>
        <stp>BDH|12640512757114408751</stp>
        <tr r="I15" s="2"/>
      </tp>
      <tp t="e">
        <v>#N/A</v>
        <stp/>
        <stp>BDH|17447663617693002247</stp>
        <tr r="AL65" s="2"/>
      </tp>
      <tp t="e">
        <v>#N/A</v>
        <stp/>
        <stp>BDH|13347244500758091868</stp>
        <tr r="AD87" s="2"/>
      </tp>
      <tp t="e">
        <v>#N/A</v>
        <stp/>
        <stp>BDH|15632302457212812099</stp>
        <tr r="AP57" s="2"/>
      </tp>
      <tp t="e">
        <v>#N/A</v>
        <stp/>
        <stp>BDH|15147171641033474239</stp>
        <tr r="Q66" s="2"/>
      </tp>
      <tp t="e">
        <v>#N/A</v>
        <stp/>
        <stp>BDH|17440397542859736884</stp>
        <tr r="AP56" s="2"/>
      </tp>
      <tp t="e">
        <v>#N/A</v>
        <stp/>
        <stp>BDH|11776290972120817546</stp>
        <tr r="U81" s="2"/>
      </tp>
      <tp t="e">
        <v>#N/A</v>
        <stp/>
        <stp>BDH|12293292735935864764</stp>
        <tr r="K90" s="2"/>
      </tp>
      <tp t="e">
        <v>#N/A</v>
        <stp/>
        <stp>BDH|13920426829626679245</stp>
        <tr r="Y28" s="2"/>
      </tp>
      <tp t="e">
        <v>#N/A</v>
        <stp/>
        <stp>BDH|10490069524001518236</stp>
        <tr r="N53" s="2"/>
      </tp>
      <tp t="e">
        <v>#N/A</v>
        <stp/>
        <stp>BDH|13569321801294492529</stp>
        <tr r="M59" s="2"/>
      </tp>
      <tp t="e">
        <v>#N/A</v>
        <stp/>
        <stp>BDH|10619605428011454499</stp>
        <tr r="O45" s="2"/>
      </tp>
      <tp t="e">
        <v>#N/A</v>
        <stp/>
        <stp>BDH|16449936810627329878</stp>
        <tr r="AN86" s="2"/>
      </tp>
      <tp t="e">
        <v>#N/A</v>
        <stp/>
        <stp>BDH|15051317851884775640</stp>
        <tr r="Z37" s="2"/>
      </tp>
      <tp t="e">
        <v>#N/A</v>
        <stp/>
        <stp>BDH|17329705623121794243</stp>
        <tr r="N64" s="2"/>
      </tp>
      <tp t="e">
        <v>#N/A</v>
        <stp/>
        <stp>BDH|15080567307830123132</stp>
        <tr r="H87" s="2"/>
      </tp>
      <tp t="e">
        <v>#N/A</v>
        <stp/>
        <stp>BDH|11908186771810100634</stp>
        <tr r="E84" s="2"/>
      </tp>
      <tp t="e">
        <v>#N/A</v>
        <stp/>
        <stp>BDH|13789137983258527305</stp>
        <tr r="W85" s="2"/>
      </tp>
      <tp t="e">
        <v>#N/A</v>
        <stp/>
        <stp>BDH|12816485110151753755</stp>
        <tr r="AL7" s="2"/>
      </tp>
      <tp t="e">
        <v>#N/A</v>
        <stp/>
        <stp>BDH|12645112335022121310</stp>
        <tr r="U24" s="2"/>
      </tp>
      <tp t="e">
        <v>#N/A</v>
        <stp/>
        <stp>BDH|15024965855738678073</stp>
        <tr r="AA34" s="2"/>
      </tp>
      <tp t="e">
        <v>#N/A</v>
        <stp/>
        <stp>BDH|16767279233413077565</stp>
        <tr r="G62" s="2"/>
      </tp>
      <tp t="e">
        <v>#N/A</v>
        <stp/>
        <stp>BDH|10627971635593419859</stp>
        <tr r="AE67" s="2"/>
      </tp>
      <tp t="e">
        <v>#N/A</v>
        <stp/>
        <stp>BDH|17510733961696163133</stp>
        <tr r="AB48" s="2"/>
      </tp>
      <tp t="e">
        <v>#N/A</v>
        <stp/>
        <stp>BDH|15224066495419583418</stp>
        <tr r="AB44" s="2"/>
      </tp>
      <tp t="e">
        <v>#N/A</v>
        <stp/>
        <stp>BDH|16595760908041779187</stp>
        <tr r="F63" s="2"/>
      </tp>
      <tp t="e">
        <v>#N/A</v>
        <stp/>
        <stp>BDH|15592807807735369957</stp>
        <tr r="J40" s="2"/>
      </tp>
      <tp t="e">
        <v>#N/A</v>
        <stp/>
        <stp>BDH|12659407312494788270</stp>
        <tr r="G39" s="2"/>
      </tp>
      <tp t="e">
        <v>#N/A</v>
        <stp/>
        <stp>BDH|13864442258186794572</stp>
        <tr r="AB38" s="2"/>
      </tp>
      <tp t="e">
        <v>#N/A</v>
        <stp/>
        <stp>BDH|16519178737881867491</stp>
        <tr r="K63" s="2"/>
      </tp>
      <tp t="e">
        <v>#N/A</v>
        <stp/>
        <stp>BDH|15231927518874678894</stp>
        <tr r="R21" s="2"/>
      </tp>
      <tp t="e">
        <v>#N/A</v>
        <stp/>
        <stp>BDH|17540541486102017908</stp>
        <tr r="D17" s="2"/>
      </tp>
      <tp t="e">
        <v>#N/A</v>
        <stp/>
        <stp>BDH|12052146803246246427</stp>
        <tr r="AD14" s="2"/>
      </tp>
      <tp t="e">
        <v>#N/A</v>
        <stp/>
        <stp>BDH|10764356961326739236</stp>
        <tr r="K56" s="2"/>
      </tp>
      <tp t="e">
        <v>#N/A</v>
        <stp/>
        <stp>BDH|10008395866577096393</stp>
        <tr r="W16" s="2"/>
      </tp>
      <tp t="e">
        <v>#N/A</v>
        <stp/>
        <stp>BDH|12961634548133697220</stp>
        <tr r="AF63" s="2"/>
      </tp>
      <tp t="e">
        <v>#N/A</v>
        <stp/>
        <stp>BDH|13060179637605128572</stp>
        <tr r="P87" s="2"/>
      </tp>
      <tp t="e">
        <v>#N/A</v>
        <stp/>
        <stp>BDH|16482507822463848382</stp>
        <tr r="AO91" s="2"/>
      </tp>
      <tp t="e">
        <v>#N/A</v>
        <stp/>
        <stp>BDH|10669062286808285126</stp>
        <tr r="AD77" s="2"/>
      </tp>
      <tp t="e">
        <v>#N/A</v>
        <stp/>
        <stp>BDH|12052031131645114553</stp>
        <tr r="AM56" s="2"/>
      </tp>
      <tp t="e">
        <v>#N/A</v>
        <stp/>
        <stp>BDH|12794728438363098443</stp>
        <tr r="I39" s="2"/>
      </tp>
      <tp t="e">
        <v>#N/A</v>
        <stp/>
        <stp>BDH|13082362639406740418</stp>
        <tr r="AM58" s="2"/>
      </tp>
      <tp t="e">
        <v>#N/A</v>
        <stp/>
        <stp>BDH|13358992187680045342</stp>
        <tr r="AA58" s="2"/>
      </tp>
      <tp t="e">
        <v>#N/A</v>
        <stp/>
        <stp>BDH|16593085860711494010</stp>
        <tr r="AF15" s="2"/>
      </tp>
      <tp t="e">
        <v>#N/A</v>
        <stp/>
        <stp>BDH|17879541813095063771</stp>
        <tr r="E16" s="2"/>
      </tp>
      <tp t="e">
        <v>#N/A</v>
        <stp/>
        <stp>BDH|11487107310917458783</stp>
        <tr r="D27" s="2"/>
      </tp>
      <tp t="e">
        <v>#N/A</v>
        <stp/>
        <stp>BDH|18174514720276988819</stp>
        <tr r="R86" s="2"/>
      </tp>
      <tp t="e">
        <v>#N/A</v>
        <stp/>
        <stp>BDH|15644788429384796586</stp>
        <tr r="AL86" s="2"/>
      </tp>
      <tp t="e">
        <v>#N/A</v>
        <stp/>
        <stp>BDH|15409697943385129376</stp>
        <tr r="O54" s="2"/>
      </tp>
      <tp t="e">
        <v>#N/A</v>
        <stp/>
        <stp>BDH|11604933460338461793</stp>
        <tr r="AL27" s="2"/>
      </tp>
      <tp t="e">
        <v>#N/A</v>
        <stp/>
        <stp>BDH|15305122846795540498</stp>
        <tr r="C89" s="2"/>
      </tp>
      <tp t="e">
        <v>#N/A</v>
        <stp/>
        <stp>BDH|15483613257044955300</stp>
        <tr r="AN23" s="2"/>
      </tp>
      <tp t="e">
        <v>#N/A</v>
        <stp/>
        <stp>BDH|14812399212387942012</stp>
        <tr r="J59" s="2"/>
      </tp>
      <tp t="e">
        <v>#N/A</v>
        <stp/>
        <stp>BDH|14281490888420882905</stp>
        <tr r="AE11" s="2"/>
      </tp>
      <tp t="e">
        <v>#N/A</v>
        <stp/>
        <stp>BDH|12659690404100733577</stp>
        <tr r="AL12" s="2"/>
      </tp>
      <tp t="e">
        <v>#N/A</v>
        <stp/>
        <stp>BDH|13262104531282874200</stp>
        <tr r="AB31" s="2"/>
      </tp>
      <tp t="e">
        <v>#N/A</v>
        <stp/>
        <stp>BDH|16570600629823003078</stp>
        <tr r="AB43" s="2"/>
      </tp>
      <tp t="e">
        <v>#N/A</v>
        <stp/>
        <stp>BDH|12450720411867964241</stp>
        <tr r="P44" s="2"/>
      </tp>
      <tp t="e">
        <v>#N/A</v>
        <stp/>
        <stp>BDH|16228020029165407074</stp>
        <tr r="AM87" s="2"/>
      </tp>
      <tp t="e">
        <v>#N/A</v>
        <stp/>
        <stp>BDH|15530884213239056447</stp>
        <tr r="D40" s="2"/>
      </tp>
      <tp t="e">
        <v>#N/A</v>
        <stp/>
        <stp>BDH|14071866309544723959</stp>
        <tr r="AM31" s="2"/>
      </tp>
      <tp t="e">
        <v>#N/A</v>
        <stp/>
        <stp>BDH|15609763816695361780</stp>
        <tr r="AC29" s="2"/>
      </tp>
      <tp t="e">
        <v>#N/A</v>
        <stp/>
        <stp>BDH|10778185212228512953</stp>
        <tr r="AL39" s="2"/>
      </tp>
      <tp t="e">
        <v>#N/A</v>
        <stp/>
        <stp>BDH|15878151175754508603</stp>
        <tr r="AK29" s="2"/>
      </tp>
      <tp t="e">
        <v>#N/A</v>
        <stp/>
        <stp>BDH|13558151159144137251</stp>
        <tr r="D41" s="2"/>
      </tp>
      <tp t="e">
        <v>#N/A</v>
        <stp/>
        <stp>BDH|16569551708645636734</stp>
        <tr r="T7" s="2"/>
      </tp>
      <tp t="e">
        <v>#N/A</v>
        <stp/>
        <stp>BDH|12128167951703828436</stp>
        <tr r="K15" s="2"/>
      </tp>
      <tp t="e">
        <v>#N/A</v>
        <stp/>
        <stp>BDH|17117549778551358521</stp>
        <tr r="S19" s="2"/>
      </tp>
      <tp t="e">
        <v>#N/A</v>
        <stp/>
        <stp>BDH|12843261059416296299</stp>
        <tr r="F66" s="2"/>
      </tp>
      <tp t="e">
        <v>#N/A</v>
        <stp/>
        <stp>BDH|17651297230051676651</stp>
        <tr r="K85" s="2"/>
      </tp>
      <tp t="e">
        <v>#N/A</v>
        <stp/>
        <stp>BDH|15153687987163781963</stp>
        <tr r="H43" s="2"/>
      </tp>
      <tp t="e">
        <v>#N/A</v>
        <stp/>
        <stp>BDH|13605555236213288780</stp>
        <tr r="J77" s="2"/>
      </tp>
      <tp t="e">
        <v>#N/A</v>
        <stp/>
        <stp>BDH|17498150269564465537</stp>
        <tr r="K81" s="2"/>
      </tp>
      <tp t="e">
        <v>#N/A</v>
        <stp/>
        <stp>BDH|15219881597326481368</stp>
        <tr r="C14" s="2"/>
      </tp>
      <tp t="e">
        <v>#N/A</v>
        <stp/>
        <stp>BDH|13256677400485904137</stp>
        <tr r="AN19" s="2"/>
      </tp>
      <tp t="e">
        <v>#N/A</v>
        <stp/>
        <stp>BDH|17981737048947973240</stp>
        <tr r="AO30" s="2"/>
      </tp>
      <tp t="e">
        <v>#N/A</v>
        <stp/>
        <stp>BDH|14846627178597934342</stp>
        <tr r="U60" s="2"/>
      </tp>
      <tp t="e">
        <v>#N/A</v>
        <stp/>
        <stp>BDH|15309199842942133367</stp>
        <tr r="Q77" s="2"/>
      </tp>
      <tp t="e">
        <v>#N/A</v>
        <stp/>
        <stp>BDH|13411099537390498101</stp>
        <tr r="S36" s="2"/>
      </tp>
      <tp t="e">
        <v>#N/A</v>
        <stp/>
        <stp>BDH|16089190308231896776</stp>
        <tr r="AJ35" s="2"/>
      </tp>
      <tp t="e">
        <v>#N/A</v>
        <stp/>
        <stp>BDH|17116837490246498188</stp>
        <tr r="Z11" s="2"/>
      </tp>
      <tp t="e">
        <v>#N/A</v>
        <stp/>
        <stp>BDH|15478082534143676407</stp>
        <tr r="H39" s="2"/>
      </tp>
      <tp t="e">
        <v>#N/A</v>
        <stp/>
        <stp>BDH|16165693399008749085</stp>
        <tr r="AG14" s="2"/>
      </tp>
      <tp t="e">
        <v>#N/A</v>
        <stp/>
        <stp>BDH|11754032465058809980</stp>
        <tr r="AB45" s="2"/>
      </tp>
      <tp t="e">
        <v>#N/A</v>
        <stp/>
        <stp>BDH|14114252852163038674</stp>
        <tr r="AB18" s="2"/>
      </tp>
      <tp t="e">
        <v>#N/A</v>
        <stp/>
        <stp>BDH|15453229212885747524</stp>
        <tr r="C10" s="2"/>
      </tp>
      <tp t="e">
        <v>#N/A</v>
        <stp/>
        <stp>BDH|10072107736872520635</stp>
        <tr r="AD36" s="2"/>
      </tp>
      <tp t="e">
        <v>#N/A</v>
        <stp/>
        <stp>BDH|17277324486709293343</stp>
        <tr r="AP42" s="2"/>
      </tp>
      <tp t="e">
        <v>#N/A</v>
        <stp/>
        <stp>BDH|16512707552623333141</stp>
        <tr r="AF40" s="2"/>
      </tp>
      <tp t="e">
        <v>#N/A</v>
        <stp/>
        <stp>BDH|14565753353938089835</stp>
        <tr r="R15" s="2"/>
      </tp>
      <tp t="e">
        <v>#N/A</v>
        <stp/>
        <stp>BDH|12174341264993290236</stp>
        <tr r="G65" s="2"/>
      </tp>
      <tp t="e">
        <v>#N/A</v>
        <stp/>
        <stp>BDH|15751915168034665886</stp>
        <tr r="J67" s="2"/>
      </tp>
      <tp t="e">
        <v>#N/A</v>
        <stp/>
        <stp>BDH|16517140332613279114</stp>
        <tr r="AM35" s="2"/>
      </tp>
      <tp t="e">
        <v>#N/A</v>
        <stp/>
        <stp>BDH|11506577961764386032</stp>
        <tr r="K61" s="2"/>
      </tp>
      <tp t="e">
        <v>#N/A</v>
        <stp/>
        <stp>BDH|17457679447875148669</stp>
        <tr r="AC76" s="2"/>
      </tp>
      <tp t="e">
        <v>#N/A</v>
        <stp/>
        <stp>BDH|17359320669921270594</stp>
        <tr r="AC8" s="2"/>
      </tp>
      <tp t="e">
        <v>#N/A</v>
        <stp/>
        <stp>BDH|12774556264867656032</stp>
        <tr r="J12" s="2"/>
      </tp>
      <tp t="e">
        <v>#N/A</v>
        <stp/>
        <stp>BDH|13290152244289482942</stp>
        <tr r="F47" s="2"/>
      </tp>
      <tp t="e">
        <v>#N/A</v>
        <stp/>
        <stp>BDH|14980056321536997671</stp>
        <tr r="AH50" s="2"/>
      </tp>
      <tp t="e">
        <v>#N/A</v>
        <stp/>
        <stp>BDH|15506811661239270447</stp>
        <tr r="L48" s="2"/>
      </tp>
      <tp t="e">
        <v>#N/A</v>
        <stp/>
        <stp>BDH|14805831798672576157</stp>
        <tr r="AA70" s="2"/>
      </tp>
      <tp t="e">
        <v>#N/A</v>
        <stp/>
        <stp>BDH|16020594874900698283</stp>
        <tr r="L64" s="2"/>
      </tp>
      <tp t="e">
        <v>#N/A</v>
        <stp/>
        <stp>BDH|11297512771740321534</stp>
        <tr r="O20" s="2"/>
      </tp>
      <tp t="e">
        <v>#N/A</v>
        <stp/>
        <stp>BDH|14423151968411949429</stp>
        <tr r="G16" s="2"/>
      </tp>
      <tp t="e">
        <v>#N/A</v>
        <stp/>
        <stp>BDH|17002086508934015522</stp>
        <tr r="W30" s="2"/>
      </tp>
      <tp t="e">
        <v>#N/A</v>
        <stp/>
        <stp>BDH|11025080359290305205</stp>
        <tr r="O7" s="2"/>
      </tp>
      <tp t="e">
        <v>#N/A</v>
        <stp/>
        <stp>BDH|10594685764723438582</stp>
        <tr r="AM39" s="2"/>
      </tp>
      <tp t="e">
        <v>#N/A</v>
        <stp/>
        <stp>BDH|13293617336539307931</stp>
        <tr r="S61" s="2"/>
      </tp>
      <tp t="e">
        <v>#N/A</v>
        <stp/>
        <stp>BDH|10233119942162607124</stp>
        <tr r="R22" s="2"/>
      </tp>
      <tp t="e">
        <v>#N/A</v>
        <stp/>
        <stp>BDH|17054391510036921558</stp>
        <tr r="AN81" s="2"/>
      </tp>
      <tp t="e">
        <v>#N/A</v>
        <stp/>
        <stp>BDH|17829150148004029007</stp>
        <tr r="AN43" s="2"/>
      </tp>
      <tp t="e">
        <v>#N/A</v>
        <stp/>
        <stp>BDH|10454189424971834450</stp>
        <tr r="S21" s="2"/>
      </tp>
      <tp t="e">
        <v>#N/A</v>
        <stp/>
        <stp>BDH|17211732391488595711</stp>
        <tr r="T46" s="2"/>
      </tp>
      <tp t="e">
        <v>#N/A</v>
        <stp/>
        <stp>BDH|14405833286580510209</stp>
        <tr r="X19" s="2"/>
      </tp>
      <tp t="e">
        <v>#N/A</v>
        <stp/>
        <stp>BDH|12974508229025147655</stp>
        <tr r="AJ76" s="2"/>
      </tp>
      <tp t="e">
        <v>#N/A</v>
        <stp/>
        <stp>BDH|17305159261473113521</stp>
        <tr r="AN90" s="2"/>
      </tp>
      <tp t="e">
        <v>#N/A</v>
        <stp/>
        <stp>BDH|16302837154709946498</stp>
        <tr r="AG40" s="2"/>
      </tp>
      <tp t="e">
        <v>#N/A</v>
        <stp/>
        <stp>BDH|10897718378654666233</stp>
        <tr r="AF52" s="2"/>
      </tp>
      <tp t="e">
        <v>#N/A</v>
        <stp/>
        <stp>BDH|18190928626464032113</stp>
        <tr r="AG41" s="2"/>
      </tp>
      <tp t="e">
        <v>#N/A</v>
        <stp/>
        <stp>BDH|15072140063687328339</stp>
        <tr r="L40" s="2"/>
      </tp>
      <tp t="e">
        <v>#N/A</v>
        <stp/>
        <stp>BDH|13944389942037422507</stp>
        <tr r="AB84" s="2"/>
      </tp>
      <tp t="e">
        <v>#N/A</v>
        <stp/>
        <stp>BDH|17350737027445511158</stp>
        <tr r="J85" s="2"/>
      </tp>
      <tp t="e">
        <v>#N/A</v>
        <stp/>
        <stp>BDH|13416018032642842485</stp>
        <tr r="AH28" s="2"/>
      </tp>
      <tp t="e">
        <v>#N/A</v>
        <stp/>
        <stp>BDH|11298836932069495505</stp>
        <tr r="AO10" s="2"/>
      </tp>
      <tp t="e">
        <v>#N/A</v>
        <stp/>
        <stp>BDH|11654734646826107258</stp>
        <tr r="AN24" s="2"/>
      </tp>
      <tp t="e">
        <v>#N/A</v>
        <stp/>
        <stp>BDH|10619665662611531701</stp>
        <tr r="X28" s="2"/>
      </tp>
      <tp t="e">
        <v>#N/A</v>
        <stp/>
        <stp>BDH|10457967411107537910</stp>
        <tr r="D63" s="2"/>
      </tp>
      <tp t="e">
        <v>#N/A</v>
        <stp/>
        <stp>BDH|12903806308418126474</stp>
        <tr r="M86" s="2"/>
      </tp>
      <tp t="e">
        <v>#N/A</v>
        <stp/>
        <stp>BDH|14165017073962120741</stp>
        <tr r="C8" s="2"/>
      </tp>
      <tp t="e">
        <v>#N/A</v>
        <stp/>
        <stp>BDH|18292417038261977840</stp>
        <tr r="K52" s="2"/>
      </tp>
      <tp t="e">
        <v>#N/A</v>
        <stp/>
        <stp>BDH|14692414885779545714</stp>
        <tr r="H62" s="2"/>
      </tp>
      <tp t="e">
        <v>#N/A</v>
        <stp/>
        <stp>BDH|17214470940709395807</stp>
        <tr r="V24" s="2"/>
      </tp>
      <tp t="e">
        <v>#N/A</v>
        <stp/>
        <stp>BDH|10425172873022798217</stp>
        <tr r="S66" s="2"/>
      </tp>
      <tp t="e">
        <v>#N/A</v>
        <stp/>
        <stp>BDH|15996794686779725576</stp>
        <tr r="D52" s="2"/>
      </tp>
      <tp t="e">
        <v>#N/A</v>
        <stp/>
        <stp>BDH|17854432158058492813</stp>
        <tr r="D31" s="2"/>
      </tp>
      <tp t="e">
        <v>#N/A</v>
        <stp/>
        <stp>BDH|18033537593873392155</stp>
        <tr r="T25" s="2"/>
      </tp>
      <tp t="e">
        <v>#N/A</v>
        <stp/>
        <stp>BDH|13784660280892763900</stp>
        <tr r="AN69" s="2"/>
      </tp>
      <tp t="e">
        <v>#N/A</v>
        <stp/>
        <stp>BDH|10549650217862589342</stp>
        <tr r="AJ88" s="2"/>
      </tp>
      <tp t="e">
        <v>#N/A</v>
        <stp/>
        <stp>BDH|14744192798479322334</stp>
        <tr r="AP31" s="2"/>
      </tp>
      <tp t="e">
        <v>#N/A</v>
        <stp/>
        <stp>BDH|17454694743455652619</stp>
        <tr r="AM52" s="2"/>
      </tp>
      <tp t="e">
        <v>#N/A</v>
        <stp/>
        <stp>BDH|14292293521647026532</stp>
        <tr r="Y39" s="2"/>
      </tp>
      <tp t="e">
        <v>#N/A</v>
        <stp/>
        <stp>BDH|12071610329781714163</stp>
        <tr r="X49" s="2"/>
      </tp>
      <tp t="e">
        <v>#N/A</v>
        <stp/>
        <stp>BDH|10936162620660084568</stp>
        <tr r="U37" s="2"/>
      </tp>
      <tp t="e">
        <v>#N/A</v>
        <stp/>
        <stp>BDH|15242277917290219096</stp>
        <tr r="AK49" s="2"/>
      </tp>
      <tp t="e">
        <v>#N/A</v>
        <stp/>
        <stp>BDH|16622102447314825105</stp>
        <tr r="L45" s="2"/>
      </tp>
      <tp t="e">
        <v>#N/A</v>
        <stp/>
        <stp>BDH|11520708031655978650</stp>
        <tr r="AO27" s="2"/>
      </tp>
      <tp t="e">
        <v>#N/A</v>
        <stp/>
        <stp>BDH|17359424238592790467</stp>
        <tr r="X24" s="2"/>
      </tp>
      <tp t="e">
        <v>#N/A</v>
        <stp/>
        <stp>BDH|18360470829421755922</stp>
        <tr r="AD21" s="2"/>
      </tp>
      <tp t="e">
        <v>#N/A</v>
        <stp/>
        <stp>BDH|16763891666909421777</stp>
        <tr r="Q18" s="2"/>
      </tp>
      <tp t="e">
        <v>#N/A</v>
        <stp/>
        <stp>BDH|12042046097924864904</stp>
        <tr r="N91" s="2"/>
      </tp>
      <tp t="e">
        <v>#N/A</v>
        <stp/>
        <stp>BDH|13838495308501698049</stp>
        <tr r="O61" s="2"/>
      </tp>
      <tp t="e">
        <v>#N/A</v>
        <stp/>
        <stp>BDH|17340914161287916911</stp>
        <tr r="AM74" s="2"/>
      </tp>
      <tp t="e">
        <v>#N/A</v>
        <stp/>
        <stp>BDH|11043785154780262552</stp>
        <tr r="C85" s="2"/>
      </tp>
      <tp t="e">
        <v>#N/A</v>
        <stp/>
        <stp>BDH|10902361351870087050</stp>
        <tr r="AB42" s="2"/>
      </tp>
      <tp t="e">
        <v>#N/A</v>
        <stp/>
        <stp>BDH|15736487858902515085</stp>
        <tr r="AO82" s="2"/>
      </tp>
      <tp t="e">
        <v>#N/A</v>
        <stp/>
        <stp>BDH|14095839787911760397</stp>
        <tr r="J90" s="2"/>
      </tp>
      <tp t="e">
        <v>#N/A</v>
        <stp/>
        <stp>BDH|14076077938369478818</stp>
        <tr r="AM13" s="2"/>
      </tp>
      <tp t="e">
        <v>#N/A</v>
        <stp/>
        <stp>BDH|13057478543914600188</stp>
        <tr r="P11" s="2"/>
      </tp>
      <tp t="e">
        <v>#N/A</v>
        <stp/>
        <stp>BDH|14087700136521845749</stp>
        <tr r="R66" s="2"/>
      </tp>
      <tp t="e">
        <v>#N/A</v>
        <stp/>
        <stp>BDH|12019443945303860732</stp>
        <tr r="AO26" s="2"/>
      </tp>
      <tp t="e">
        <v>#N/A</v>
        <stp/>
        <stp>BDH|14726411297429547699</stp>
        <tr r="C41" s="2"/>
      </tp>
      <tp t="e">
        <v>#N/A</v>
        <stp/>
        <stp>BDH|16573439442473920302</stp>
        <tr r="AM69" s="2"/>
      </tp>
      <tp t="e">
        <v>#N/A</v>
        <stp/>
        <stp>BDH|12436084441896257623</stp>
        <tr r="AJ53" s="2"/>
      </tp>
      <tp t="e">
        <v>#N/A</v>
        <stp/>
        <stp>BDH|11215868217048747692</stp>
        <tr r="W82" s="2"/>
      </tp>
      <tp t="e">
        <v>#N/A</v>
        <stp/>
        <stp>BDH|11287315177690989300</stp>
        <tr r="AD39" s="2"/>
      </tp>
      <tp t="e">
        <v>#N/A</v>
        <stp/>
        <stp>BDH|13510318297249995673</stp>
        <tr r="W11" s="2"/>
      </tp>
      <tp t="e">
        <v>#N/A</v>
        <stp/>
        <stp>BDH|10777155240674911765</stp>
        <tr r="T16" s="2"/>
      </tp>
      <tp t="e">
        <v>#N/A</v>
        <stp/>
        <stp>BDH|17765115870006915125</stp>
        <tr r="AH22" s="2"/>
      </tp>
      <tp t="e">
        <v>#N/A</v>
        <stp/>
        <stp>BDH|17522200901900188384</stp>
        <tr r="AL58" s="2"/>
      </tp>
      <tp t="e">
        <v>#N/A</v>
        <stp/>
        <stp>BDH|14780119342513100482</stp>
        <tr r="K14" s="2"/>
      </tp>
      <tp t="e">
        <v>#N/A</v>
        <stp/>
        <stp>BDH|10943053038113019693</stp>
        <tr r="AJ54" s="2"/>
      </tp>
      <tp t="e">
        <v>#N/A</v>
        <stp/>
        <stp>BDH|15414087825841698023</stp>
        <tr r="T12" s="2"/>
      </tp>
      <tp t="e">
        <v>#N/A</v>
        <stp/>
        <stp>BDH|17840611226452185724</stp>
        <tr r="AL92" s="2"/>
      </tp>
      <tp t="e">
        <v>#N/A</v>
        <stp/>
        <stp>BDH|14291809807189809313</stp>
        <tr r="AF8" s="2"/>
      </tp>
      <tp t="e">
        <v>#N/A</v>
        <stp/>
        <stp>BDH|11876058102593492475</stp>
        <tr r="AL15" s="2"/>
      </tp>
      <tp t="e">
        <v>#N/A</v>
        <stp/>
        <stp>BDH|11719387166835010764</stp>
        <tr r="R37" s="2"/>
      </tp>
      <tp t="e">
        <v>#N/A</v>
        <stp/>
        <stp>BDH|14585972344877992802</stp>
        <tr r="AD22" s="2"/>
      </tp>
      <tp t="e">
        <v>#N/A</v>
        <stp/>
        <stp>BDH|14181506877709864911</stp>
        <tr r="AG11" s="2"/>
      </tp>
      <tp t="e">
        <v>#N/A</v>
        <stp/>
        <stp>BDH|17924576106371021573</stp>
        <tr r="U71" s="2"/>
      </tp>
      <tp t="e">
        <v>#N/A</v>
        <stp/>
        <stp>BDH|12238702871613585784</stp>
        <tr r="AI9" s="2"/>
      </tp>
      <tp t="e">
        <v>#N/A</v>
        <stp/>
        <stp>BDH|13375272075163761389</stp>
        <tr r="AF18" s="2"/>
      </tp>
      <tp t="e">
        <v>#N/A</v>
        <stp/>
        <stp>BDH|12787320760368377986</stp>
        <tr r="K53" s="2"/>
      </tp>
      <tp t="e">
        <v>#N/A</v>
        <stp/>
        <stp>BDH|17267263871805243190</stp>
        <tr r="AN38" s="2"/>
      </tp>
      <tp t="e">
        <v>#N/A</v>
        <stp/>
        <stp>BDH|14203761709995543063</stp>
        <tr r="AC86" s="2"/>
      </tp>
      <tp t="e">
        <v>#N/A</v>
        <stp/>
        <stp>BDH|11561011516831539791</stp>
        <tr r="S76" s="2"/>
      </tp>
      <tp t="e">
        <v>#N/A</v>
        <stp/>
        <stp>BDH|11978006253175648724</stp>
        <tr r="Z50" s="2"/>
      </tp>
      <tp t="e">
        <v>#N/A</v>
        <stp/>
        <stp>BDH|14780561446715624707</stp>
        <tr r="AJ84" s="2"/>
      </tp>
      <tp t="e">
        <v>#N/A</v>
        <stp/>
        <stp>BDH|13172221607222186445</stp>
        <tr r="J64" s="2"/>
      </tp>
      <tp t="e">
        <v>#N/A</v>
        <stp/>
        <stp>BDH|12664755361315529161</stp>
        <tr r="AN53" s="2"/>
      </tp>
      <tp t="e">
        <v>#N/A</v>
        <stp/>
        <stp>BDH|15700772885738428502</stp>
        <tr r="AB90" s="2"/>
      </tp>
      <tp t="e">
        <v>#N/A</v>
        <stp/>
        <stp>BDH|12927202625365496081</stp>
        <tr r="P16" s="2"/>
      </tp>
      <tp t="e">
        <v>#N/A</v>
        <stp/>
        <stp>BDH|18153714880814445445</stp>
        <tr r="M20" s="2"/>
      </tp>
      <tp t="e">
        <v>#N/A</v>
        <stp/>
        <stp>BDH|15232200731594131724</stp>
        <tr r="AN76" s="2"/>
      </tp>
      <tp t="e">
        <v>#N/A</v>
        <stp/>
        <stp>BDH|11592429260180250450</stp>
        <tr r="T58" s="2"/>
      </tp>
      <tp t="e">
        <v>#N/A</v>
        <stp/>
        <stp>BDH|11415694613032433398</stp>
        <tr r="AM51" s="2"/>
      </tp>
      <tp t="e">
        <v>#N/A</v>
        <stp/>
        <stp>BDH|18354941423673178768</stp>
        <tr r="AK76" s="2"/>
      </tp>
      <tp t="e">
        <v>#N/A</v>
        <stp/>
        <stp>BDH|12720373635545718018</stp>
        <tr r="AP7" s="2"/>
      </tp>
      <tp t="e">
        <v>#N/A</v>
        <stp/>
        <stp>BDH|14284379846933328736</stp>
        <tr r="H46" s="2"/>
      </tp>
      <tp t="e">
        <v>#N/A</v>
        <stp/>
        <stp>BDH|14221417970442501252</stp>
        <tr r="AH12" s="2"/>
      </tp>
      <tp t="e">
        <v>#N/A</v>
        <stp/>
        <stp>BDH|15359721242338959990</stp>
        <tr r="Q20" s="2"/>
      </tp>
      <tp t="e">
        <v>#N/A</v>
        <stp/>
        <stp>BDH|12522750932468127902</stp>
        <tr r="L50" s="2"/>
      </tp>
      <tp t="e">
        <v>#N/A</v>
        <stp/>
        <stp>BDH|17962207312140068383</stp>
        <tr r="AF46" s="2"/>
      </tp>
      <tp t="e">
        <v>#N/A</v>
        <stp/>
        <stp>BDH|14704447236903688702</stp>
        <tr r="AN35" s="2"/>
      </tp>
      <tp t="e">
        <v>#N/A</v>
        <stp/>
        <stp>BDH|16006754341192399048</stp>
        <tr r="O26" s="2"/>
      </tp>
      <tp t="e">
        <v>#N/A</v>
        <stp/>
        <stp>BDH|16660207736971770154</stp>
        <tr r="O38" s="2"/>
      </tp>
      <tp t="e">
        <v>#N/A</v>
        <stp/>
        <stp>BDH|13153168337712203400</stp>
        <tr r="AD90" s="2"/>
      </tp>
      <tp t="e">
        <v>#N/A</v>
        <stp/>
        <stp>BDH|18318906400922278431</stp>
        <tr r="T30" s="2"/>
      </tp>
      <tp t="e">
        <v>#N/A</v>
        <stp/>
        <stp>BDH|12964327226294742089</stp>
        <tr r="J50" s="2"/>
      </tp>
      <tp t="e">
        <v>#N/A</v>
        <stp/>
        <stp>BDH|16315542021624091240</stp>
        <tr r="X11" s="2"/>
      </tp>
      <tp t="e">
        <v>#N/A</v>
        <stp/>
        <stp>BDH|15366432714314260343</stp>
        <tr r="AE89" s="2"/>
      </tp>
      <tp t="e">
        <v>#N/A</v>
        <stp/>
        <stp>BDH|10603551820276845691</stp>
        <tr r="G57" s="2"/>
      </tp>
      <tp t="e">
        <v>#N/A</v>
        <stp/>
        <stp>BDH|15464597997139142791</stp>
        <tr r="H61" s="2"/>
      </tp>
      <tp t="e">
        <v>#N/A</v>
        <stp/>
        <stp>BDH|15346250051144605130</stp>
        <tr r="Y22" s="2"/>
      </tp>
      <tp t="e">
        <v>#N/A</v>
        <stp/>
        <stp>BDH|13835340929840527552</stp>
        <tr r="O69" s="2"/>
      </tp>
      <tp t="e">
        <v>#N/A</v>
        <stp/>
        <stp>BDH|18370857502054823399</stp>
        <tr r="AB72" s="2"/>
      </tp>
      <tp t="e">
        <v>#N/A</v>
        <stp/>
        <stp>BDH|16408421312966306222</stp>
        <tr r="S56" s="2"/>
      </tp>
      <tp t="e">
        <v>#N/A</v>
        <stp/>
        <stp>BDH|11351668689550195888</stp>
        <tr r="T70" s="2"/>
      </tp>
      <tp t="e">
        <v>#N/A</v>
        <stp/>
        <stp>BDH|10194009527915013031</stp>
        <tr r="Y91" s="2"/>
      </tp>
      <tp t="e">
        <v>#N/A</v>
        <stp/>
        <stp>BDH|11066199640946506594</stp>
        <tr r="AB25" s="2"/>
      </tp>
      <tp t="e">
        <v>#N/A</v>
        <stp/>
        <stp>BDH|16855498049272845342</stp>
        <tr r="H76" s="2"/>
      </tp>
      <tp t="e">
        <v>#N/A</v>
        <stp/>
        <stp>BDH|16794183404764855471</stp>
        <tr r="AA28" s="2"/>
      </tp>
      <tp t="e">
        <v>#N/A</v>
        <stp/>
        <stp>BDH|15337829302072209855</stp>
        <tr r="H60" s="2"/>
      </tp>
      <tp t="e">
        <v>#N/A</v>
        <stp/>
        <stp>BDH|15218618803526509212</stp>
        <tr r="E36" s="2"/>
      </tp>
      <tp t="e">
        <v>#N/A</v>
        <stp/>
        <stp>BDH|15125916349546808953</stp>
        <tr r="Q91" s="2"/>
      </tp>
      <tp t="e">
        <v>#N/A</v>
        <stp/>
        <stp>BDH|11175698504671987111</stp>
        <tr r="I46" s="2"/>
      </tp>
      <tp t="e">
        <v>#N/A</v>
        <stp/>
        <stp>BDH|10158191312377886068</stp>
        <tr r="AF88" s="2"/>
      </tp>
      <tp t="e">
        <v>#N/A</v>
        <stp/>
        <stp>BDH|15360431146220514273</stp>
        <tr r="Q13" s="2"/>
      </tp>
      <tp t="e">
        <v>#N/A</v>
        <stp/>
        <stp>BDH|18244178782236013039</stp>
        <tr r="H9" s="2"/>
      </tp>
      <tp t="e">
        <v>#N/A</v>
        <stp/>
        <stp>BDH|10407830985760398766</stp>
        <tr r="J61" s="2"/>
      </tp>
      <tp t="e">
        <v>#N/A</v>
        <stp/>
        <stp>BDH|18242415374384685864</stp>
        <tr r="K75" s="2"/>
      </tp>
      <tp t="e">
        <v>#N/A</v>
        <stp/>
        <stp>BDH|15296611253375286450</stp>
        <tr r="M92" s="2"/>
      </tp>
      <tp t="e">
        <v>#N/A</v>
        <stp/>
        <stp>BDH|17992497306381361529</stp>
        <tr r="W48" s="2"/>
      </tp>
      <tp t="e">
        <v>#N/A</v>
        <stp/>
        <stp>BDH|12269321743716496409</stp>
        <tr r="AI47" s="2"/>
      </tp>
      <tp t="e">
        <v>#N/A</v>
        <stp/>
        <stp>BDH|12693735062681458548</stp>
        <tr r="N90" s="2"/>
      </tp>
      <tp t="e">
        <v>#N/A</v>
        <stp/>
        <stp>BDH|17594199836246520486</stp>
        <tr r="AG45" s="2"/>
      </tp>
      <tp t="e">
        <v>#N/A</v>
        <stp/>
        <stp>BDH|11779251589624408885</stp>
        <tr r="O40" s="2"/>
      </tp>
      <tp t="e">
        <v>#N/A</v>
        <stp/>
        <stp>BDH|14769393173666922135</stp>
        <tr r="I14" s="2"/>
      </tp>
      <tp t="e">
        <v>#N/A</v>
        <stp/>
        <stp>BDH|13293604128279501994</stp>
        <tr r="AG8" s="2"/>
      </tp>
      <tp t="e">
        <v>#N/A</v>
        <stp/>
        <stp>BDH|10729159651745319666</stp>
        <tr r="AK73" s="2"/>
      </tp>
      <tp t="e">
        <v>#N/A</v>
        <stp/>
        <stp>BDH|13018749726528342975</stp>
        <tr r="D29" s="2"/>
      </tp>
      <tp t="e">
        <v>#N/A</v>
        <stp/>
        <stp>BDH|18340416154837508958</stp>
        <tr r="AJ52" s="2"/>
      </tp>
      <tp t="e">
        <v>#N/A</v>
        <stp/>
        <stp>BDH|12135575223206550460</stp>
        <tr r="M27" s="2"/>
      </tp>
      <tp t="e">
        <v>#N/A</v>
        <stp/>
        <stp>BDH|15387450826971589538</stp>
        <tr r="V26" s="2"/>
      </tp>
      <tp t="e">
        <v>#N/A</v>
        <stp/>
        <stp>BDH|16640330549551969730</stp>
        <tr r="F38" s="2"/>
      </tp>
      <tp t="e">
        <v>#N/A</v>
        <stp/>
        <stp>BDH|12010033848201827057</stp>
        <tr r="T49" s="2"/>
      </tp>
      <tp t="e">
        <v>#N/A</v>
        <stp/>
        <stp>BDH|11704831862928850089</stp>
        <tr r="X12" s="2"/>
      </tp>
      <tp t="e">
        <v>#N/A</v>
        <stp/>
        <stp>BDH|10864166725220318419</stp>
        <tr r="I50" s="2"/>
      </tp>
      <tp t="e">
        <v>#N/A</v>
        <stp/>
        <stp>BDH|16235552973421857258</stp>
        <tr r="AB56" s="2"/>
      </tp>
      <tp t="e">
        <v>#N/A</v>
        <stp/>
        <stp>BDH|14486531289249718702</stp>
        <tr r="AJ22" s="2"/>
      </tp>
      <tp t="e">
        <v>#N/A</v>
        <stp/>
        <stp>BDH|13682523700461505082</stp>
        <tr r="Y50" s="2"/>
      </tp>
      <tp t="e">
        <v>#N/A</v>
        <stp/>
        <stp>BDH|17845411250531930091</stp>
        <tr r="Q67" s="2"/>
      </tp>
      <tp t="e">
        <v>#N/A</v>
        <stp/>
        <stp>BDH|11803239264807117576</stp>
        <tr r="H48" s="2"/>
      </tp>
      <tp t="e">
        <v>#N/A</v>
        <stp/>
        <stp>BDH|13103658149653256570</stp>
        <tr r="H74" s="2"/>
      </tp>
      <tp t="e">
        <v>#N/A</v>
        <stp/>
        <stp>BDH|11772536477925879136</stp>
        <tr r="AN67" s="2"/>
      </tp>
      <tp t="e">
        <v>#N/A</v>
        <stp/>
        <stp>BDH|10396286594704155865</stp>
        <tr r="V12" s="2"/>
      </tp>
      <tp t="e">
        <v>#N/A</v>
        <stp/>
        <stp>BDH|17010455735511032680</stp>
        <tr r="AF68" s="2"/>
      </tp>
      <tp t="e">
        <v>#N/A</v>
        <stp/>
        <stp>BDH|13213594873651565755</stp>
        <tr r="H88" s="2"/>
      </tp>
      <tp t="e">
        <v>#N/A</v>
        <stp/>
        <stp>BDH|10630390484959552568</stp>
        <tr r="O86" s="2"/>
      </tp>
      <tp t="e">
        <v>#N/A</v>
        <stp/>
        <stp>BDH|13637212173834611594</stp>
        <tr r="Y41" s="2"/>
      </tp>
      <tp t="e">
        <v>#N/A</v>
        <stp/>
        <stp>BDH|17375040869224029255</stp>
        <tr r="T92" s="2"/>
      </tp>
      <tp t="e">
        <v>#N/A</v>
        <stp/>
        <stp>BDH|14176484971167545767</stp>
        <tr r="J55" s="2"/>
      </tp>
      <tp t="e">
        <v>#N/A</v>
        <stp/>
        <stp>BDH|16847335511124298739</stp>
        <tr r="M50" s="2"/>
      </tp>
      <tp t="e">
        <v>#N/A</v>
        <stp/>
        <stp>BDH|14206425744704678793</stp>
        <tr r="Q76" s="2"/>
      </tp>
      <tp t="e">
        <v>#N/A</v>
        <stp/>
        <stp>BDH|16624212778264026046</stp>
        <tr r="Y75" s="2"/>
      </tp>
      <tp t="e">
        <v>#N/A</v>
        <stp/>
        <stp>BDH|15058490475455493423</stp>
        <tr r="AO46" s="2"/>
      </tp>
      <tp t="e">
        <v>#N/A</v>
        <stp/>
        <stp>BDH|13171734674751595594</stp>
        <tr r="AP8" s="2"/>
      </tp>
      <tp t="e">
        <v>#N/A</v>
        <stp/>
        <stp>BDH|12698097042732088372</stp>
        <tr r="AL43" s="2"/>
      </tp>
      <tp t="e">
        <v>#N/A</v>
        <stp/>
        <stp>BDH|11233516400124040791</stp>
        <tr r="Z45" s="2"/>
      </tp>
      <tp t="e">
        <v>#N/A</v>
        <stp/>
        <stp>BDH|17850467101756135246</stp>
        <tr r="X25" s="2"/>
      </tp>
      <tp t="e">
        <v>#N/A</v>
        <stp/>
        <stp>BDH|16025035528556916585</stp>
        <tr r="AE53" s="2"/>
      </tp>
      <tp t="e">
        <v>#N/A</v>
        <stp/>
        <stp>BDH|11387989990357041112</stp>
        <tr r="AB34" s="2"/>
      </tp>
      <tp t="e">
        <v>#N/A</v>
        <stp/>
        <stp>BDH|14063106115817171494</stp>
        <tr r="W50" s="2"/>
      </tp>
      <tp t="e">
        <v>#N/A</v>
        <stp/>
        <stp>BDH|15005541888638745763</stp>
        <tr r="E12" s="2"/>
      </tp>
      <tp t="e">
        <v>#N/A</v>
        <stp/>
        <stp>BDH|12297652649812616555</stp>
        <tr r="C39" s="2"/>
      </tp>
      <tp t="e">
        <v>#N/A</v>
        <stp/>
        <stp>BDH|12534135845111936172</stp>
        <tr r="AD52" s="2"/>
      </tp>
      <tp t="e">
        <v>#N/A</v>
        <stp/>
        <stp>BDH|12575803370099881309</stp>
        <tr r="I41" s="2"/>
      </tp>
      <tp t="e">
        <v>#N/A</v>
        <stp/>
        <stp>BDH|11698223639774609369</stp>
        <tr r="AN83" s="2"/>
      </tp>
      <tp t="e">
        <v>#N/A</v>
        <stp/>
        <stp>BDH|11310726514869143983</stp>
        <tr r="AA53" s="2"/>
      </tp>
      <tp t="e">
        <v>#N/A</v>
        <stp/>
        <stp>BDH|14032703941064418492</stp>
        <tr r="AJ43" s="2"/>
      </tp>
      <tp t="e">
        <v>#N/A</v>
        <stp/>
        <stp>BDH|17042891374658426753</stp>
        <tr r="L56" s="2"/>
      </tp>
      <tp t="e">
        <v>#N/A</v>
        <stp/>
        <stp>BDH|15862423511707538020</stp>
        <tr r="E77" s="2"/>
      </tp>
      <tp t="e">
        <v>#N/A</v>
        <stp/>
        <stp>BDH|11702505680743878834</stp>
        <tr r="S82" s="2"/>
      </tp>
      <tp t="e">
        <v>#N/A</v>
        <stp/>
        <stp>BDH|11951302546772008330</stp>
        <tr r="P66" s="2"/>
      </tp>
      <tp t="e">
        <v>#N/A</v>
        <stp/>
        <stp>BDH|17820381689629784216</stp>
        <tr r="AL69" s="2"/>
      </tp>
      <tp t="e">
        <v>#N/A</v>
        <stp/>
        <stp>BDH|15463429872135824433</stp>
        <tr r="S70" s="2"/>
      </tp>
      <tp t="e">
        <v>#N/A</v>
        <stp/>
        <stp>BDH|16887754865883714309</stp>
        <tr r="E51" s="2"/>
      </tp>
      <tp t="e">
        <v>#N/A</v>
        <stp/>
        <stp>BDH|17650681362228653851</stp>
        <tr r="X61" s="2"/>
      </tp>
      <tp t="e">
        <v>#N/A</v>
        <stp/>
        <stp>BDH|12756362905032310483</stp>
        <tr r="AL82" s="2"/>
      </tp>
      <tp t="e">
        <v>#N/A</v>
        <stp/>
        <stp>BDH|11384186047300402378</stp>
        <tr r="Y43" s="2"/>
      </tp>
      <tp t="e">
        <v>#N/A</v>
        <stp/>
        <stp>BDH|14073882812672674830</stp>
        <tr r="Z52" s="2"/>
      </tp>
      <tp t="e">
        <v>#N/A</v>
        <stp/>
        <stp>BDH|10908531462491780516</stp>
        <tr r="AG24" s="2"/>
      </tp>
      <tp t="e">
        <v>#N/A</v>
        <stp/>
        <stp>BDH|11338629689348527033</stp>
        <tr r="D76" s="2"/>
      </tp>
      <tp t="e">
        <v>#N/A</v>
        <stp/>
        <stp>BDH|12107051231192810439</stp>
        <tr r="P71" s="2"/>
      </tp>
      <tp t="e">
        <v>#N/A</v>
        <stp/>
        <stp>BDH|18141868706754929367</stp>
        <tr r="AF42" s="2"/>
      </tp>
      <tp t="e">
        <v>#N/A</v>
        <stp/>
        <stp>BDH|16228352728559894991</stp>
        <tr r="V75" s="2"/>
      </tp>
      <tp t="e">
        <v>#N/A</v>
        <stp/>
        <stp>BDH|15245862434338979175</stp>
        <tr r="K43" s="2"/>
      </tp>
      <tp t="e">
        <v>#N/A</v>
        <stp/>
        <stp>BDH|10653281246048071964</stp>
        <tr r="R27" s="2"/>
      </tp>
      <tp t="e">
        <v>#N/A</v>
        <stp/>
        <stp>BDH|10379209040002894352</stp>
        <tr r="Y62" s="2"/>
      </tp>
      <tp t="e">
        <v>#N/A</v>
        <stp/>
        <stp>BDH|10600756431848770844</stp>
        <tr r="D26" s="2"/>
      </tp>
      <tp t="e">
        <v>#N/A</v>
        <stp/>
        <stp>BDH|16787155414401254350</stp>
        <tr r="M7" s="2"/>
      </tp>
      <tp t="e">
        <v>#N/A</v>
        <stp/>
        <stp>BDH|17595569261529212918</stp>
        <tr r="AH47" s="2"/>
      </tp>
      <tp t="e">
        <v>#N/A</v>
        <stp/>
        <stp>BDH|14444480078671479216</stp>
        <tr r="AI15" s="2"/>
      </tp>
      <tp t="e">
        <v>#N/A</v>
        <stp/>
        <stp>BDH|15477320588098629297</stp>
        <tr r="S48" s="2"/>
      </tp>
      <tp t="e">
        <v>#N/A</v>
        <stp/>
        <stp>BDH|13439021956195961785</stp>
        <tr r="AI57" s="2"/>
      </tp>
      <tp t="e">
        <v>#N/A</v>
        <stp/>
        <stp>BDH|11374156562702037052</stp>
        <tr r="AJ29" s="2"/>
      </tp>
      <tp t="e">
        <v>#N/A</v>
        <stp/>
        <stp>BDH|11428203040480262374</stp>
        <tr r="F12" s="2"/>
      </tp>
      <tp t="e">
        <v>#N/A</v>
        <stp/>
        <stp>BDH|11240754407011250333</stp>
        <tr r="Q7" s="2"/>
      </tp>
      <tp t="e">
        <v>#N/A</v>
        <stp/>
        <stp>BDH|10370064386735757957</stp>
        <tr r="AC50" s="2"/>
      </tp>
      <tp t="e">
        <v>#N/A</v>
        <stp/>
        <stp>BDH|11297843676092270839</stp>
        <tr r="O44" s="2"/>
      </tp>
      <tp t="e">
        <v>#N/A</v>
        <stp/>
        <stp>BDH|13599701355976435349</stp>
        <tr r="Q12" s="2"/>
      </tp>
      <tp t="e">
        <v>#N/A</v>
        <stp/>
        <stp>BDH|16783154226337446602</stp>
        <tr r="N22" s="2"/>
      </tp>
      <tp t="e">
        <v>#N/A</v>
        <stp/>
        <stp>BDH|14017898524282843851</stp>
        <tr r="I21" s="2"/>
      </tp>
      <tp t="e">
        <v>#N/A</v>
        <stp/>
        <stp>BDH|16092248335966757560</stp>
        <tr r="E54" s="2"/>
      </tp>
      <tp t="e">
        <v>#N/A</v>
        <stp/>
        <stp>BDH|16639203320842006069</stp>
        <tr r="AN84" s="2"/>
      </tp>
      <tp t="e">
        <v>#N/A</v>
        <stp/>
        <stp>BDH|10750508496879514145</stp>
        <tr r="C81" s="2"/>
      </tp>
      <tp t="e">
        <v>#N/A</v>
        <stp/>
        <stp>BDH|12111275878382800166</stp>
        <tr r="U43" s="2"/>
      </tp>
      <tp t="e">
        <v>#N/A</v>
        <stp/>
        <stp>BDH|17074067827172979386</stp>
        <tr r="AO60" s="2"/>
      </tp>
      <tp t="e">
        <v>#N/A</v>
        <stp/>
        <stp>BDH|16747143316893235178</stp>
        <tr r="AB59" s="2"/>
      </tp>
      <tp t="e">
        <v>#N/A</v>
        <stp/>
        <stp>BDH|10022103612422111630</stp>
        <tr r="AN31" s="2"/>
      </tp>
      <tp t="e">
        <v>#N/A</v>
        <stp/>
        <stp>BDH|13633922988947669195</stp>
        <tr r="AP55" s="2"/>
      </tp>
      <tp t="e">
        <v>#N/A</v>
        <stp/>
        <stp>BDH|11287650362092150777</stp>
        <tr r="F22" s="2"/>
      </tp>
      <tp t="e">
        <v>#N/A</v>
        <stp/>
        <stp>BDH|14805045874287888035</stp>
        <tr r="X52" s="2"/>
      </tp>
      <tp t="e">
        <v>#N/A</v>
        <stp/>
        <stp>BDH|11882382933024105114</stp>
        <tr r="F34" s="2"/>
      </tp>
      <tp t="e">
        <v>#N/A</v>
        <stp/>
        <stp>BDH|11053034484688687523</stp>
        <tr r="P27" s="2"/>
      </tp>
      <tp t="e">
        <v>#N/A</v>
        <stp/>
        <stp>BDH|10802581927673736037</stp>
        <tr r="AA26" s="2"/>
      </tp>
      <tp t="e">
        <v>#N/A</v>
        <stp/>
        <stp>BDH|12916082362080872085</stp>
        <tr r="AA50" s="2"/>
      </tp>
      <tp t="e">
        <v>#N/A</v>
        <stp/>
        <stp>BDH|11133194526794586289</stp>
        <tr r="G31" s="2"/>
      </tp>
      <tp t="e">
        <v>#N/A</v>
        <stp/>
        <stp>BDH|17093097810885206786</stp>
        <tr r="AN60" s="2"/>
      </tp>
      <tp t="e">
        <v>#N/A</v>
        <stp/>
        <stp>BDH|18278732350188176633</stp>
        <tr r="AH59" s="2"/>
      </tp>
      <tp t="e">
        <v>#N/A</v>
        <stp/>
        <stp>BDH|16033823095053234064</stp>
        <tr r="Q44" s="2"/>
      </tp>
      <tp t="e">
        <v>#N/A</v>
        <stp/>
        <stp>BDH|11187042972671633329</stp>
        <tr r="AI36" s="2"/>
      </tp>
      <tp t="e">
        <v>#N/A</v>
        <stp/>
        <stp>BDH|16584541412846401045</stp>
        <tr r="AC57" s="2"/>
      </tp>
      <tp t="e">
        <v>#N/A</v>
        <stp/>
        <stp>BDH|10080244709997696197</stp>
        <tr r="G7" s="2"/>
      </tp>
      <tp t="e">
        <v>#N/A</v>
        <stp/>
        <stp>BDH|17816588446393131150</stp>
        <tr r="AD15" s="2"/>
      </tp>
      <tp t="e">
        <v>#N/A</v>
        <stp/>
        <stp>BDH|16110259676476029106</stp>
        <tr r="Z39" s="2"/>
      </tp>
      <tp t="e">
        <v>#N/A</v>
        <stp/>
        <stp>BDH|15032597146889965944</stp>
        <tr r="I42" s="2"/>
      </tp>
      <tp t="e">
        <v>#N/A</v>
        <stp/>
        <stp>BDH|16320633719654925126</stp>
        <tr r="AP43" s="2"/>
      </tp>
      <tp t="e">
        <v>#N/A</v>
        <stp/>
        <stp>BDH|10612802812098411520</stp>
        <tr r="AL11" s="2"/>
      </tp>
      <tp t="e">
        <v>#N/A</v>
        <stp/>
        <stp>BDH|13798070055866665410</stp>
        <tr r="S53" s="2"/>
      </tp>
      <tp t="e">
        <v>#N/A</v>
        <stp/>
        <stp>BDH|17279390306780844072</stp>
        <tr r="W31" s="2"/>
      </tp>
      <tp t="e">
        <v>#N/A</v>
        <stp/>
        <stp>BDH|16940585224843814683</stp>
        <tr r="G18" s="2"/>
      </tp>
      <tp t="e">
        <v>#N/A</v>
        <stp/>
        <stp>BDH|12563669238527700490</stp>
        <tr r="S90" s="2"/>
      </tp>
      <tp t="e">
        <v>#N/A</v>
        <stp/>
        <stp>BDH|12737108463807584643</stp>
        <tr r="AM62" s="2"/>
      </tp>
      <tp t="e">
        <v>#N/A</v>
        <stp/>
        <stp>BDH|14972608673750862176</stp>
        <tr r="V22" s="2"/>
      </tp>
      <tp t="e">
        <v>#N/A</v>
        <stp/>
        <stp>BDH|12379446121531035138</stp>
        <tr r="AE20" s="2"/>
      </tp>
      <tp t="e">
        <v>#N/A</v>
        <stp/>
        <stp>BDH|15494253874401384538</stp>
        <tr r="M30" s="2"/>
      </tp>
      <tp t="e">
        <v>#N/A</v>
        <stp/>
        <stp>BDH|18374348053392629873</stp>
        <tr r="O90" s="2"/>
      </tp>
      <tp t="e">
        <v>#N/A</v>
        <stp/>
        <stp>BDH|17735211115674591431</stp>
        <tr r="AM88" s="2"/>
      </tp>
      <tp t="e">
        <v>#N/A</v>
        <stp/>
        <stp>BDH|14380388864964991136</stp>
        <tr r="U52" s="2"/>
      </tp>
      <tp t="e">
        <v>#N/A</v>
        <stp/>
        <stp>BDH|10409667346563902584</stp>
        <tr r="AE18" s="2"/>
      </tp>
      <tp t="e">
        <v>#N/A</v>
        <stp/>
        <stp>BDH|17688328754054052153</stp>
        <tr r="AL81" s="2"/>
      </tp>
      <tp t="e">
        <v>#N/A</v>
        <stp/>
        <stp>BDH|10297315614394309202</stp>
        <tr r="AE81" s="2"/>
      </tp>
      <tp t="e">
        <v>#N/A</v>
        <stp/>
        <stp>BDH|10780323472284013403</stp>
        <tr r="Z71" s="2"/>
      </tp>
      <tp t="e">
        <v>#N/A</v>
        <stp/>
        <stp>BDH|14490970019729860157</stp>
        <tr r="J53" s="2"/>
      </tp>
      <tp t="e">
        <v>#N/A</v>
        <stp/>
        <stp>BDH|12816009799579488626</stp>
        <tr r="D42" s="2"/>
      </tp>
      <tp t="e">
        <v>#N/A</v>
        <stp/>
        <stp>BDH|10445102064372719104</stp>
        <tr r="U63" s="2"/>
      </tp>
      <tp t="e">
        <v>#N/A</v>
        <stp/>
        <stp>BDH|17164389377966141184</stp>
        <tr r="G66" s="2"/>
      </tp>
      <tp t="e">
        <v>#N/A</v>
        <stp/>
        <stp>BDH|11709280551375130785</stp>
        <tr r="D11" s="2"/>
      </tp>
      <tp t="e">
        <v>#N/A</v>
        <stp/>
        <stp>BDH|17229529425326358218</stp>
        <tr r="AP11" s="2"/>
      </tp>
      <tp t="e">
        <v>#N/A</v>
        <stp/>
        <stp>BDH|11530166602441345551</stp>
        <tr r="J17" s="2"/>
      </tp>
      <tp t="e">
        <v>#N/A</v>
        <stp/>
        <stp>BDH|12619410742683506565</stp>
        <tr r="J87" s="2"/>
      </tp>
      <tp t="e">
        <v>#N/A</v>
        <stp/>
        <stp>BDH|13489236200983219637</stp>
        <tr r="T89" s="2"/>
      </tp>
      <tp t="e">
        <v>#N/A</v>
        <stp/>
        <stp>BDH|18147281208428759601</stp>
        <tr r="Y36" s="2"/>
      </tp>
      <tp t="e">
        <v>#N/A</v>
        <stp/>
        <stp>BDH|16744401481476787882</stp>
        <tr r="AK68" s="2"/>
      </tp>
      <tp t="e">
        <v>#N/A</v>
        <stp/>
        <stp>BDH|12893825328668999429</stp>
        <tr r="AP22" s="2"/>
      </tp>
      <tp t="e">
        <v>#N/A</v>
        <stp/>
        <stp>BDH|16089352059297205372</stp>
        <tr r="U61" s="2"/>
      </tp>
      <tp t="e">
        <v>#N/A</v>
        <stp/>
        <stp>BDH|14536608135247877211</stp>
        <tr r="E26" s="2"/>
      </tp>
      <tp t="e">
        <v>#N/A</v>
        <stp/>
        <stp>BDH|15152533216350537589</stp>
        <tr r="F11" s="2"/>
      </tp>
      <tp t="e">
        <v>#N/A</v>
        <stp/>
        <stp>BDH|15457329647742131496</stp>
        <tr r="S30" s="2"/>
      </tp>
      <tp t="e">
        <v>#N/A</v>
        <stp/>
        <stp>BDH|14883353763693754605</stp>
        <tr r="AK53" s="2"/>
      </tp>
      <tp t="e">
        <v>#N/A</v>
        <stp/>
        <stp>BDH|14761031485141187993</stp>
        <tr r="K22" s="2"/>
      </tp>
      <tp t="e">
        <v>#N/A</v>
        <stp/>
        <stp>BDH|10967416414563756223</stp>
        <tr r="AI44" s="2"/>
      </tp>
      <tp t="e">
        <v>#N/A</v>
        <stp/>
        <stp>BDH|17746550305056813067</stp>
        <tr r="AA83" s="2"/>
      </tp>
      <tp t="e">
        <v>#N/A</v>
        <stp/>
        <stp>BDH|17180495862472230301</stp>
        <tr r="I19" s="2"/>
      </tp>
      <tp t="e">
        <v>#N/A</v>
        <stp/>
        <stp>BDH|10475992589553811648</stp>
        <tr r="Y87" s="2"/>
      </tp>
      <tp t="e">
        <v>#N/A</v>
        <stp/>
        <stp>BDH|12804777646376642379</stp>
        <tr r="AO74" s="2"/>
      </tp>
      <tp t="e">
        <v>#N/A</v>
        <stp/>
        <stp>BDH|12648468188163270929</stp>
        <tr r="N73" s="2"/>
      </tp>
      <tp t="e">
        <v>#N/A</v>
        <stp/>
        <stp>BDH|13387360994345080893</stp>
        <tr r="AP16" s="2"/>
      </tp>
      <tp t="e">
        <v>#N/A</v>
        <stp/>
        <stp>BDH|17147654757529915922</stp>
        <tr r="AM28" s="2"/>
      </tp>
      <tp t="e">
        <v>#N/A</v>
        <stp/>
        <stp>BDH|11891455174384499252</stp>
        <tr r="AH62" s="2"/>
      </tp>
      <tp t="e">
        <v>#N/A</v>
        <stp/>
        <stp>BDH|16066342950453792782</stp>
        <tr r="M35" s="2"/>
      </tp>
      <tp t="e">
        <v>#N/A</v>
        <stp/>
        <stp>BDH|17375613746893643293</stp>
        <tr r="AH65" s="2"/>
      </tp>
      <tp t="e">
        <v>#N/A</v>
        <stp/>
        <stp>BDH|12601023473038993951</stp>
        <tr r="F52" s="2"/>
      </tp>
      <tp t="e">
        <v>#N/A</v>
        <stp/>
        <stp>BDH|11503182435677305009</stp>
        <tr r="O49" s="2"/>
      </tp>
      <tp t="e">
        <v>#N/A</v>
        <stp/>
        <stp>BDH|11154412461131327699</stp>
        <tr r="L25" s="2"/>
      </tp>
      <tp t="e">
        <v>#N/A</v>
        <stp/>
        <stp>BDH|12787018300687976142</stp>
        <tr r="AP27" s="2"/>
      </tp>
      <tp t="e">
        <v>#N/A</v>
        <stp/>
        <stp>BDH|15324718678387385623</stp>
        <tr r="AD76" s="2"/>
      </tp>
      <tp t="e">
        <v>#N/A</v>
        <stp/>
        <stp>BDH|11950282708775445265</stp>
        <tr r="X71" s="2"/>
      </tp>
      <tp t="e">
        <v>#N/A</v>
        <stp/>
        <stp>BDH|11435545445184644083</stp>
        <tr r="G29" s="2"/>
      </tp>
      <tp t="e">
        <v>#N/A</v>
        <stp/>
        <stp>BDH|14128750726824985104</stp>
        <tr r="K38" s="2"/>
      </tp>
      <tp t="e">
        <v>#N/A</v>
        <stp/>
        <stp>BDH|12949164404455737273</stp>
        <tr r="H81" s="2"/>
      </tp>
      <tp t="e">
        <v>#N/A</v>
        <stp/>
        <stp>BDH|15335645360063944249</stp>
        <tr r="N48" s="2"/>
      </tp>
      <tp t="e">
        <v>#N/A</v>
        <stp/>
        <stp>BDH|15675118825080917210</stp>
        <tr r="AK15" s="2"/>
      </tp>
      <tp t="e">
        <v>#N/A</v>
        <stp/>
        <stp>BDH|14624279138314153521</stp>
        <tr r="AN37" s="2"/>
      </tp>
      <tp t="e">
        <v>#N/A</v>
        <stp/>
        <stp>BDH|11342564139234359754</stp>
        <tr r="N47" s="2"/>
      </tp>
      <tp t="e">
        <v>#N/A</v>
        <stp/>
        <stp>BDH|14876374808500823355</stp>
        <tr r="N84" s="2"/>
      </tp>
      <tp t="e">
        <v>#N/A</v>
        <stp/>
        <stp>BDH|16368812802362395899</stp>
        <tr r="E85" s="2"/>
      </tp>
      <tp t="e">
        <v>#N/A</v>
        <stp/>
        <stp>BDH|15096120209134131470</stp>
        <tr r="AB39" s="2"/>
      </tp>
      <tp t="e">
        <v>#N/A</v>
        <stp/>
        <stp>BDH|14680505536235459390</stp>
        <tr r="AD30" s="2"/>
      </tp>
      <tp t="e">
        <v>#N/A</v>
        <stp/>
        <stp>BDH|14353909597990106088</stp>
        <tr r="L12" s="2"/>
      </tp>
      <tp t="e">
        <v>#N/A</v>
        <stp/>
        <stp>BDH|13091451937145959560</stp>
        <tr r="K44" s="2"/>
      </tp>
      <tp t="e">
        <v>#N/A</v>
        <stp/>
        <stp>BDH|14099391254846242027</stp>
        <tr r="AF22" s="2"/>
      </tp>
      <tp t="e">
        <v>#N/A</v>
        <stp/>
        <stp>BDH|15181913724929847317</stp>
        <tr r="Y77" s="2"/>
      </tp>
      <tp t="e">
        <v>#N/A</v>
        <stp/>
        <stp>BDH|17481079510285855766</stp>
        <tr r="Q14" s="2"/>
      </tp>
      <tp t="e">
        <v>#N/A</v>
        <stp/>
        <stp>BDH|13488151132445735082</stp>
        <tr r="F23" s="2"/>
      </tp>
      <tp t="e">
        <v>#N/A</v>
        <stp/>
        <stp>BDH|13868274760604212714</stp>
        <tr r="J23" s="2"/>
      </tp>
      <tp t="e">
        <v>#N/A</v>
        <stp/>
        <stp>BDH|16453216074383496498</stp>
        <tr r="AF55" s="2"/>
      </tp>
      <tp t="e">
        <v>#N/A</v>
        <stp/>
        <stp>BDH|16903270343980954488</stp>
        <tr r="H23" s="2"/>
      </tp>
      <tp t="e">
        <v>#N/A</v>
        <stp/>
        <stp>BDH|11297409929330099344</stp>
        <tr r="Z73" s="2"/>
      </tp>
      <tp t="e">
        <v>#N/A</v>
        <stp/>
        <stp>BDH|15688468563482569191</stp>
        <tr r="G60" s="2"/>
      </tp>
      <tp t="e">
        <v>#N/A</v>
        <stp/>
        <stp>BDH|16894377956576580235</stp>
        <tr r="AD72" s="2"/>
      </tp>
      <tp t="e">
        <v>#N/A</v>
        <stp/>
        <stp>BDH|11961306583889443707</stp>
        <tr r="AI43" s="2"/>
      </tp>
      <tp t="e">
        <v>#N/A</v>
        <stp/>
        <stp>BDH|14384596375372325024</stp>
        <tr r="AM10" s="2"/>
      </tp>
      <tp t="e">
        <v>#N/A</v>
        <stp/>
        <stp>BDH|14184996926528150314</stp>
        <tr r="AB69" s="2"/>
      </tp>
      <tp t="e">
        <v>#N/A</v>
        <stp/>
        <stp>BDH|14866655866705546509</stp>
        <tr r="V91" s="2"/>
      </tp>
      <tp t="e">
        <v>#N/A</v>
        <stp/>
        <stp>BDH|10658182500083430648</stp>
        <tr r="D72" s="2"/>
      </tp>
      <tp t="e">
        <v>#N/A</v>
        <stp/>
        <stp>BDH|13973522252245068277</stp>
        <tr r="AA54" s="2"/>
      </tp>
      <tp t="e">
        <v>#N/A</v>
        <stp/>
        <stp>BDH|16876080513594518787</stp>
        <tr r="N12" s="2"/>
      </tp>
      <tp t="e">
        <v>#N/A</v>
        <stp/>
        <stp>BDH|15396153757862213628</stp>
        <tr r="AN47" s="2"/>
      </tp>
      <tp t="e">
        <v>#N/A</v>
        <stp/>
        <stp>BDH|10868597675777387067</stp>
        <tr r="R23" s="2"/>
      </tp>
      <tp t="e">
        <v>#N/A</v>
        <stp/>
        <stp>BDH|16944279760520931762</stp>
        <tr r="AD38" s="2"/>
      </tp>
      <tp t="e">
        <v>#N/A</v>
        <stp/>
        <stp>BDH|10723177261901022316</stp>
        <tr r="T72" s="2"/>
      </tp>
      <tp t="e">
        <v>#N/A</v>
        <stp/>
        <stp>BDH|10601367833360507568</stp>
        <tr r="E40" s="2"/>
      </tp>
      <tp t="e">
        <v>#N/A</v>
        <stp/>
        <stp>BDH|15952064555171253486</stp>
        <tr r="AN87" s="2"/>
      </tp>
      <tp t="e">
        <v>#N/A</v>
        <stp/>
        <stp>BDH|12931280861773241025</stp>
        <tr r="R71" s="2"/>
      </tp>
      <tp t="e">
        <v>#N/A</v>
        <stp/>
        <stp>BDH|11314013300381365512</stp>
        <tr r="I68" s="2"/>
      </tp>
      <tp t="e">
        <v>#N/A</v>
        <stp/>
        <stp>BDH|16005982965064802869</stp>
        <tr r="AE12" s="2"/>
      </tp>
      <tp t="e">
        <v>#N/A</v>
        <stp/>
        <stp>BDH|13718579970704622056</stp>
        <tr r="V35" s="2"/>
      </tp>
      <tp t="e">
        <v>#N/A</v>
        <stp/>
        <stp>BDH|14775631360216191765</stp>
        <tr r="AK70" s="2"/>
      </tp>
      <tp t="e">
        <v>#N/A</v>
        <stp/>
        <stp>BDH|13522748384521614802</stp>
        <tr r="Z22" s="2"/>
      </tp>
      <tp t="e">
        <v>#N/A</v>
        <stp/>
        <stp>BDH|10356664916386263426</stp>
        <tr r="AH24" s="2"/>
      </tp>
      <tp t="e">
        <v>#N/A</v>
        <stp/>
        <stp>BDH|13540697154987958228</stp>
        <tr r="Q55" s="2"/>
      </tp>
      <tp t="e">
        <v>#N/A</v>
        <stp/>
        <stp>BDH|12738431726767532643</stp>
        <tr r="AB46" s="2"/>
      </tp>
      <tp t="e">
        <v>#N/A</v>
        <stp/>
        <stp>BDH|15914315272801903509</stp>
        <tr r="AP14" s="2"/>
      </tp>
      <tp t="e">
        <v>#N/A</v>
        <stp/>
        <stp>BDH|16728900762559733510</stp>
        <tr r="K35" s="2"/>
      </tp>
      <tp t="e">
        <v>#N/A</v>
        <stp/>
        <stp>BDH|12626289543042777387</stp>
        <tr r="AL8" s="2"/>
      </tp>
      <tp t="e">
        <v>#N/A</v>
        <stp/>
        <stp>BDH|12926914648008297205</stp>
        <tr r="AF74" s="2"/>
      </tp>
      <tp t="e">
        <v>#N/A</v>
        <stp/>
        <stp>BDH|12984189691929169630</stp>
        <tr r="AH18" s="2"/>
      </tp>
      <tp t="e">
        <v>#N/A</v>
        <stp/>
        <stp>BDH|14820480615120008472</stp>
        <tr r="Y58" s="2"/>
      </tp>
      <tp t="e">
        <v>#N/A</v>
        <stp/>
        <stp>BDH|10997471683578846178</stp>
        <tr r="Y73" s="2"/>
      </tp>
      <tp t="e">
        <v>#N/A</v>
        <stp/>
        <stp>BDH|12567734434904429749</stp>
        <tr r="X16" s="2"/>
      </tp>
      <tp t="e">
        <v>#N/A</v>
        <stp/>
        <stp>BDH|14753762016005269276</stp>
        <tr r="Y86" s="2"/>
      </tp>
      <tp t="e">
        <v>#N/A</v>
        <stp/>
        <stp>BDH|10071620020364411542</stp>
        <tr r="H13" s="2"/>
      </tp>
      <tp t="e">
        <v>#N/A</v>
        <stp/>
        <stp>BDH|13747281298005544806</stp>
        <tr r="AD41" s="2"/>
      </tp>
      <tp t="e">
        <v>#N/A</v>
        <stp/>
        <stp>BDH|14623361411042261113</stp>
        <tr r="U65" s="2"/>
      </tp>
      <tp t="e">
        <v>#N/A</v>
        <stp/>
        <stp>BDH|11554457821773615150</stp>
        <tr r="I77" s="2"/>
      </tp>
      <tp t="e">
        <v>#N/A</v>
        <stp/>
        <stp>BDH|14488595761683152187</stp>
        <tr r="AJ15" s="2"/>
      </tp>
      <tp t="e">
        <v>#N/A</v>
        <stp/>
        <stp>BDH|10188700534593560252</stp>
        <tr r="R46" s="2"/>
      </tp>
      <tp t="e">
        <v>#N/A</v>
        <stp/>
        <stp>BDH|11937113252247787782</stp>
        <tr r="W55" s="2"/>
      </tp>
      <tp t="e">
        <v>#N/A</v>
        <stp/>
        <stp>BDH|13347079673794336517</stp>
        <tr r="E76" s="2"/>
      </tp>
      <tp t="e">
        <v>#N/A</v>
        <stp/>
        <stp>BDH|12427477450020115675</stp>
        <tr r="AD92" s="2"/>
      </tp>
      <tp t="e">
        <v>#N/A</v>
        <stp/>
        <stp>BDH|13163093461446924652</stp>
        <tr r="U53" s="2"/>
      </tp>
      <tp t="e">
        <v>#N/A</v>
        <stp/>
        <stp>BDH|15299186659977132375</stp>
        <tr r="I82" s="2"/>
      </tp>
      <tp t="e">
        <v>#N/A</v>
        <stp/>
        <stp>BDH|16481426171150292006</stp>
        <tr r="I85" s="2"/>
      </tp>
      <tp t="e">
        <v>#N/A</v>
        <stp/>
        <stp>BDH|12887683004401265039</stp>
        <tr r="AJ72" s="2"/>
      </tp>
      <tp t="e">
        <v>#N/A</v>
        <stp/>
        <stp>BDH|17971483633636578322</stp>
        <tr r="AE22" s="2"/>
      </tp>
      <tp t="e">
        <v>#N/A</v>
        <stp/>
        <stp>BDH|11201326806652347502</stp>
        <tr r="AJ39" s="2"/>
      </tp>
      <tp t="e">
        <v>#N/A</v>
        <stp/>
        <stp>BDH|14022122935927388414</stp>
        <tr r="AE88" s="2"/>
      </tp>
      <tp t="e">
        <v>#N/A</v>
        <stp/>
        <stp>BDH|11072951399065004193</stp>
        <tr r="T35" s="2"/>
      </tp>
      <tp t="e">
        <v>#N/A</v>
        <stp/>
        <stp>BDH|14622148073390622730</stp>
        <tr r="O22" s="2"/>
      </tp>
      <tp t="e">
        <v>#N/A</v>
        <stp/>
        <stp>BDH|10696078695114366839</stp>
        <tr r="AB68" s="2"/>
      </tp>
      <tp t="e">
        <v>#N/A</v>
        <stp/>
        <stp>BDH|15582968681582629304</stp>
        <tr r="D53" s="2"/>
      </tp>
      <tp t="e">
        <v>#N/A</v>
        <stp/>
        <stp>BDH|17368518714874748251</stp>
        <tr r="N36" s="2"/>
      </tp>
      <tp t="e">
        <v>#N/A</v>
        <stp/>
        <stp>BDH|10324371130584609166</stp>
        <tr r="AA49" s="2"/>
      </tp>
      <tp t="e">
        <v>#N/A</v>
        <stp/>
        <stp>BDH|17099488970153507290</stp>
        <tr r="S81" s="2"/>
      </tp>
      <tp t="e">
        <v>#N/A</v>
        <stp/>
        <stp>BDH|10928189224635787362</stp>
        <tr r="U21" s="2"/>
      </tp>
      <tp t="e">
        <v>#N/A</v>
        <stp/>
        <stp>BDH|13783346573262339078</stp>
        <tr r="AM63" s="2"/>
      </tp>
      <tp t="e">
        <v>#N/A</v>
        <stp/>
        <stp>BDH|12997600712566633698</stp>
        <tr r="AE30" s="2"/>
      </tp>
      <tp t="e">
        <v>#N/A</v>
        <stp/>
        <stp>BDH|14901218135851929106</stp>
        <tr r="AF38" s="2"/>
      </tp>
      <tp t="e">
        <v>#N/A</v>
        <stp/>
        <stp>BDH|10921359718206611152</stp>
        <tr r="AB21" s="2"/>
      </tp>
      <tp t="e">
        <v>#N/A</v>
        <stp/>
        <stp>BDH|11752750557972122431</stp>
        <tr r="D87" s="2"/>
      </tp>
      <tp t="e">
        <v>#N/A</v>
        <stp/>
        <stp>BDH|11063957391771557561</stp>
        <tr r="N72" s="2"/>
      </tp>
      <tp t="e">
        <v>#N/A</v>
        <stp/>
        <stp>BDH|14952702045497850537</stp>
        <tr r="Y8" s="2"/>
      </tp>
      <tp t="e">
        <v>#N/A</v>
        <stp/>
        <stp>BDH|17066548334883225754</stp>
        <tr r="T85" s="2"/>
      </tp>
      <tp t="e">
        <v>#N/A</v>
        <stp/>
        <stp>BDH|14742635582306537958</stp>
        <tr r="AC64" s="2"/>
      </tp>
      <tp t="e">
        <v>#N/A</v>
        <stp/>
        <stp>BDH|17528048036708303920</stp>
        <tr r="T31" s="2"/>
      </tp>
      <tp t="e">
        <v>#N/A</v>
        <stp/>
        <stp>BDH|16483406990767078922</stp>
        <tr r="H14" s="2"/>
      </tp>
      <tp t="e">
        <v>#N/A</v>
        <stp/>
        <stp>BDH|10422831748748856110</stp>
        <tr r="W88" s="2"/>
      </tp>
      <tp t="e">
        <v>#N/A</v>
        <stp/>
        <stp>BDH|11751707169402195799</stp>
        <tr r="U67" s="2"/>
      </tp>
      <tp t="e">
        <v>#N/A</v>
        <stp/>
        <stp>BDH|14666483503120980528</stp>
        <tr r="G83" s="2"/>
      </tp>
      <tp t="e">
        <v>#N/A</v>
        <stp/>
        <stp>BDH|16789260154223542795</stp>
        <tr r="U27" s="2"/>
      </tp>
      <tp t="e">
        <v>#N/A</v>
        <stp/>
        <stp>BDH|10418219268075756436</stp>
        <tr r="Y11" s="2"/>
      </tp>
      <tp t="e">
        <v>#N/A</v>
        <stp/>
        <stp>BDH|11310239575575827444</stp>
        <tr r="J10" s="2"/>
      </tp>
      <tp t="e">
        <v>#N/A</v>
        <stp/>
        <stp>BDH|11491482160533727523</stp>
        <tr r="W62" s="2"/>
      </tp>
      <tp t="e">
        <v>#N/A</v>
        <stp/>
        <stp>BDH|11672939449758319168</stp>
        <tr r="AH10" s="2"/>
      </tp>
      <tp t="e">
        <v>#N/A</v>
        <stp/>
        <stp>BDH|13019551628755290475</stp>
        <tr r="D66" s="2"/>
      </tp>
      <tp t="e">
        <v>#N/A</v>
        <stp/>
        <stp>BDH|10631558848187555360</stp>
        <tr r="Y10" s="2"/>
      </tp>
      <tp t="e">
        <v>#N/A</v>
        <stp/>
        <stp>BDH|16353508878967785640</stp>
        <tr r="E75" s="2"/>
      </tp>
      <tp t="e">
        <v>#N/A</v>
        <stp/>
        <stp>BDH|13143291635026670131</stp>
        <tr r="AJ11" s="2"/>
      </tp>
      <tp t="e">
        <v>#N/A</v>
        <stp/>
        <stp>BDH|12715784847082040601</stp>
        <tr r="AI8" s="2"/>
      </tp>
      <tp t="e">
        <v>#N/A</v>
        <stp/>
        <stp>BDH|12419297655715227518</stp>
        <tr r="I92" s="2"/>
      </tp>
      <tp t="e">
        <v>#N/A</v>
        <stp/>
        <stp>BDH|18285188430828204731</stp>
        <tr r="AI17" s="2"/>
      </tp>
      <tp t="e">
        <v>#N/A</v>
        <stp/>
        <stp>BDH|16710135079203594632</stp>
        <tr r="AK24" s="2"/>
      </tp>
      <tp t="e">
        <v>#N/A</v>
        <stp/>
        <stp>BDH|16066347721633753195</stp>
        <tr r="D18" s="2"/>
      </tp>
      <tp t="e">
        <v>#N/A</v>
        <stp/>
        <stp>BDH|11899999006175447881</stp>
        <tr r="J92" s="2"/>
      </tp>
      <tp t="e">
        <v>#N/A</v>
        <stp/>
        <stp>BDH|11815252587327194912</stp>
        <tr r="Q58" s="2"/>
      </tp>
      <tp t="e">
        <v>#N/A</v>
        <stp/>
        <stp>BDH|15082174105067078683</stp>
        <tr r="J56" s="2"/>
      </tp>
      <tp t="e">
        <v>#N/A</v>
        <stp/>
        <stp>BDH|16945509577090074144</stp>
        <tr r="AK34" s="2"/>
      </tp>
      <tp t="e">
        <v>#N/A</v>
        <stp/>
        <stp>BDH|17011242705709967920</stp>
        <tr r="AG46" s="2"/>
      </tp>
      <tp t="e">
        <v>#N/A</v>
        <stp/>
        <stp>BDH|14868375630798375961</stp>
        <tr r="AH45" s="2"/>
      </tp>
      <tp t="e">
        <v>#N/A</v>
        <stp/>
        <stp>BDH|13544011171509774886</stp>
        <tr r="AL84" s="2"/>
      </tp>
      <tp t="e">
        <v>#N/A</v>
        <stp/>
        <stp>BDH|12852721603192378275</stp>
        <tr r="AA85" s="2"/>
      </tp>
      <tp t="e">
        <v>#N/A</v>
        <stp/>
        <stp>BDH|15642504455123627386</stp>
        <tr r="T44" s="2"/>
      </tp>
      <tp t="e">
        <v>#N/A</v>
        <stp/>
        <stp>BDH|15865048145911797528</stp>
        <tr r="AG59" s="2"/>
      </tp>
      <tp t="e">
        <v>#N/A</v>
        <stp/>
        <stp>BDH|13013070700095212394</stp>
        <tr r="H70" s="2"/>
      </tp>
      <tp t="e">
        <v>#N/A</v>
        <stp/>
        <stp>BDH|10848941567439627317</stp>
        <tr r="J16" s="2"/>
      </tp>
      <tp t="e">
        <v>#N/A</v>
        <stp/>
        <stp>BDH|11861751807000513309</stp>
        <tr r="AE52" s="2"/>
      </tp>
      <tp t="e">
        <v>#N/A</v>
        <stp/>
        <stp>BDH|16475294337785074750</stp>
        <tr r="AM91" s="2"/>
      </tp>
      <tp t="e">
        <v>#N/A</v>
        <stp/>
        <stp>BDH|17373427002204435282</stp>
        <tr r="AJ89" s="2"/>
      </tp>
      <tp t="e">
        <v>#N/A</v>
        <stp/>
        <stp>BDH|13825495015927972431</stp>
        <tr r="Z90" s="2"/>
      </tp>
      <tp t="e">
        <v>#N/A</v>
        <stp/>
        <stp>BDH|14042596152946042750</stp>
        <tr r="AG7" s="2"/>
      </tp>
    </main>
    <main first="bofaddin.rtdserver">
      <tp t="e">
        <v>#N/A</v>
        <stp/>
        <stp>BDH|7709281588170832152</stp>
        <tr r="AI89" s="2"/>
      </tp>
      <tp t="e">
        <v>#N/A</v>
        <stp/>
        <stp>BDH|5108921658206192303</stp>
        <tr r="AF20" s="2"/>
      </tp>
      <tp t="e">
        <v>#N/A</v>
        <stp/>
        <stp>BDH|8966033447370698015</stp>
        <tr r="AG64" s="2"/>
      </tp>
      <tp t="e">
        <v>#N/A</v>
        <stp/>
        <stp>BDH|6459346139442000838</stp>
        <tr r="AH63" s="2"/>
      </tp>
      <tp t="e">
        <v>#N/A</v>
        <stp/>
        <stp>BDH|5398316151988148791</stp>
        <tr r="Z81" s="2"/>
      </tp>
      <tp t="e">
        <v>#N/A</v>
        <stp/>
        <stp>BDH|4039163958234648834</stp>
        <tr r="AB57" s="2"/>
      </tp>
      <tp t="e">
        <v>#N/A</v>
        <stp/>
        <stp>BDH|6535643583731920501</stp>
        <tr r="AA24" s="2"/>
      </tp>
      <tp t="e">
        <v>#N/A</v>
        <stp/>
        <stp>BDH|7151256517399976113</stp>
        <tr r="V57" s="2"/>
      </tp>
      <tp t="e">
        <v>#N/A</v>
        <stp/>
        <stp>BDH|5642036196582195299</stp>
        <tr r="AO38" s="2"/>
      </tp>
      <tp t="e">
        <v>#N/A</v>
        <stp/>
        <stp>BDH|8517545631650392283</stp>
        <tr r="AH46" s="2"/>
      </tp>
      <tp t="e">
        <v>#N/A</v>
        <stp/>
        <stp>BDH|2744889435416070312</stp>
        <tr r="AO65" s="2"/>
      </tp>
      <tp t="e">
        <v>#N/A</v>
        <stp/>
        <stp>BDH|9966136302325195125</stp>
        <tr r="S22" s="2"/>
      </tp>
      <tp t="e">
        <v>#N/A</v>
        <stp/>
        <stp>BDH|8558301949136524514</stp>
        <tr r="L59" s="2"/>
      </tp>
      <tp t="e">
        <v>#N/A</v>
        <stp/>
        <stp>BDH|8189597910868576853</stp>
        <tr r="AM8" s="2"/>
      </tp>
      <tp t="e">
        <v>#N/A</v>
        <stp/>
        <stp>BDH|2853706052315276905</stp>
        <tr r="Q56" s="2"/>
      </tp>
      <tp t="e">
        <v>#N/A</v>
        <stp/>
        <stp>BDH|2469355982864386181</stp>
        <tr r="P19" s="2"/>
      </tp>
      <tp t="e">
        <v>#N/A</v>
        <stp/>
        <stp>BDH|6066754515614103891</stp>
        <tr r="AP13" s="2"/>
      </tp>
      <tp t="e">
        <v>#N/A</v>
        <stp/>
        <stp>BDH|1772483721348483327</stp>
        <tr r="W92" s="2"/>
      </tp>
      <tp t="e">
        <v>#N/A</v>
        <stp/>
        <stp>BDH|6036989042010226711</stp>
        <tr r="AJ86" s="2"/>
      </tp>
      <tp t="e">
        <v>#N/A</v>
        <stp/>
        <stp>BDH|8671551119017690754</stp>
        <tr r="AH82" s="2"/>
      </tp>
      <tp t="e">
        <v>#N/A</v>
        <stp/>
        <stp>BDH|2381877917711340690</stp>
        <tr r="AM46" s="2"/>
      </tp>
      <tp t="e">
        <v>#N/A</v>
        <stp/>
        <stp>BDH|8717460802983347393</stp>
        <tr r="X74" s="2"/>
      </tp>
      <tp t="e">
        <v>#N/A</v>
        <stp/>
        <stp>BDH|9491138278194232737</stp>
        <tr r="L27" s="2"/>
      </tp>
      <tp t="e">
        <v>#N/A</v>
        <stp/>
        <stp>BDH|3862857213995255326</stp>
        <tr r="AC23" s="2"/>
      </tp>
      <tp t="e">
        <v>#N/A</v>
        <stp/>
        <stp>BDH|6992934642025144274</stp>
        <tr r="J76" s="2"/>
      </tp>
      <tp t="e">
        <v>#N/A</v>
        <stp/>
        <stp>BDH|5247343789675577749</stp>
        <tr r="AB76" s="2"/>
      </tp>
      <tp t="e">
        <v>#N/A</v>
        <stp/>
        <stp>BDH|1396534942649821547</stp>
        <tr r="AE15" s="2"/>
      </tp>
      <tp t="e">
        <v>#N/A</v>
        <stp/>
        <stp>BDH|4056896887609903180</stp>
        <tr r="AK14" s="2"/>
      </tp>
      <tp t="e">
        <v>#N/A</v>
        <stp/>
        <stp>BDH|5259546539207918894</stp>
        <tr r="AB77" s="2"/>
      </tp>
      <tp t="e">
        <v>#N/A</v>
        <stp/>
        <stp>BDH|5215043813870346891</stp>
        <tr r="T84" s="2"/>
      </tp>
      <tp t="e">
        <v>#N/A</v>
        <stp/>
        <stp>BDH|4761971688108646122</stp>
        <tr r="S71" s="2"/>
      </tp>
      <tp t="e">
        <v>#N/A</v>
        <stp/>
        <stp>BDH|5342880127215322630</stp>
        <tr r="AL48" s="2"/>
      </tp>
      <tp t="e">
        <v>#N/A</v>
        <stp/>
        <stp>BDH|8614200460835262588</stp>
        <tr r="AP17" s="2"/>
      </tp>
      <tp t="e">
        <v>#N/A</v>
        <stp/>
        <stp>BDH|4486201801778041296</stp>
        <tr r="T48" s="2"/>
      </tp>
      <tp t="e">
        <v>#N/A</v>
        <stp/>
        <stp>BDH|2734892217511739637</stp>
        <tr r="R59" s="2"/>
      </tp>
      <tp t="e">
        <v>#N/A</v>
        <stp/>
        <stp>BDH|3412280193635527177</stp>
        <tr r="V20" s="2"/>
      </tp>
      <tp t="e">
        <v>#N/A</v>
        <stp/>
        <stp>BDH|7169623704824496914</stp>
        <tr r="K58" s="2"/>
      </tp>
      <tp t="e">
        <v>#N/A</v>
        <stp/>
        <stp>BDH|9676431147490325538</stp>
        <tr r="AI59" s="2"/>
      </tp>
      <tp t="e">
        <v>#N/A</v>
        <stp/>
        <stp>BDH|1018544607020972889</stp>
        <tr r="AC22" s="2"/>
      </tp>
      <tp t="e">
        <v>#N/A</v>
        <stp/>
        <stp>BDH|6892821298659328230</stp>
        <tr r="I83" s="2"/>
      </tp>
      <tp t="e">
        <v>#N/A</v>
        <stp/>
        <stp>BDH|9427684324950391199</stp>
        <tr r="M43" s="2"/>
      </tp>
      <tp t="e">
        <v>#N/A</v>
        <stp/>
        <stp>BDH|7409826031279088949</stp>
        <tr r="AL52" s="2"/>
      </tp>
      <tp t="e">
        <v>#N/A</v>
        <stp/>
        <stp>BDH|7829439097790915660</stp>
        <tr r="K10" s="2"/>
      </tp>
      <tp t="e">
        <v>#N/A</v>
        <stp/>
        <stp>BDH|3734889270535456586</stp>
        <tr r="I89" s="2"/>
      </tp>
      <tp t="e">
        <v>#N/A</v>
        <stp/>
        <stp>BDH|5366332707123066973</stp>
        <tr r="AO92" s="2"/>
      </tp>
      <tp t="e">
        <v>#N/A</v>
        <stp/>
        <stp>BDH|8844438862202174489</stp>
        <tr r="Y63" s="2"/>
      </tp>
      <tp t="e">
        <v>#N/A</v>
        <stp/>
        <stp>BDH|5476174563587641962</stp>
        <tr r="S38" s="2"/>
      </tp>
      <tp t="e">
        <v>#N/A</v>
        <stp/>
        <stp>BDH|9868795227743275346</stp>
        <tr r="S51" s="2"/>
      </tp>
      <tp t="e">
        <v>#N/A</v>
        <stp/>
        <stp>BDH|8251457246412278636</stp>
        <tr r="AF25" s="2"/>
      </tp>
      <tp t="e">
        <v>#N/A</v>
        <stp/>
        <stp>BDH|7926324698243381205</stp>
        <tr r="P55" s="2"/>
      </tp>
      <tp t="e">
        <v>#N/A</v>
        <stp/>
        <stp>BDH|1028819041117449646</stp>
        <tr r="J41" s="2"/>
      </tp>
      <tp t="e">
        <v>#N/A</v>
        <stp/>
        <stp>BDH|2124270572738184356</stp>
        <tr r="K39" s="2"/>
      </tp>
      <tp t="e">
        <v>#N/A</v>
        <stp/>
        <stp>BDH|4532328431391013963</stp>
        <tr r="I73" s="2"/>
      </tp>
      <tp t="e">
        <v>#N/A</v>
        <stp/>
        <stp>BDH|8710868788880009482</stp>
        <tr r="AM43" s="2"/>
      </tp>
      <tp t="e">
        <v>#N/A</v>
        <stp/>
        <stp>BDH|7755527685270367625</stp>
        <tr r="G11" s="2"/>
      </tp>
      <tp t="e">
        <v>#N/A</v>
        <stp/>
        <stp>BDH|9218640126153361228</stp>
        <tr r="AG35" s="2"/>
      </tp>
      <tp t="e">
        <v>#N/A</v>
        <stp/>
        <stp>BDH|3369723389905707598</stp>
        <tr r="M12" s="2"/>
      </tp>
      <tp t="e">
        <v>#N/A</v>
        <stp/>
        <stp>BDH|9124265378750079091</stp>
        <tr r="AI71" s="2"/>
      </tp>
      <tp t="e">
        <v>#N/A</v>
        <stp/>
        <stp>BDH|1141984428986492039</stp>
        <tr r="AC27" s="2"/>
      </tp>
      <tp t="e">
        <v>#N/A</v>
        <stp/>
        <stp>BDH|3682865881316528924</stp>
        <tr r="V51" s="2"/>
      </tp>
      <tp t="e">
        <v>#N/A</v>
        <stp/>
        <stp>BDH|1210721823339574108</stp>
        <tr r="AN73" s="2"/>
      </tp>
      <tp t="e">
        <v>#N/A</v>
        <stp/>
        <stp>BDH|1871880233561458707</stp>
        <tr r="C12" s="2"/>
      </tp>
      <tp t="e">
        <v>#N/A</v>
        <stp/>
        <stp>BDH|8839133657715803532</stp>
        <tr r="AL26" s="2"/>
      </tp>
      <tp t="e">
        <v>#N/A</v>
        <stp/>
        <stp>BDH|8416414001190784048</stp>
        <tr r="E83" s="2"/>
      </tp>
      <tp t="e">
        <v>#N/A</v>
        <stp/>
        <stp>BDH|6277774493661266534</stp>
        <tr r="AI42" s="2"/>
      </tp>
      <tp t="e">
        <v>#N/A</v>
        <stp/>
        <stp>BDH|2375947955903297176</stp>
        <tr r="V82" s="2"/>
      </tp>
      <tp t="e">
        <v>#N/A</v>
        <stp/>
        <stp>BDH|3098818605626096135</stp>
        <tr r="X20" s="2"/>
      </tp>
      <tp t="e">
        <v>#N/A</v>
        <stp/>
        <stp>BDH|9135540232261155219</stp>
        <tr r="C87" s="2"/>
      </tp>
      <tp t="e">
        <v>#N/A</v>
        <stp/>
        <stp>BDH|9057605886842755960</stp>
        <tr r="L15" s="2"/>
      </tp>
      <tp t="e">
        <v>#N/A</v>
        <stp/>
        <stp>BDH|6859185065728887598</stp>
        <tr r="AM25" s="2"/>
      </tp>
      <tp t="e">
        <v>#N/A</v>
        <stp/>
        <stp>BDH|4801536299794038068</stp>
        <tr r="AC75" s="2"/>
      </tp>
      <tp t="e">
        <v>#N/A</v>
        <stp/>
        <stp>BDH|8791743443110165753</stp>
        <tr r="AE59" s="2"/>
      </tp>
      <tp t="e">
        <v>#N/A</v>
        <stp/>
        <stp>BDH|3866973871401204090</stp>
        <tr r="AA75" s="2"/>
      </tp>
      <tp t="e">
        <v>#N/A</v>
        <stp/>
        <stp>BDH|6859671822098814605</stp>
        <tr r="Q46" s="2"/>
      </tp>
      <tp t="e">
        <v>#N/A</v>
        <stp/>
        <stp>BDH|9987231536183088798</stp>
        <tr r="H45" s="2"/>
      </tp>
      <tp t="e">
        <v>#N/A</v>
        <stp/>
        <stp>BDH|2503513266558792505</stp>
        <tr r="H22" s="2"/>
      </tp>
      <tp t="e">
        <v>#N/A</v>
        <stp/>
        <stp>BDH|5484284816962753971</stp>
        <tr r="Z65" s="2"/>
      </tp>
      <tp t="e">
        <v>#N/A</v>
        <stp/>
        <stp>BDH|5266787222049655447</stp>
        <tr r="AL68" s="2"/>
      </tp>
      <tp t="e">
        <v>#N/A</v>
        <stp/>
        <stp>BDH|8652741557841697693</stp>
        <tr r="AP29" s="2"/>
      </tp>
      <tp t="e">
        <v>#N/A</v>
        <stp/>
        <stp>BDH|5352156228969386274</stp>
        <tr r="E28" s="2"/>
      </tp>
      <tp t="e">
        <v>#N/A</v>
        <stp/>
        <stp>BDH|4543193882193088348</stp>
        <tr r="AL21" s="2"/>
      </tp>
      <tp t="e">
        <v>#N/A</v>
        <stp/>
        <stp>BDH|8875413144556181362</stp>
        <tr r="N83" s="2"/>
      </tp>
      <tp t="e">
        <v>#N/A</v>
        <stp/>
        <stp>BDH|9247689646942773419</stp>
        <tr r="G63" s="2"/>
      </tp>
      <tp t="e">
        <v>#N/A</v>
        <stp/>
        <stp>BDH|4944464188190986559</stp>
        <tr r="H35" s="2"/>
      </tp>
      <tp t="e">
        <v>#N/A</v>
        <stp/>
        <stp>BDH|3028417367245912941</stp>
        <tr r="AE73" s="2"/>
      </tp>
      <tp t="e">
        <v>#N/A</v>
        <stp/>
        <stp>BDH|2570439533651823966</stp>
        <tr r="Y66" s="2"/>
      </tp>
      <tp t="e">
        <v>#N/A</v>
        <stp/>
        <stp>BDH|3081004339355164808</stp>
        <tr r="AJ30" s="2"/>
      </tp>
      <tp t="e">
        <v>#N/A</v>
        <stp/>
        <stp>BDH|4378544661679965372</stp>
        <tr r="O50" s="2"/>
      </tp>
      <tp t="e">
        <v>#N/A</v>
        <stp/>
        <stp>BDH|9060455931420477383</stp>
        <tr r="AK25" s="2"/>
      </tp>
      <tp t="e">
        <v>#N/A</v>
        <stp/>
        <stp>BDH|6733161749717450945</stp>
        <tr r="AF7" s="2"/>
      </tp>
      <tp t="e">
        <v>#N/A</v>
        <stp/>
        <stp>BDH|3817783952029309595</stp>
        <tr r="G72" s="2"/>
      </tp>
      <tp t="e">
        <v>#N/A</v>
        <stp/>
        <stp>BDH|9116602844105401382</stp>
        <tr r="AL51" s="2"/>
      </tp>
      <tp t="e">
        <v>#N/A</v>
        <stp/>
        <stp>BDH|3102104699310381627</stp>
        <tr r="AG38" s="2"/>
      </tp>
      <tp t="e">
        <v>#N/A</v>
        <stp/>
        <stp>BDH|6725702268268389250</stp>
        <tr r="AN36" s="2"/>
      </tp>
      <tp t="e">
        <v>#N/A</v>
        <stp/>
        <stp>BDH|4175905765525896351</stp>
        <tr r="C67" s="2"/>
      </tp>
      <tp t="e">
        <v>#N/A</v>
        <stp/>
        <stp>BDH|9479788899112422883</stp>
        <tr r="AE49" s="2"/>
      </tp>
      <tp t="e">
        <v>#N/A</v>
        <stp/>
        <stp>BDH|8009347257654574784</stp>
        <tr r="O59" s="2"/>
      </tp>
      <tp t="e">
        <v>#N/A</v>
        <stp/>
        <stp>BDH|9325230164468974834</stp>
        <tr r="AF92" s="2"/>
      </tp>
      <tp t="e">
        <v>#N/A</v>
        <stp/>
        <stp>BDH|6357839703650972349</stp>
        <tr r="AB88" s="2"/>
      </tp>
      <tp t="e">
        <v>#N/A</v>
        <stp/>
        <stp>BDH|6391480915356452844</stp>
        <tr r="N56" s="2"/>
      </tp>
      <tp t="e">
        <v>#N/A</v>
        <stp/>
        <stp>BDH|3938912446677092405</stp>
        <tr r="C83" s="2"/>
      </tp>
      <tp t="e">
        <v>#N/A</v>
        <stp/>
        <stp>BDH|8288295115826515058</stp>
        <tr r="AM41" s="2"/>
      </tp>
      <tp t="e">
        <v>#N/A</v>
        <stp/>
        <stp>BDH|9520047159996582738</stp>
        <tr r="C18" s="2"/>
      </tp>
      <tp t="e">
        <v>#N/A</v>
        <stp/>
        <stp>BDH|8260380611102501516</stp>
        <tr r="R24" s="2"/>
      </tp>
      <tp t="e">
        <v>#N/A</v>
        <stp/>
        <stp>BDH|8892708577963799670</stp>
        <tr r="Y23" s="2"/>
      </tp>
      <tp t="e">
        <v>#N/A</v>
        <stp/>
        <stp>BDH|6267781273303567835</stp>
        <tr r="W72" s="2"/>
      </tp>
      <tp t="e">
        <v>#N/A</v>
        <stp/>
        <stp>BDH|9536896452171744866</stp>
        <tr r="AO54" s="2"/>
      </tp>
      <tp t="e">
        <v>#N/A</v>
        <stp/>
        <stp>BDH|4039806594379956125</stp>
        <tr r="J31" s="2"/>
      </tp>
      <tp t="e">
        <v>#N/A</v>
        <stp/>
        <stp>BDH|5696142079457058943</stp>
        <tr r="N21" s="2"/>
      </tp>
      <tp t="e">
        <v>#N/A</v>
        <stp/>
        <stp>BDH|3123708233023540982</stp>
        <tr r="R10" s="2"/>
      </tp>
      <tp t="e">
        <v>#N/A</v>
        <stp/>
        <stp>BDH|2228092931585590903</stp>
        <tr r="Q28" s="2"/>
      </tp>
      <tp t="e">
        <v>#N/A</v>
        <stp/>
        <stp>BDH|8528624949943309421</stp>
        <tr r="N30" s="2"/>
      </tp>
      <tp t="e">
        <v>#N/A</v>
        <stp/>
        <stp>BDH|3132082536349550466</stp>
        <tr r="AJ83" s="2"/>
      </tp>
      <tp t="e">
        <v>#N/A</v>
        <stp/>
        <stp>BDH|6252707446041079981</stp>
        <tr r="AL31" s="2"/>
      </tp>
      <tp t="e">
        <v>#N/A</v>
        <stp/>
        <stp>BDH|4950242551949029701</stp>
        <tr r="L28" s="2"/>
      </tp>
      <tp t="e">
        <v>#N/A</v>
        <stp/>
        <stp>BDH|8032131831474732399</stp>
        <tr r="I48" s="2"/>
      </tp>
      <tp t="e">
        <v>#N/A</v>
        <stp/>
        <stp>BDH|4649672130715585993</stp>
        <tr r="C7" s="2"/>
      </tp>
      <tp t="e">
        <v>#N/A</v>
        <stp/>
        <stp>BDH|8894951213354178926</stp>
        <tr r="D51" s="2"/>
      </tp>
      <tp t="e">
        <v>#N/A</v>
        <stp/>
        <stp>BDH|1743289530318375514</stp>
        <tr r="AF45" s="2"/>
      </tp>
      <tp t="e">
        <v>#N/A</v>
        <stp/>
        <stp>BDH|4053677498065697347</stp>
        <tr r="Q19" s="2"/>
      </tp>
      <tp t="e">
        <v>#N/A</v>
        <stp/>
        <stp>BDH|6887094948188498708</stp>
        <tr r="O73" s="2"/>
      </tp>
      <tp t="e">
        <v>#N/A</v>
        <stp/>
        <stp>BDH|5292236259786735924</stp>
        <tr r="G58" s="2"/>
      </tp>
      <tp t="e">
        <v>#N/A</v>
        <stp/>
        <stp>BDH|2807194663311545956</stp>
        <tr r="L44" s="2"/>
      </tp>
      <tp t="e">
        <v>#N/A</v>
        <stp/>
        <stp>BDH|4430734392547338045</stp>
        <tr r="D43" s="2"/>
      </tp>
      <tp t="e">
        <v>#N/A</v>
        <stp/>
        <stp>BDH|4800342836569068088</stp>
        <tr r="K73" s="2"/>
      </tp>
      <tp t="e">
        <v>#N/A</v>
        <stp/>
        <stp>BDH|8481279356933521121</stp>
        <tr r="AM82" s="2"/>
      </tp>
      <tp t="e">
        <v>#N/A</v>
        <stp/>
        <stp>BDH|8187214751504318603</stp>
        <tr r="M73" s="2"/>
      </tp>
      <tp t="e">
        <v>#N/A</v>
        <stp/>
        <stp>BDH|3793968366720155149</stp>
        <tr r="AK72" s="2"/>
      </tp>
      <tp t="e">
        <v>#N/A</v>
        <stp/>
        <stp>BDH|6507489635805259989</stp>
        <tr r="AE26" s="2"/>
      </tp>
      <tp t="e">
        <v>#N/A</v>
        <stp/>
        <stp>BDH|8461150305617396355</stp>
        <tr r="G27" s="2"/>
      </tp>
      <tp t="e">
        <v>#N/A</v>
        <stp/>
        <stp>BDH|3358604662977342900</stp>
        <tr r="P14" s="2"/>
      </tp>
      <tp t="e">
        <v>#N/A</v>
        <stp/>
        <stp>BDH|9506791462061564499</stp>
        <tr r="AK36" s="2"/>
      </tp>
      <tp t="e">
        <v>#N/A</v>
        <stp/>
        <stp>BDH|8981586161415473371</stp>
        <tr r="AF86" s="2"/>
      </tp>
      <tp t="e">
        <v>#N/A</v>
        <stp/>
        <stp>BDH|8340048340499071841</stp>
        <tr r="AD51" s="2"/>
      </tp>
      <tp t="e">
        <v>#N/A</v>
        <stp/>
        <stp>BDH|3747802330914452139</stp>
        <tr r="Z41" s="2"/>
      </tp>
      <tp t="e">
        <v>#N/A</v>
        <stp/>
        <stp>BDH|5535623927349199518</stp>
        <tr r="AO62" s="2"/>
      </tp>
      <tp t="e">
        <v>#N/A</v>
        <stp/>
        <stp>BDH|1390396930005320998</stp>
        <tr r="C51" s="2"/>
      </tp>
      <tp t="e">
        <v>#N/A</v>
        <stp/>
        <stp>BDH|7210976633389447924</stp>
        <tr r="AK62" s="2"/>
      </tp>
      <tp t="e">
        <v>#N/A</v>
        <stp/>
        <stp>BDH|5508409587390450468</stp>
        <tr r="AP60" s="2"/>
      </tp>
      <tp t="e">
        <v>#N/A</v>
        <stp/>
        <stp>BDH|2886957068879191947</stp>
        <tr r="L58" s="2"/>
      </tp>
      <tp t="e">
        <v>#N/A</v>
        <stp/>
        <stp>BDH|8616494162850829756</stp>
        <tr r="AN50" s="2"/>
      </tp>
      <tp t="e">
        <v>#N/A</v>
        <stp/>
        <stp>BDH|9689647526760415001</stp>
        <tr r="AL40" s="2"/>
      </tp>
      <tp t="e">
        <v>#N/A</v>
        <stp/>
        <stp>BDH|3609629995245926485</stp>
        <tr r="AF47" s="2"/>
      </tp>
      <tp t="e">
        <v>#N/A</v>
        <stp/>
        <stp>BDH|5162929140282002732</stp>
        <tr r="AJ48" s="2"/>
      </tp>
      <tp t="e">
        <v>#N/A</v>
        <stp/>
        <stp>BDH|4835802456632915666</stp>
        <tr r="AA51" s="2"/>
      </tp>
      <tp t="e">
        <v>#N/A</v>
        <stp/>
        <stp>BDH|9150216640933410159</stp>
        <tr r="F85" s="2"/>
      </tp>
      <tp t="e">
        <v>#N/A</v>
        <stp/>
        <stp>BDH|4417700130199020455</stp>
        <tr r="I69" s="2"/>
      </tp>
      <tp t="e">
        <v>#N/A</v>
        <stp/>
        <stp>BDH|9863614521102120287</stp>
        <tr r="AN11" s="2"/>
      </tp>
      <tp t="e">
        <v>#N/A</v>
        <stp/>
        <stp>BDH|9718027965687996585</stp>
        <tr r="D50" s="2"/>
      </tp>
      <tp t="e">
        <v>#N/A</v>
        <stp/>
        <stp>BDH|8736045063661605201</stp>
        <tr r="AE27" s="2"/>
      </tp>
      <tp t="e">
        <v>#N/A</v>
        <stp/>
        <stp>BDH|6260481868648146150</stp>
        <tr r="D15" s="2"/>
      </tp>
      <tp t="e">
        <v>#N/A</v>
        <stp/>
        <stp>BDH|6120020559117521999</stp>
        <tr r="AJ49" s="2"/>
      </tp>
      <tp t="e">
        <v>#N/A</v>
        <stp/>
        <stp>BDH|5186256551396335905</stp>
        <tr r="P91" s="2"/>
      </tp>
      <tp t="e">
        <v>#N/A</v>
        <stp/>
        <stp>BDH|7917596558068889263</stp>
        <tr r="K86" s="2"/>
      </tp>
      <tp t="e">
        <v>#N/A</v>
        <stp/>
        <stp>BDH|8429641000821429226</stp>
        <tr r="O10" s="2"/>
      </tp>
      <tp t="e">
        <v>#N/A</v>
        <stp/>
        <stp>BDH|7966433251838961358</stp>
        <tr r="D59" s="2"/>
      </tp>
      <tp t="e">
        <v>#N/A</v>
        <stp/>
        <stp>BDH|6407909940452460473</stp>
        <tr r="U57" s="2"/>
      </tp>
      <tp t="e">
        <v>#N/A</v>
        <stp/>
        <stp>BDH|4156998279303792418</stp>
        <tr r="V87" s="2"/>
      </tp>
      <tp t="e">
        <v>#N/A</v>
        <stp/>
        <stp>BDH|5319655254979684204</stp>
        <tr r="AB30" s="2"/>
      </tp>
      <tp t="e">
        <v>#N/A</v>
        <stp/>
        <stp>BDH|6234269658085193990</stp>
        <tr r="V50" s="2"/>
      </tp>
      <tp t="e">
        <v>#N/A</v>
        <stp/>
        <stp>BDH|8305436659526499292</stp>
        <tr r="H36" s="2"/>
      </tp>
      <tp t="e">
        <v>#N/A</v>
        <stp/>
        <stp>BDH|1865060599653381603</stp>
        <tr r="AM71" s="2"/>
      </tp>
      <tp t="e">
        <v>#N/A</v>
        <stp/>
        <stp>BDH|7341455161668437079</stp>
        <tr r="AH86" s="2"/>
      </tp>
      <tp t="e">
        <v>#N/A</v>
        <stp/>
        <stp>BDH|2382028127009389417</stp>
        <tr r="AO56" s="2"/>
      </tp>
      <tp t="e">
        <v>#N/A</v>
        <stp/>
        <stp>BDH|7077619963872793810</stp>
        <tr r="AC28" s="2"/>
      </tp>
      <tp t="e">
        <v>#N/A</v>
        <stp/>
        <stp>BDH|2988203201994810957</stp>
        <tr r="Y34" s="2"/>
      </tp>
      <tp t="e">
        <v>#N/A</v>
        <stp/>
        <stp>BDH|9184492086220944825</stp>
        <tr r="AF60" s="2"/>
      </tp>
      <tp t="e">
        <v>#N/A</v>
        <stp/>
        <stp>BDH|1033312189822841556</stp>
        <tr r="L71" s="2"/>
      </tp>
      <tp t="e">
        <v>#N/A</v>
        <stp/>
        <stp>BDH|2239121545202192814</stp>
        <tr r="H65" s="2"/>
      </tp>
      <tp t="e">
        <v>#N/A</v>
        <stp/>
        <stp>BDH|6019938382459563314</stp>
        <tr r="AA60" s="2"/>
      </tp>
      <tp t="e">
        <v>#N/A</v>
        <stp/>
        <stp>BDH|1348047745370686817</stp>
        <tr r="AH8" s="2"/>
      </tp>
      <tp t="e">
        <v>#N/A</v>
        <stp/>
        <stp>BDH|90278705162589020</stp>
        <tr r="AJ24" s="2"/>
      </tp>
      <tp t="e">
        <v>#N/A</v>
        <stp/>
        <stp>BDH|6255536623898832709</stp>
        <tr r="K37" s="2"/>
      </tp>
      <tp t="e">
        <v>#N/A</v>
        <stp/>
        <stp>BDH|2988554895613124328</stp>
        <tr r="N14" s="2"/>
      </tp>
      <tp t="e">
        <v>#N/A</v>
        <stp/>
        <stp>BDH|9845475779482817644</stp>
        <tr r="I74" s="2"/>
      </tp>
      <tp t="e">
        <v>#N/A</v>
        <stp/>
        <stp>BDH|2165071166409309395</stp>
        <tr r="S89" s="2"/>
      </tp>
      <tp t="e">
        <v>#N/A</v>
        <stp/>
        <stp>BDH|6321034705741893971</stp>
        <tr r="AJ21" s="2"/>
      </tp>
      <tp t="e">
        <v>#N/A</v>
        <stp/>
        <stp>BDH|1614829572168863847</stp>
        <tr r="AN72" s="2"/>
      </tp>
      <tp t="e">
        <v>#N/A</v>
        <stp/>
        <stp>BDH|6197036920692117890</stp>
        <tr r="R77" s="2"/>
      </tp>
      <tp t="e">
        <v>#N/A</v>
        <stp/>
        <stp>BDH|6167849668897791103</stp>
        <tr r="Z27" s="2"/>
      </tp>
      <tp t="e">
        <v>#N/A</v>
        <stp/>
        <stp>BDH|1597177772201958836</stp>
        <tr r="AJ68" s="2"/>
      </tp>
      <tp t="e">
        <v>#N/A</v>
        <stp/>
        <stp>BDH|3885509893309817883</stp>
        <tr r="O23" s="2"/>
      </tp>
      <tp t="e">
        <v>#N/A</v>
        <stp/>
        <stp>BDH|3250196410378249527</stp>
        <tr r="AD69" s="2"/>
      </tp>
      <tp t="e">
        <v>#N/A</v>
        <stp/>
        <stp>BDH|5705949413984933727</stp>
        <tr r="T14" s="2"/>
      </tp>
      <tp t="e">
        <v>#N/A</v>
        <stp/>
        <stp>BDH|7819160295884967598</stp>
        <tr r="AA21" s="2"/>
      </tp>
      <tp t="e">
        <v>#N/A</v>
        <stp/>
        <stp>BDH|5324458689797719037</stp>
        <tr r="N50" s="2"/>
      </tp>
      <tp t="e">
        <v>#N/A</v>
        <stp/>
        <stp>BDH|2182879056786933728</stp>
        <tr r="AE91" s="2"/>
      </tp>
      <tp t="e">
        <v>#N/A</v>
        <stp/>
        <stp>BDH|8697419208097268551</stp>
        <tr r="AD42" s="2"/>
      </tp>
      <tp t="e">
        <v>#N/A</v>
        <stp/>
        <stp>BDH|5916320605150708817</stp>
        <tr r="AL25" s="2"/>
      </tp>
      <tp t="e">
        <v>#N/A</v>
        <stp/>
        <stp>BDH|1924574884252391015</stp>
        <tr r="AN63" s="2"/>
      </tp>
      <tp t="e">
        <v>#N/A</v>
        <stp/>
        <stp>BDH|4824255384935430556</stp>
        <tr r="M46" s="2"/>
      </tp>
      <tp t="e">
        <v>#N/A</v>
        <stp/>
        <stp>BDH|7413899165521897689</stp>
        <tr r="AM67" s="2"/>
      </tp>
      <tp t="e">
        <v>#N/A</v>
        <stp/>
        <stp>BDH|7808679563948146145</stp>
        <tr r="AO75" s="2"/>
      </tp>
      <tp t="e">
        <v>#N/A</v>
        <stp/>
        <stp>BDH|2128026793676954307</stp>
        <tr r="AE61" s="2"/>
      </tp>
      <tp t="e">
        <v>#N/A</v>
        <stp/>
        <stp>BDH|2935806648590036083</stp>
        <tr r="S18" s="2"/>
      </tp>
      <tp t="e">
        <v>#N/A</v>
        <stp/>
        <stp>BDH|8840526812100466255</stp>
        <tr r="P73" s="2"/>
      </tp>
      <tp t="e">
        <v>#N/A</v>
        <stp/>
        <stp>BDH|8865562862933538602</stp>
        <tr r="AM16" s="2"/>
      </tp>
      <tp t="e">
        <v>#N/A</v>
        <stp/>
        <stp>BDH|3910857734571334750</stp>
        <tr r="G9" s="2"/>
      </tp>
      <tp t="e">
        <v>#N/A</v>
        <stp/>
        <stp>BDH|7779986221315644760</stp>
        <tr r="S47" s="2"/>
      </tp>
      <tp t="e">
        <v>#N/A</v>
        <stp/>
        <stp>BDH|1270129894101949629</stp>
        <tr r="AG34" s="2"/>
      </tp>
      <tp t="e">
        <v>#N/A</v>
        <stp/>
        <stp>BDH|6696660737354095989</stp>
        <tr r="Y89" s="2"/>
      </tp>
      <tp t="e">
        <v>#N/A</v>
        <stp/>
        <stp>BDH|5773544242912783898</stp>
        <tr r="AL91" s="2"/>
      </tp>
      <tp t="e">
        <v>#N/A</v>
        <stp/>
        <stp>BDH|3305485636143802995</stp>
        <tr r="G35" s="2"/>
      </tp>
      <tp t="e">
        <v>#N/A</v>
        <stp/>
        <stp>BDH|4118590792146003061</stp>
        <tr r="R83" s="2"/>
      </tp>
      <tp t="e">
        <v>#N/A</v>
        <stp/>
        <stp>BDH|6635150146025013891</stp>
        <tr r="G14" s="2"/>
      </tp>
      <tp t="e">
        <v>#N/A</v>
        <stp/>
        <stp>BDH|3910904130054557302</stp>
        <tr r="O60" s="2"/>
      </tp>
      <tp t="e">
        <v>#N/A</v>
        <stp/>
        <stp>BDH|9724854299354664216</stp>
        <tr r="J15" s="2"/>
      </tp>
      <tp t="e">
        <v>#N/A</v>
        <stp/>
        <stp>BDH|4777237229709305321</stp>
        <tr r="AF53" s="2"/>
      </tp>
      <tp t="e">
        <v>#N/A</v>
        <stp/>
        <stp>BDH|6671555486943013691</stp>
        <tr r="AI18" s="2"/>
      </tp>
      <tp t="e">
        <v>#N/A</v>
        <stp/>
        <stp>BDH|5481095516783032976</stp>
        <tr r="L14" s="2"/>
      </tp>
      <tp t="e">
        <v>#N/A</v>
        <stp/>
        <stp>BDH|1636295785662167767</stp>
        <tr r="J39" s="2"/>
      </tp>
      <tp t="e">
        <v>#N/A</v>
        <stp/>
        <stp>BDH|3003596446049145530</stp>
        <tr r="AN28" s="2"/>
      </tp>
      <tp t="e">
        <v>#N/A</v>
        <stp/>
        <stp>BDH|3127915204956837219</stp>
        <tr r="M64" s="2"/>
      </tp>
      <tp t="e">
        <v>#N/A</v>
        <stp/>
        <stp>BDH|7589014359494283827</stp>
        <tr r="L72" s="2"/>
      </tp>
      <tp t="e">
        <v>#N/A</v>
        <stp/>
        <stp>BDH|9324284771036410431</stp>
        <tr r="AG76" s="2"/>
      </tp>
      <tp t="e">
        <v>#N/A</v>
        <stp/>
        <stp>BDH|2383534214531800912</stp>
        <tr r="J54" s="2"/>
      </tp>
      <tp t="e">
        <v>#N/A</v>
        <stp/>
        <stp>BDH|5840721006908054414</stp>
        <tr r="AI28" s="2"/>
      </tp>
      <tp t="e">
        <v>#N/A</v>
        <stp/>
        <stp>BDH|6396323823138753183</stp>
        <tr r="AE38" s="2"/>
      </tp>
      <tp t="e">
        <v>#N/A</v>
        <stp/>
        <stp>BDH|2663222170300885910</stp>
        <tr r="AD68" s="2"/>
      </tp>
      <tp t="e">
        <v>#N/A</v>
        <stp/>
        <stp>BDH|4233464930815025892</stp>
        <tr r="I84" s="2"/>
      </tp>
      <tp t="e">
        <v>#N/A</v>
        <stp/>
        <stp>BDH|2722697331671510886</stp>
        <tr r="X64" s="2"/>
      </tp>
      <tp t="e">
        <v>#N/A</v>
        <stp/>
        <stp>BDH|6924537831028932601</stp>
        <tr r="W15" s="2"/>
      </tp>
      <tp t="e">
        <v>#N/A</v>
        <stp/>
        <stp>BDH|7359467488152640790</stp>
        <tr r="AL28" s="2"/>
      </tp>
      <tp t="e">
        <v>#N/A</v>
        <stp/>
        <stp>BDH|8785519293232621817</stp>
        <tr r="D9" s="2"/>
      </tp>
      <tp t="e">
        <v>#N/A</v>
        <stp/>
        <stp>BDH|9513363284858751421</stp>
        <tr r="AL36" s="2"/>
      </tp>
      <tp t="e">
        <v>#N/A</v>
        <stp/>
        <stp>BDH|4012937257142049473</stp>
        <tr r="G21" s="2"/>
      </tp>
      <tp t="e">
        <v>#N/A</v>
        <stp/>
        <stp>BDH|9441080008422286555</stp>
        <tr r="AL17" s="2"/>
      </tp>
      <tp t="e">
        <v>#N/A</v>
        <stp/>
        <stp>BDH|4015563541913471803</stp>
        <tr r="AM11" s="2"/>
      </tp>
      <tp t="e">
        <v>#N/A</v>
        <stp/>
        <stp>BDH|4964902292212982810</stp>
        <tr r="AB23" s="2"/>
      </tp>
      <tp t="e">
        <v>#N/A</v>
        <stp/>
        <stp>BDH|2226166903755718803</stp>
        <tr r="Q26" s="2"/>
      </tp>
      <tp t="e">
        <v>#N/A</v>
        <stp/>
        <stp>BDH|8240885889592700440</stp>
        <tr r="I90" s="2"/>
      </tp>
      <tp t="e">
        <v>#N/A</v>
        <stp/>
        <stp>BDH|1793190368680746810</stp>
        <tr r="AI54" s="2"/>
      </tp>
      <tp t="e">
        <v>#N/A</v>
        <stp/>
        <stp>BDH|4000549331458688438</stp>
        <tr r="H30" s="2"/>
      </tp>
      <tp t="e">
        <v>#N/A</v>
        <stp/>
        <stp>BDH|1461210422396029978</stp>
        <tr r="H58" s="2"/>
      </tp>
      <tp t="e">
        <v>#N/A</v>
        <stp/>
        <stp>BDH|2424949140307530654</stp>
        <tr r="P75" s="2"/>
      </tp>
      <tp t="e">
        <v>#N/A</v>
        <stp/>
        <stp>BDH|7173371572648064557</stp>
        <tr r="F58" s="2"/>
      </tp>
      <tp t="e">
        <v>#N/A</v>
        <stp/>
        <stp>BDH|5289741874889765244</stp>
        <tr r="AE25" s="2"/>
      </tp>
      <tp t="e">
        <v>#N/A</v>
        <stp/>
        <stp>BDH|8534084555367933402</stp>
        <tr r="AL38" s="2"/>
      </tp>
      <tp t="e">
        <v>#N/A</v>
        <stp/>
        <stp>BDH|7758941404386127671</stp>
        <tr r="T27" s="2"/>
      </tp>
      <tp t="e">
        <v>#N/A</v>
        <stp/>
        <stp>BDH|1335466134141807983</stp>
        <tr r="C73" s="2"/>
      </tp>
      <tp t="e">
        <v>#N/A</v>
        <stp/>
        <stp>BDH|8385174757277603545</stp>
        <tr r="P13" s="2"/>
      </tp>
      <tp t="e">
        <v>#N/A</v>
        <stp/>
        <stp>BDH|5343154982485539777</stp>
        <tr r="D47" s="2"/>
      </tp>
      <tp t="e">
        <v>#N/A</v>
        <stp/>
        <stp>BDH|8716204547247404723</stp>
        <tr r="F54" s="2"/>
      </tp>
      <tp t="e">
        <v>#N/A</v>
        <stp/>
        <stp>BDH|1908785023569587313</stp>
        <tr r="AO50" s="2"/>
      </tp>
      <tp t="e">
        <v>#N/A</v>
        <stp/>
        <stp>BDH|9756203277913524137</stp>
        <tr r="AO41" s="2"/>
      </tp>
      <tp t="e">
        <v>#N/A</v>
        <stp/>
        <stp>BDH|8358018006740653641</stp>
        <tr r="G84" s="2"/>
      </tp>
      <tp t="e">
        <v>#N/A</v>
        <stp/>
        <stp>BDH|3116497540458658597</stp>
        <tr r="AJ42" s="2"/>
      </tp>
      <tp t="e">
        <v>#N/A</v>
        <stp/>
        <stp>BDH|6567855616341075015</stp>
        <tr r="U39" s="2"/>
      </tp>
      <tp t="e">
        <v>#N/A</v>
        <stp/>
        <stp>BDH|9171181877372047395</stp>
        <tr r="N77" s="2"/>
      </tp>
      <tp t="e">
        <v>#N/A</v>
        <stp/>
        <stp>BDH|1031460267764077964</stp>
        <tr r="F72" s="2"/>
      </tp>
      <tp t="e">
        <v>#N/A</v>
        <stp/>
        <stp>BDH|9359805895491420751</stp>
        <tr r="AK82" s="2"/>
      </tp>
      <tp t="e">
        <v>#N/A</v>
        <stp/>
        <stp>BDH|1291407844336157900</stp>
        <tr r="X68" s="2"/>
      </tp>
      <tp t="e">
        <v>#N/A</v>
        <stp/>
        <stp>BDH|7441226078654886810</stp>
        <tr r="AO24" s="2"/>
      </tp>
      <tp t="e">
        <v>#N/A</v>
        <stp/>
        <stp>BDH|7564319737010198959</stp>
        <tr r="AA10" s="2"/>
      </tp>
      <tp t="e">
        <v>#N/A</v>
        <stp/>
        <stp>BDH|9261648161352250526</stp>
        <tr r="F46" s="2"/>
      </tp>
      <tp t="e">
        <v>#N/A</v>
        <stp/>
        <stp>BDH|2940876959476354704</stp>
        <tr r="R14" s="2"/>
      </tp>
      <tp t="e">
        <v>#N/A</v>
        <stp/>
        <stp>BDH|6475102044768235567</stp>
        <tr r="O31" s="2"/>
      </tp>
      <tp t="e">
        <v>#N/A</v>
        <stp/>
        <stp>BDH|9676759670666559124</stp>
        <tr r="E72" s="2"/>
      </tp>
      <tp t="e">
        <v>#N/A</v>
        <stp/>
        <stp>BDH|9088365626413153557</stp>
        <tr r="D34" s="2"/>
      </tp>
      <tp t="e">
        <v>#N/A</v>
        <stp/>
        <stp>BDH|9059592840404429285</stp>
        <tr r="AC81" s="2"/>
      </tp>
      <tp t="e">
        <v>#N/A</v>
        <stp/>
        <stp>BDH|9188943785673181543</stp>
        <tr r="C72" s="2"/>
      </tp>
      <tp t="e">
        <v>#N/A</v>
        <stp/>
        <stp>BDH|1176921881039237753</stp>
        <tr r="AB13" s="2"/>
      </tp>
      <tp t="e">
        <v>#N/A</v>
        <stp/>
        <stp>BDH|4698067982961055379</stp>
        <tr r="AI85" s="2"/>
      </tp>
      <tp t="e">
        <v>#N/A</v>
        <stp/>
        <stp>BDH|7344218952497523904</stp>
        <tr r="S43" s="2"/>
      </tp>
      <tp t="e">
        <v>#N/A</v>
        <stp/>
        <stp>BDH|1776492827188264017</stp>
        <tr r="AK74" s="2"/>
      </tp>
      <tp t="e">
        <v>#N/A</v>
        <stp/>
        <stp>BDH|4780950358615343231</stp>
        <tr r="AL64" s="2"/>
      </tp>
      <tp t="e">
        <v>#N/A</v>
        <stp/>
        <stp>BDH|6117403914949699599</stp>
        <tr r="J43" s="2"/>
      </tp>
      <tp t="e">
        <v>#N/A</v>
        <stp/>
        <stp>BDH|1850562999164922649</stp>
        <tr r="AH21" s="2"/>
      </tp>
      <tp t="e">
        <v>#N/A</v>
        <stp/>
        <stp>BDH|9945100056194057640</stp>
        <tr r="V68" s="2"/>
      </tp>
      <tp t="e">
        <v>#N/A</v>
        <stp/>
        <stp>BDH|8334745413349974866</stp>
        <tr r="K59" s="2"/>
      </tp>
      <tp t="e">
        <v>#N/A</v>
        <stp/>
        <stp>BDH|1043964644751172289</stp>
        <tr r="L39" s="2"/>
      </tp>
      <tp t="e">
        <v>#N/A</v>
        <stp/>
        <stp>BDH|3454935637072912429</stp>
        <tr r="AK13" s="2"/>
      </tp>
      <tp t="e">
        <v>#N/A</v>
        <stp/>
        <stp>BDH|3767856609941111514</stp>
        <tr r="U70" s="2"/>
      </tp>
      <tp t="e">
        <v>#N/A</v>
        <stp/>
        <stp>BDH|3888808563833609158</stp>
        <tr r="U87" s="2"/>
      </tp>
      <tp t="e">
        <v>#N/A</v>
        <stp/>
        <stp>BDH|7844586597405841170</stp>
        <tr r="AB20" s="2"/>
      </tp>
      <tp t="e">
        <v>#N/A</v>
        <stp/>
        <stp>BDH|3786673652568290783</stp>
        <tr r="W77" s="2"/>
      </tp>
      <tp t="e">
        <v>#N/A</v>
        <stp/>
        <stp>BDH|3986372542908114355</stp>
        <tr r="AP84" s="2"/>
      </tp>
      <tp t="e">
        <v>#N/A</v>
        <stp/>
        <stp>BDH|9422907959059769324</stp>
        <tr r="D19" s="2"/>
      </tp>
      <tp t="e">
        <v>#N/A</v>
        <stp/>
        <stp>BDH|7817945070286211061</stp>
        <tr r="R28" s="2"/>
      </tp>
      <tp t="e">
        <v>#N/A</v>
        <stp/>
        <stp>BDH|5082562729249740407</stp>
        <tr r="K45" s="2"/>
      </tp>
      <tp t="e">
        <v>#N/A</v>
        <stp/>
        <stp>BDH|3239720005812831952</stp>
        <tr r="X54" s="2"/>
      </tp>
      <tp t="e">
        <v>#N/A</v>
        <stp/>
        <stp>BDH|9572737629485195667</stp>
        <tr r="V74" s="2"/>
      </tp>
      <tp t="e">
        <v>#N/A</v>
        <stp/>
        <stp>BDH|3982355456763621946</stp>
        <tr r="X73" s="2"/>
      </tp>
      <tp t="e">
        <v>#N/A</v>
        <stp/>
        <stp>BDH|5714746797506810255</stp>
        <tr r="I8" s="2"/>
      </tp>
      <tp t="e">
        <v>#N/A</v>
        <stp/>
        <stp>BDH|4843276692910170055</stp>
        <tr r="M16" s="2"/>
      </tp>
      <tp t="e">
        <v>#N/A</v>
        <stp/>
        <stp>BDH|3570684194630249329</stp>
        <tr r="U50" s="2"/>
      </tp>
      <tp t="e">
        <v>#N/A</v>
        <stp/>
        <stp>BDH|7005386610952726861</stp>
        <tr r="T18" s="2"/>
      </tp>
      <tp t="e">
        <v>#N/A</v>
        <stp/>
        <stp>BDH|6322486243048138108</stp>
        <tr r="AM18" s="2"/>
      </tp>
      <tp t="e">
        <v>#N/A</v>
        <stp/>
        <stp>BDH|6753805514325803550</stp>
        <tr r="S59" s="2"/>
      </tp>
      <tp t="e">
        <v>#N/A</v>
        <stp/>
        <stp>BDH|9258107619381474711</stp>
        <tr r="T53" s="2"/>
      </tp>
      <tp t="e">
        <v>#N/A</v>
        <stp/>
        <stp>BDH|8995975603247129920</stp>
        <tr r="T81" s="2"/>
      </tp>
      <tp t="e">
        <v>#N/A</v>
        <stp/>
        <stp>BDH|7893133952649189575</stp>
        <tr r="X26" s="2"/>
      </tp>
      <tp t="e">
        <v>#N/A</v>
        <stp/>
        <stp>BDH|9060302209136313355</stp>
        <tr r="AE35" s="2"/>
      </tp>
      <tp t="e">
        <v>#N/A</v>
        <stp/>
        <stp>BDH|5754943387983366888</stp>
        <tr r="AK17" s="2"/>
      </tp>
      <tp t="e">
        <v>#N/A</v>
        <stp/>
        <stp>BDH|2611996005494536006</stp>
        <tr r="AA76" s="2"/>
      </tp>
      <tp t="e">
        <v>#N/A</v>
        <stp/>
        <stp>BDH|8244854268610277929</stp>
        <tr r="W54" s="2"/>
      </tp>
      <tp t="e">
        <v>#N/A</v>
        <stp/>
        <stp>BDH|9190533539779778935</stp>
        <tr r="L37" s="2"/>
      </tp>
      <tp t="e">
        <v>#N/A</v>
        <stp/>
        <stp>BDH|4447290377638384651</stp>
        <tr r="N52" s="2"/>
      </tp>
      <tp t="e">
        <v>#N/A</v>
        <stp/>
        <stp>BDH|9965802520135088952</stp>
        <tr r="P34" s="2"/>
      </tp>
      <tp t="e">
        <v>#N/A</v>
        <stp/>
        <stp>BDH|9166653219625168416</stp>
        <tr r="C30" s="2"/>
      </tp>
      <tp t="e">
        <v>#N/A</v>
        <stp/>
        <stp>BDH|3685960419814642023</stp>
        <tr r="AG15" s="2"/>
      </tp>
      <tp t="e">
        <v>#N/A</v>
        <stp/>
        <stp>BDH|8638130768418081809</stp>
        <tr r="Z89" s="2"/>
      </tp>
      <tp t="e">
        <v>#N/A</v>
        <stp/>
        <stp>BDH|2536980570724386734</stp>
        <tr r="AM48" s="2"/>
      </tp>
      <tp t="e">
        <v>#N/A</v>
        <stp/>
        <stp>BDH|5330878123948895821</stp>
        <tr r="X22" s="2"/>
      </tp>
      <tp t="e">
        <v>#N/A</v>
        <stp/>
        <stp>BDH|2858767009858090256</stp>
        <tr r="AE55" s="2"/>
      </tp>
      <tp t="e">
        <v>#N/A</v>
        <stp/>
        <stp>BDH|8363102071703886280</stp>
        <tr r="F64" s="2"/>
      </tp>
      <tp t="e">
        <v>#N/A</v>
        <stp/>
        <stp>BDH|3122633593517187427</stp>
        <tr r="AD71" s="2"/>
      </tp>
      <tp t="e">
        <v>#N/A</v>
        <stp/>
        <stp>BDH|6125621880567648079</stp>
        <tr r="N7" s="2"/>
      </tp>
      <tp t="e">
        <v>#N/A</v>
        <stp/>
        <stp>BDH|9885608679201284617</stp>
        <tr r="AG56" s="2"/>
      </tp>
      <tp t="e">
        <v>#N/A</v>
        <stp/>
        <stp>BDH|8349309368272032090</stp>
        <tr r="W9" s="2"/>
      </tp>
      <tp t="e">
        <v>#N/A</v>
        <stp/>
        <stp>BDH|2107262404427816899</stp>
        <tr r="L52" s="2"/>
      </tp>
      <tp t="e">
        <v>#N/A</v>
        <stp/>
        <stp>BDH|8829081340521663250</stp>
        <tr r="AL76" s="2"/>
      </tp>
      <tp t="e">
        <v>#N/A</v>
        <stp/>
        <stp>BDH|4011936846490074660</stp>
        <tr r="D21" s="2"/>
      </tp>
      <tp t="e">
        <v>#N/A</v>
        <stp/>
        <stp>BDH|9553765274316443003</stp>
        <tr r="AE87" s="2"/>
      </tp>
      <tp t="e">
        <v>#N/A</v>
        <stp/>
        <stp>BDH|9081595608295190630</stp>
        <tr r="Z56" s="2"/>
      </tp>
      <tp t="e">
        <v>#N/A</v>
        <stp/>
        <stp>BDH|7021120085839706832</stp>
        <tr r="AP38" s="2"/>
      </tp>
      <tp t="e">
        <v>#N/A</v>
        <stp/>
        <stp>BDH|8865440295753397990</stp>
        <tr r="AP52" s="2"/>
      </tp>
      <tp t="e">
        <v>#N/A</v>
        <stp/>
        <stp>BDH|9036980813257107999</stp>
        <tr r="H69" s="2"/>
      </tp>
      <tp t="e">
        <v>#N/A</v>
        <stp/>
        <stp>BDH|5193058408473886976</stp>
        <tr r="AK51" s="2"/>
      </tp>
      <tp t="e">
        <v>#N/A</v>
        <stp/>
        <stp>BDH|3296403468067086999</stp>
        <tr r="Q84" s="2"/>
      </tp>
      <tp t="e">
        <v>#N/A</v>
        <stp/>
        <stp>BDH|4733326039802622991</stp>
        <tr r="AD66" s="2"/>
      </tp>
      <tp t="e">
        <v>#N/A</v>
        <stp/>
        <stp>BDH|9300345431182043462</stp>
        <tr r="X70" s="2"/>
      </tp>
      <tp t="e">
        <v>#N/A</v>
        <stp/>
        <stp>BDH|7996770926149986416</stp>
        <tr r="R57" s="2"/>
      </tp>
      <tp t="e">
        <v>#N/A</v>
        <stp/>
        <stp>BDH|4701346465599039768</stp>
        <tr r="AG88" s="2"/>
      </tp>
      <tp t="e">
        <v>#N/A</v>
        <stp/>
        <stp>BDH|1163669485084534477</stp>
        <tr r="AH34" s="2"/>
      </tp>
      <tp t="e">
        <v>#N/A</v>
        <stp/>
        <stp>BDH|7563901878931557781</stp>
        <tr r="E34" s="2"/>
      </tp>
      <tp t="e">
        <v>#N/A</v>
        <stp/>
        <stp>BDH|1810395021819430641</stp>
        <tr r="AA67" s="2"/>
      </tp>
      <tp t="e">
        <v>#N/A</v>
        <stp/>
        <stp>BDH|7755356882916681573</stp>
        <tr r="L11" s="2"/>
      </tp>
      <tp t="e">
        <v>#N/A</v>
        <stp/>
        <stp>BDH|5321594838634306800</stp>
        <tr r="AB11" s="2"/>
      </tp>
      <tp t="e">
        <v>#N/A</v>
        <stp/>
        <stp>BDH|9130206652467401662</stp>
        <tr r="U44" s="2"/>
      </tp>
      <tp t="e">
        <v>#N/A</v>
        <stp/>
        <stp>BDH|4003001746989492632</stp>
        <tr r="Q89" s="2"/>
      </tp>
      <tp t="e">
        <v>#N/A</v>
        <stp/>
        <stp>BDH|8242480453224077285</stp>
        <tr r="F39" s="2"/>
      </tp>
      <tp t="e">
        <v>#N/A</v>
        <stp/>
        <stp>BDH|3056361999147614180</stp>
        <tr r="AL47" s="2"/>
      </tp>
      <tp t="e">
        <v>#N/A</v>
        <stp/>
        <stp>BDH|2840938555391782081</stp>
        <tr r="AI25" s="2"/>
      </tp>
      <tp t="e">
        <v>#N/A</v>
        <stp/>
        <stp>BDH|1886550511818494292</stp>
        <tr r="AK40" s="2"/>
      </tp>
      <tp t="e">
        <v>#N/A</v>
        <stp/>
        <stp>BDH|8448094748027349478</stp>
        <tr r="E24" s="2"/>
      </tp>
      <tp t="e">
        <v>#N/A</v>
        <stp/>
        <stp>BDH|6705545031259372672</stp>
        <tr r="Q8" s="2"/>
      </tp>
      <tp t="e">
        <v>#N/A</v>
        <stp/>
        <stp>BDH|9787103351790934297</stp>
        <tr r="AC74" s="2"/>
      </tp>
      <tp t="e">
        <v>#N/A</v>
        <stp/>
        <stp>BDH|6825957712290982105</stp>
        <tr r="AD73" s="2"/>
      </tp>
      <tp t="e">
        <v>#N/A</v>
        <stp/>
        <stp>BDH|6229570206878550403</stp>
        <tr r="AJ28" s="2"/>
      </tp>
      <tp t="e">
        <v>#N/A</v>
        <stp/>
        <stp>BDH|6049439396990705457</stp>
        <tr r="Z43" s="2"/>
      </tp>
      <tp t="e">
        <v>#N/A</v>
        <stp/>
        <stp>BDH|2534462886828159939</stp>
        <tr r="AD49" s="2"/>
      </tp>
      <tp t="e">
        <v>#N/A</v>
        <stp/>
        <stp>BDH|1333359252970709844</stp>
        <tr r="O12" s="2"/>
      </tp>
      <tp t="e">
        <v>#N/A</v>
        <stp/>
        <stp>BDH|3636300133669368514</stp>
        <tr r="AH49" s="2"/>
      </tp>
      <tp t="e">
        <v>#N/A</v>
        <stp/>
        <stp>BDH|9560920613257798947</stp>
        <tr r="M14" s="2"/>
      </tp>
      <tp t="e">
        <v>#N/A</v>
        <stp/>
        <stp>BDH|4903011228690388943</stp>
        <tr r="AD11" s="2"/>
      </tp>
      <tp t="e">
        <v>#N/A</v>
        <stp/>
        <stp>BDH|9163469373363441677</stp>
        <tr r="AD46" s="2"/>
      </tp>
      <tp t="e">
        <v>#N/A</v>
        <stp/>
        <stp>BDH|9809286437863919490</stp>
        <tr r="AG29" s="2"/>
      </tp>
      <tp t="e">
        <v>#N/A</v>
        <stp/>
        <stp>BDH|8863165870487104689</stp>
        <tr r="E46" s="2"/>
      </tp>
      <tp t="e">
        <v>#N/A</v>
        <stp/>
        <stp>BDH|7266864569676033095</stp>
        <tr r="G90" s="2"/>
      </tp>
      <tp t="e">
        <v>#N/A</v>
        <stp/>
        <stp>BDH|8434185425043834757</stp>
        <tr r="M69" s="2"/>
      </tp>
      <tp t="e">
        <v>#N/A</v>
        <stp/>
        <stp>BDH|5418795308924124908</stp>
        <tr r="X44" s="2"/>
      </tp>
      <tp t="e">
        <v>#N/A</v>
        <stp/>
        <stp>BDH|6486817351836702271</stp>
        <tr r="T42" s="2"/>
      </tp>
      <tp t="e">
        <v>#N/A</v>
        <stp/>
        <stp>BDH|8987277121750953727</stp>
        <tr r="AO57" s="2"/>
      </tp>
      <tp t="e">
        <v>#N/A</v>
        <stp/>
        <stp>BDH|9620462804500807288</stp>
        <tr r="P92" s="2"/>
      </tp>
      <tp t="e">
        <v>#N/A</v>
        <stp/>
        <stp>BDH|7016478607504586806</stp>
        <tr r="X48" s="2"/>
      </tp>
      <tp t="e">
        <v>#N/A</v>
        <stp/>
        <stp>BDH|9316626410758215965</stp>
        <tr r="AD63" s="2"/>
      </tp>
      <tp t="e">
        <v>#N/A</v>
        <stp/>
        <stp>BDH|9422810580004302235</stp>
        <tr r="M21" s="2"/>
      </tp>
      <tp t="e">
        <v>#N/A</v>
        <stp/>
        <stp>BDH|8083706214186228734</stp>
        <tr r="AL87" s="2"/>
      </tp>
      <tp t="e">
        <v>#N/A</v>
        <stp/>
        <stp>BDH|9375741797060278879</stp>
        <tr r="R91" s="2"/>
      </tp>
      <tp t="e">
        <v>#N/A</v>
        <stp/>
        <stp>BDH|9846818784065875301</stp>
        <tr r="Q57" s="2"/>
      </tp>
      <tp t="e">
        <v>#N/A</v>
        <stp/>
        <stp>BDH|9957379208195221015</stp>
        <tr r="AH54" s="2"/>
      </tp>
      <tp t="e">
        <v>#N/A</v>
        <stp/>
        <stp>BDH|5090433796461520653</stp>
        <tr r="W38" s="2"/>
      </tp>
      <tp t="e">
        <v>#N/A</v>
        <stp/>
        <stp>BDH|4745276522323599826</stp>
        <tr r="Z92" s="2"/>
      </tp>
      <tp t="e">
        <v>#N/A</v>
        <stp/>
        <stp>BDH|62370991480556832</stp>
        <tr r="V63" s="2"/>
      </tp>
      <tp t="e">
        <v>#N/A</v>
        <stp/>
        <stp>BDH|74700349045440447</stp>
        <tr r="AP39" s="2"/>
      </tp>
      <tp t="e">
        <v>#N/A</v>
        <stp/>
        <stp>BDH|9800457157181941190</stp>
        <tr r="J65" s="2"/>
      </tp>
      <tp t="e">
        <v>#N/A</v>
        <stp/>
        <stp>BDH|6218957620664574182</stp>
        <tr r="AG52" s="2"/>
      </tp>
      <tp t="e">
        <v>#N/A</v>
        <stp/>
        <stp>BDH|6740903497898321698</stp>
        <tr r="AG81" s="2"/>
      </tp>
      <tp t="e">
        <v>#N/A</v>
        <stp/>
        <stp>BDH|9928413543767429652</stp>
        <tr r="AC19" s="2"/>
      </tp>
      <tp t="e">
        <v>#N/A</v>
        <stp/>
        <stp>BDH|7176021726348655599</stp>
        <tr r="AG67" s="2"/>
      </tp>
      <tp t="e">
        <v>#N/A</v>
        <stp/>
        <stp>BDH|8541291925312184227</stp>
        <tr r="AP61" s="2"/>
      </tp>
      <tp t="e">
        <v>#N/A</v>
        <stp/>
        <stp>BDH|3909315155754447927</stp>
        <tr r="AC35" s="2"/>
      </tp>
      <tp t="e">
        <v>#N/A</v>
        <stp/>
        <stp>BDH|7971632952119788544</stp>
        <tr r="Y67" s="2"/>
      </tp>
      <tp t="e">
        <v>#N/A</v>
        <stp/>
        <stp>BDH|3073896610135108738</stp>
        <tr r="O28" s="2"/>
      </tp>
      <tp t="e">
        <v>#N/A</v>
        <stp/>
        <stp>BDH|7474035758768768238</stp>
        <tr r="AF10" s="2"/>
      </tp>
      <tp t="e">
        <v>#N/A</v>
        <stp/>
        <stp>BDH|4284326510906948829</stp>
        <tr r="Y26" s="2"/>
      </tp>
      <tp t="e">
        <v>#N/A</v>
        <stp/>
        <stp>BDH|4834869846733739343</stp>
        <tr r="AO81" s="2"/>
      </tp>
      <tp t="e">
        <v>#N/A</v>
        <stp/>
        <stp>BDH|1431730422545966943</stp>
        <tr r="AO34" s="2"/>
      </tp>
      <tp t="e">
        <v>#N/A</v>
        <stp/>
        <stp>BDH|8572613644730170297</stp>
        <tr r="Y64" s="2"/>
      </tp>
      <tp t="e">
        <v>#N/A</v>
        <stp/>
        <stp>BDH|7466585352158128777</stp>
        <tr r="AJ60" s="2"/>
      </tp>
      <tp t="e">
        <v>#N/A</v>
        <stp/>
        <stp>BDH|2231605179122652959</stp>
        <tr r="C70" s="2"/>
      </tp>
      <tp t="e">
        <v>#N/A</v>
        <stp/>
        <stp>BDH|6232789626132473906</stp>
        <tr r="E66" s="2"/>
      </tp>
      <tp t="e">
        <v>#N/A</v>
        <stp/>
        <stp>BDH|6448396273128081266</stp>
        <tr r="Y45" s="2"/>
      </tp>
      <tp t="e">
        <v>#N/A</v>
        <stp/>
        <stp>BDH|2639644558169604048</stp>
        <tr r="U92" s="2"/>
      </tp>
      <tp t="e">
        <v>#N/A</v>
        <stp/>
        <stp>BDH|6779796757198428443</stp>
        <tr r="Z83" s="2"/>
      </tp>
      <tp t="e">
        <v>#N/A</v>
        <stp/>
        <stp>BDH|4506477841894997836</stp>
        <tr r="AP68" s="2"/>
      </tp>
      <tp t="e">
        <v>#N/A</v>
        <stp/>
        <stp>BDH|6191937712163195584</stp>
        <tr r="W12" s="2"/>
      </tp>
      <tp t="e">
        <v>#N/A</v>
        <stp/>
        <stp>BDH|7978283009184305955</stp>
        <tr r="N25" s="2"/>
      </tp>
      <tp t="e">
        <v>#N/A</v>
        <stp/>
        <stp>BDH|1438356995317259483</stp>
        <tr r="AA41" s="2"/>
      </tp>
      <tp t="e">
        <v>#N/A</v>
        <stp/>
        <stp>BDH|3921744294355363045</stp>
        <tr r="S23" s="2"/>
      </tp>
      <tp t="e">
        <v>#N/A</v>
        <stp/>
        <stp>BDH|8577831365378494696</stp>
        <tr r="AK47" s="2"/>
      </tp>
      <tp t="e">
        <v>#N/A</v>
        <stp/>
        <stp>BDH|5147340608806077836</stp>
        <tr r="D13" s="2"/>
      </tp>
      <tp t="e">
        <v>#N/A</v>
        <stp/>
        <stp>BDH|1686888803219477865</stp>
        <tr r="AI67" s="2"/>
      </tp>
      <tp t="e">
        <v>#N/A</v>
        <stp/>
        <stp>BDH|5112415915178253085</stp>
        <tr r="AN56" s="2"/>
      </tp>
      <tp t="e">
        <v>#N/A</v>
        <stp/>
        <stp>BDH|4366452398942322327</stp>
        <tr r="AP59" s="2"/>
      </tp>
      <tp t="e">
        <v>#N/A</v>
        <stp/>
        <stp>BDH|1941564364763194954</stp>
        <tr r="Y42" s="2"/>
      </tp>
      <tp t="e">
        <v>#N/A</v>
        <stp/>
        <stp>BDH|6007090790141586636</stp>
        <tr r="AF14" s="2"/>
      </tp>
      <tp t="e">
        <v>#N/A</v>
        <stp/>
        <stp>BDH|5931475052344637865</stp>
        <tr r="I86" s="2"/>
      </tp>
      <tp t="e">
        <v>#N/A</v>
        <stp/>
        <stp>BDH|1907175464289723710</stp>
        <tr r="AJ67" s="2"/>
      </tp>
      <tp t="e">
        <v>#N/A</v>
        <stp/>
        <stp>BDH|8875344766100390553</stp>
        <tr r="Q59" s="2"/>
      </tp>
      <tp t="e">
        <v>#N/A</v>
        <stp/>
        <stp>BDH|8994776107260401715</stp>
        <tr r="Z64" s="2"/>
      </tp>
      <tp t="e">
        <v>#N/A</v>
        <stp/>
        <stp>BDH|6788429353906805923</stp>
        <tr r="G64" s="2"/>
      </tp>
      <tp t="e">
        <v>#N/A</v>
        <stp/>
        <stp>BDH|4099818248573242363</stp>
        <tr r="I26" s="2"/>
      </tp>
      <tp t="e">
        <v>#N/A</v>
        <stp/>
        <stp>BDH|9131439435615285386</stp>
        <tr r="AD56" s="2"/>
      </tp>
      <tp t="e">
        <v>#N/A</v>
        <stp/>
        <stp>BDH|9591778229481625503</stp>
        <tr r="N11" s="2"/>
      </tp>
      <tp t="e">
        <v>#N/A</v>
        <stp/>
        <stp>BDH|9577108070933145494</stp>
        <tr r="AG84" s="2"/>
      </tp>
      <tp t="e">
        <v>#N/A</v>
        <stp/>
        <stp>BDH|4872735576865636963</stp>
        <tr r="Q47" s="2"/>
      </tp>
      <tp t="e">
        <v>#N/A</v>
        <stp/>
        <stp>BDH|2854860777101696420</stp>
        <tr r="Z18" s="2"/>
      </tp>
      <tp t="e">
        <v>#N/A</v>
        <stp/>
        <stp>BDH|9140838592412558282</stp>
        <tr r="S17" s="2"/>
      </tp>
      <tp t="e">
        <v>#N/A</v>
        <stp/>
        <stp>BDH|4214424591833366208</stp>
        <tr r="Z14" s="2"/>
      </tp>
      <tp t="e">
        <v>#N/A</v>
        <stp/>
        <stp>BDH|6063826703124422270</stp>
        <tr r="AP58" s="2"/>
      </tp>
      <tp t="e">
        <v>#N/A</v>
        <stp/>
        <stp>BDH|2749953566113500631</stp>
        <tr r="H54" s="2"/>
      </tp>
      <tp t="e">
        <v>#N/A</v>
        <stp/>
        <stp>BDH|1584780111556815960</stp>
        <tr r="Y74" s="2"/>
      </tp>
      <tp t="e">
        <v>#N/A</v>
        <stp/>
        <stp>BDH|9704016463841358645</stp>
        <tr r="AE57" s="2"/>
      </tp>
      <tp t="e">
        <v>#N/A</v>
        <stp/>
        <stp>BDH|4814447789671035161</stp>
        <tr r="T22" s="2"/>
      </tp>
      <tp t="e">
        <v>#N/A</v>
        <stp/>
        <stp>BDH|9617413301446278379</stp>
        <tr r="AC25" s="2"/>
      </tp>
      <tp t="e">
        <v>#N/A</v>
        <stp/>
        <stp>BDH|9724051837062492020</stp>
        <tr r="U34" s="2"/>
      </tp>
      <tp t="e">
        <v>#N/A</v>
        <stp/>
        <stp>BDH|3878988227739085970</stp>
        <tr r="AE16" s="2"/>
      </tp>
      <tp t="e">
        <v>#N/A</v>
        <stp/>
        <stp>BDH|4833883417700519523</stp>
        <tr r="D48" s="2"/>
      </tp>
      <tp t="e">
        <v>#N/A</v>
        <stp/>
        <stp>BDH|7659701883419451918</stp>
        <tr r="C27" s="2"/>
      </tp>
      <tp t="e">
        <v>#N/A</v>
        <stp/>
        <stp>BDH|5608623700749385271</stp>
        <tr r="H10" s="2"/>
      </tp>
      <tp t="e">
        <v>#N/A</v>
        <stp/>
        <stp>BDH|5370814667261480215</stp>
        <tr r="AL10" s="2"/>
      </tp>
      <tp t="e">
        <v>#N/A</v>
        <stp/>
        <stp>BDH|2982895920780402046</stp>
        <tr r="AF65" s="2"/>
      </tp>
      <tp t="e">
        <v>#N/A</v>
        <stp/>
        <stp>BDH|8595351723698555964</stp>
        <tr r="P17" s="2"/>
      </tp>
      <tp t="e">
        <v>#N/A</v>
        <stp/>
        <stp>BDH|2285206604170363857</stp>
        <tr r="E11" s="2"/>
      </tp>
      <tp t="e">
        <v>#N/A</v>
        <stp/>
        <stp>BDH|5161892559183164312</stp>
        <tr r="AP12" s="2"/>
      </tp>
      <tp t="e">
        <v>#N/A</v>
        <stp/>
        <stp>BDH|5645987174521330280</stp>
        <tr r="AB28" s="2"/>
      </tp>
      <tp t="e">
        <v>#N/A</v>
        <stp/>
        <stp>BDH|3605843439481808122</stp>
        <tr r="AN91" s="2"/>
      </tp>
      <tp t="e">
        <v>#N/A</v>
        <stp/>
        <stp>BDH|5012349395883918496</stp>
        <tr r="AA7" s="2"/>
      </tp>
      <tp t="e">
        <v>#N/A</v>
        <stp/>
        <stp>BDH|6030143432625328943</stp>
        <tr r="AE46" s="2"/>
      </tp>
      <tp t="e">
        <v>#N/A</v>
        <stp/>
        <stp>BDH|2074161096250330221</stp>
        <tr r="AB17" s="2"/>
      </tp>
      <tp t="e">
        <v>#N/A</v>
        <stp/>
        <stp>BDH|4545864026155111321</stp>
        <tr r="M81" s="2"/>
      </tp>
      <tp t="e">
        <v>#N/A</v>
        <stp/>
        <stp>BDH|2133556042522611965</stp>
        <tr r="AE29" s="2"/>
      </tp>
      <tp t="e">
        <v>#N/A</v>
        <stp/>
        <stp>BDH|1058424633759230751</stp>
        <tr r="AA37" s="2"/>
      </tp>
      <tp t="e">
        <v>#N/A</v>
        <stp/>
        <stp>BDH|8076377831856904691</stp>
        <tr r="X86" s="2"/>
      </tp>
      <tp t="e">
        <v>#N/A</v>
        <stp/>
        <stp>BDH|9188813603570614933</stp>
        <tr r="R8" s="2"/>
      </tp>
      <tp t="e">
        <v>#N/A</v>
        <stp/>
        <stp>BDH|8063192410011911174</stp>
        <tr r="AC46" s="2"/>
      </tp>
      <tp t="e">
        <v>#N/A</v>
        <stp/>
        <stp>BDH|7611061632468243472</stp>
        <tr r="R7" s="2"/>
      </tp>
      <tp t="e">
        <v>#N/A</v>
        <stp/>
        <stp>BDH|9643982959245449846</stp>
        <tr r="Z35" s="2"/>
      </tp>
      <tp t="e">
        <v>#N/A</v>
        <stp/>
        <stp>BDH|5308612590774503603</stp>
        <tr r="AD17" s="2"/>
      </tp>
      <tp t="e">
        <v>#N/A</v>
        <stp/>
        <stp>BDH|3423653768893824861</stp>
        <tr r="AH61" s="2"/>
      </tp>
      <tp t="e">
        <v>#N/A</v>
        <stp/>
        <stp>BDH|3011247361608136701</stp>
        <tr r="N15" s="2"/>
      </tp>
      <tp t="e">
        <v>#N/A</v>
        <stp/>
        <stp>BDH|4118885019036331370</stp>
        <tr r="AH55" s="2"/>
      </tp>
      <tp t="e">
        <v>#N/A</v>
        <stp/>
        <stp>BDH|4662294569460481868</stp>
        <tr r="C75" s="2"/>
      </tp>
      <tp t="e">
        <v>#N/A</v>
        <stp/>
        <stp>BDH|3004799918245358868</stp>
        <tr r="O17" s="2"/>
      </tp>
      <tp t="e">
        <v>#N/A</v>
        <stp/>
        <stp>BDH|6086854791927650866</stp>
        <tr r="AJ26" s="2"/>
      </tp>
      <tp t="e">
        <v>#N/A</v>
        <stp/>
        <stp>BDH|1905609200839987641</stp>
        <tr r="AF58" s="2"/>
      </tp>
      <tp t="e">
        <v>#N/A</v>
        <stp/>
        <stp>BDH|7441248084406476342</stp>
        <tr r="K16" s="2"/>
      </tp>
      <tp t="e">
        <v>#N/A</v>
        <stp/>
        <stp>BDH|6705015564491462929</stp>
        <tr r="Y12" s="2"/>
      </tp>
      <tp t="e">
        <v>#N/A</v>
        <stp/>
        <stp>BDH|6382153295803230543</stp>
        <tr r="AF43" s="2"/>
      </tp>
      <tp t="e">
        <v>#N/A</v>
        <stp/>
        <stp>BDH|1225277635601368966</stp>
        <tr r="N82" s="2"/>
      </tp>
      <tp t="e">
        <v>#N/A</v>
        <stp/>
        <stp>BDH|7110537776334889999</stp>
        <tr r="Q61" s="2"/>
      </tp>
      <tp t="e">
        <v>#N/A</v>
        <stp/>
        <stp>BDH|1113099904388003193</stp>
        <tr r="E13" s="2"/>
      </tp>
      <tp t="e">
        <v>#N/A</v>
        <stp/>
        <stp>BDH|83325640742231031</stp>
        <tr r="O41" s="2"/>
      </tp>
      <tp t="e">
        <v>#N/A</v>
        <stp/>
        <stp>BDH|83615829488542960</stp>
        <tr r="AO28" s="2"/>
      </tp>
      <tp t="e">
        <v>#N/A</v>
        <stp/>
        <stp>BDH|8271731206001908747</stp>
        <tr r="O34" s="2"/>
      </tp>
      <tp t="e">
        <v>#N/A</v>
        <stp/>
        <stp>BDH|7366103586247703080</stp>
        <tr r="L73" s="2"/>
      </tp>
      <tp t="e">
        <v>#N/A</v>
        <stp/>
        <stp>BDH|1082746298131486720</stp>
        <tr r="AD50" s="2"/>
      </tp>
      <tp t="e">
        <v>#N/A</v>
        <stp/>
        <stp>BDH|5978843833645412204</stp>
        <tr r="AA59" s="2"/>
      </tp>
      <tp t="e">
        <v>#N/A</v>
        <stp/>
        <stp>BDH|2341347489353500317</stp>
        <tr r="AN16" s="2"/>
      </tp>
      <tp t="e">
        <v>#N/A</v>
        <stp/>
        <stp>BDH|7090223659891862892</stp>
        <tr r="D24" s="2"/>
      </tp>
      <tp t="e">
        <v>#N/A</v>
        <stp/>
        <stp>BDH|4175866276476281494</stp>
        <tr r="F49" s="2"/>
      </tp>
      <tp t="e">
        <v>#N/A</v>
        <stp/>
        <stp>BDH|6054539483783322192</stp>
        <tr r="AK83" s="2"/>
      </tp>
      <tp t="e">
        <v>#N/A</v>
        <stp/>
        <stp>BDH|1444872018924762564</stp>
        <tr r="AK42" s="2"/>
      </tp>
      <tp t="e">
        <v>#N/A</v>
        <stp/>
        <stp>BDH|3524177095166980442</stp>
        <tr r="E49" s="2"/>
      </tp>
      <tp t="e">
        <v>#N/A</v>
        <stp/>
        <stp>BDH|7499689090641714007</stp>
        <tr r="AI46" s="2"/>
      </tp>
      <tp t="e">
        <v>#N/A</v>
        <stp/>
        <stp>BDH|4046985414574331144</stp>
        <tr r="S74" s="2"/>
      </tp>
      <tp t="e">
        <v>#N/A</v>
        <stp/>
        <stp>BDH|9540425637640213791</stp>
        <tr r="N10" s="2"/>
      </tp>
      <tp t="e">
        <v>#N/A</v>
        <stp/>
        <stp>BDH|3215012890163198092</stp>
        <tr r="I70" s="2"/>
      </tp>
      <tp t="e">
        <v>#N/A</v>
        <stp/>
        <stp>BDH|3433190661818129564</stp>
        <tr r="F91" s="2"/>
      </tp>
      <tp t="e">
        <v>#N/A</v>
        <stp/>
        <stp>BDH|3717801919502416126</stp>
        <tr r="AL44" s="2"/>
      </tp>
      <tp t="e">
        <v>#N/A</v>
        <stp/>
        <stp>BDH|8944161577075506250</stp>
        <tr r="Y69" s="2"/>
      </tp>
      <tp t="e">
        <v>#N/A</v>
        <stp/>
        <stp>BDH|8385543262234545684</stp>
        <tr r="AP46" s="2"/>
      </tp>
      <tp t="e">
        <v>#N/A</v>
        <stp/>
        <stp>BDH|3028380193890636053</stp>
        <tr r="AH29" s="2"/>
      </tp>
      <tp t="e">
        <v>#N/A</v>
        <stp/>
        <stp>BDH|1687136595119082996</stp>
        <tr r="E37" s="2"/>
      </tp>
      <tp t="e">
        <v>#N/A</v>
        <stp/>
        <stp>BDH|3876985620889912803</stp>
        <tr r="Q34" s="2"/>
      </tp>
      <tp t="e">
        <v>#N/A</v>
        <stp/>
        <stp>BDH|7634852095098894708</stp>
        <tr r="E58" s="2"/>
      </tp>
      <tp t="e">
        <v>#N/A</v>
        <stp/>
        <stp>BDH|5897167452989032127</stp>
        <tr r="AB41" s="2"/>
      </tp>
      <tp t="e">
        <v>#N/A</v>
        <stp/>
        <stp>BDH|9440191608956883736</stp>
        <tr r="Y85" s="2"/>
      </tp>
      <tp t="e">
        <v>#N/A</v>
        <stp/>
        <stp>BDH|4352298111919302761</stp>
        <tr r="H17" s="2"/>
      </tp>
      <tp t="e">
        <v>#N/A</v>
        <stp/>
        <stp>BDH|9500292535015512428</stp>
        <tr r="E8" s="2"/>
      </tp>
      <tp t="e">
        <v>#N/A</v>
        <stp/>
        <stp>BDH|9900967833048324218</stp>
        <tr r="AF28" s="2"/>
      </tp>
      <tp t="e">
        <v>#N/A</v>
        <stp/>
        <stp>BDH|2726205507329981070</stp>
        <tr r="J11" s="2"/>
      </tp>
      <tp t="e">
        <v>#N/A</v>
        <stp/>
        <stp>BDH|5914416135722161937</stp>
        <tr r="AI24" s="2"/>
      </tp>
      <tp t="e">
        <v>#N/A</v>
        <stp/>
        <stp>BDH|2352285990532745234</stp>
        <tr r="H91" s="2"/>
      </tp>
      <tp t="e">
        <v>#N/A</v>
        <stp/>
        <stp>BDH|4972919883248498401</stp>
        <tr r="X65" s="2"/>
      </tp>
      <tp t="e">
        <v>#N/A</v>
        <stp/>
        <stp>BDH|2541686278529876326</stp>
        <tr r="AM19" s="2"/>
      </tp>
      <tp t="e">
        <v>#N/A</v>
        <stp/>
        <stp>BDH|6210429092860894250</stp>
        <tr r="AA39" s="2"/>
      </tp>
      <tp t="e">
        <v>#N/A</v>
        <stp/>
        <stp>BDH|9221009933252937170</stp>
        <tr r="R82" s="2"/>
      </tp>
      <tp t="e">
        <v>#N/A</v>
        <stp/>
        <stp>BDH|5278758793027018586</stp>
        <tr r="AK9" s="2"/>
      </tp>
      <tp t="e">
        <v>#N/A</v>
        <stp/>
        <stp>BDH|4328211402289477697</stp>
        <tr r="H42" s="2"/>
      </tp>
      <tp t="e">
        <v>#N/A</v>
        <stp/>
        <stp>BDH|7209575608102407944</stp>
        <tr r="P25" s="2"/>
      </tp>
      <tp t="e">
        <v>#N/A</v>
        <stp/>
        <stp>BDH|3519830577261549494</stp>
        <tr r="V21" s="2"/>
      </tp>
      <tp t="e">
        <v>#N/A</v>
        <stp/>
        <stp>BDH|5098221583265586399</stp>
        <tr r="N24" s="2"/>
      </tp>
      <tp t="e">
        <v>#N/A</v>
        <stp/>
        <stp>BDH|5456017817354665998</stp>
        <tr r="Z26" s="2"/>
      </tp>
      <tp t="e">
        <v>#N/A</v>
        <stp/>
        <stp>BDH|8856469516597345399</stp>
        <tr r="AE75" s="2"/>
      </tp>
      <tp t="e">
        <v>#N/A</v>
        <stp/>
        <stp>BDH|9453631961579302979</stp>
        <tr r="AD86" s="2"/>
      </tp>
      <tp t="e">
        <v>#N/A</v>
        <stp/>
        <stp>BDH|8340838383132521342</stp>
        <tr r="E90" s="2"/>
      </tp>
      <tp t="e">
        <v>#N/A</v>
        <stp/>
        <stp>BDH|8001033399598085083</stp>
        <tr r="W60" s="2"/>
      </tp>
      <tp t="e">
        <v>#N/A</v>
        <stp/>
        <stp>BDH|4208588408330071800</stp>
        <tr r="C34" s="2"/>
      </tp>
      <tp t="e">
        <v>#N/A</v>
        <stp/>
        <stp>BDH|2617554770820908982</stp>
        <tr r="R53" s="2"/>
      </tp>
      <tp t="e">
        <v>#N/A</v>
        <stp/>
        <stp>BDH|1005096308011271901</stp>
        <tr r="H64" s="2"/>
      </tp>
      <tp t="e">
        <v>#N/A</v>
        <stp/>
        <stp>BDH|9947828531529987202</stp>
        <tr r="O66" s="2"/>
      </tp>
      <tp t="e">
        <v>#N/A</v>
        <stp/>
        <stp>BDH|8164563553362047371</stp>
        <tr r="Y71" s="2"/>
      </tp>
      <tp t="e">
        <v>#N/A</v>
        <stp/>
        <stp>BDH|3291009620628323026</stp>
        <tr r="W44" s="2"/>
      </tp>
      <tp t="e">
        <v>#N/A</v>
        <stp/>
        <stp>BDH|7091100673328621061</stp>
        <tr r="E43" s="2"/>
      </tp>
      <tp t="e">
        <v>#N/A</v>
        <stp/>
        <stp>BDH|8138018739564259680</stp>
        <tr r="M82" s="2"/>
      </tp>
      <tp t="e">
        <v>#N/A</v>
        <stp/>
        <stp>BDH|5475735027371246818</stp>
        <tr r="AJ82" s="2"/>
      </tp>
      <tp t="e">
        <v>#N/A</v>
        <stp/>
        <stp>BDH|1352198282652233395</stp>
        <tr r="R20" s="2"/>
      </tp>
      <tp t="e">
        <v>#N/A</v>
        <stp/>
        <stp>BDH|9052219224654115476</stp>
        <tr r="Z61" s="2"/>
      </tp>
      <tp t="e">
        <v>#N/A</v>
        <stp/>
        <stp>BDH|8412651365864774502</stp>
        <tr r="N46" s="2"/>
      </tp>
      <tp t="e">
        <v>#N/A</v>
        <stp/>
        <stp>BDH|4421943657633322279</stp>
        <tr r="AP85" s="2"/>
      </tp>
      <tp t="e">
        <v>#N/A</v>
        <stp/>
        <stp>BDH|6739600091566371655</stp>
        <tr r="AK57" s="2"/>
      </tp>
      <tp t="e">
        <v>#N/A</v>
        <stp/>
        <stp>BDH|2814342498375044442</stp>
        <tr r="V52" s="2"/>
      </tp>
      <tp t="e">
        <v>#N/A</v>
        <stp/>
        <stp>BDH|8481219733160002069</stp>
        <tr r="O21" s="2"/>
      </tp>
      <tp t="e">
        <v>#N/A</v>
        <stp/>
        <stp>BDH|1532924361927038064</stp>
        <tr r="O52" s="2"/>
      </tp>
      <tp t="e">
        <v>#N/A</v>
        <stp/>
        <stp>BDH|6090520770738782558</stp>
        <tr r="AN21" s="2"/>
      </tp>
      <tp t="e">
        <v>#N/A</v>
        <stp/>
        <stp>BDH|9437259484592263867</stp>
        <tr r="AI52" s="2"/>
      </tp>
      <tp t="e">
        <v>#N/A</v>
        <stp/>
        <stp>BDH|1636301223991794847</stp>
        <tr r="AO49" s="2"/>
      </tp>
      <tp t="e">
        <v>#N/A</v>
        <stp/>
        <stp>BDH|9501351335457584769</stp>
        <tr r="T77" s="2"/>
      </tp>
      <tp t="e">
        <v>#N/A</v>
        <stp/>
        <stp>BDH|5837938016130860435</stp>
        <tr r="G77" s="2"/>
      </tp>
      <tp t="e">
        <v>#N/A</v>
        <stp/>
        <stp>BDH|5200471960036386802</stp>
        <tr r="AK89" s="2"/>
      </tp>
      <tp t="e">
        <v>#N/A</v>
        <stp/>
        <stp>BDH|1170544066419329269</stp>
        <tr r="U25" s="2"/>
      </tp>
      <tp t="e">
        <v>#N/A</v>
        <stp/>
        <stp>BDH|2473269887359657854</stp>
        <tr r="L31" s="2"/>
      </tp>
      <tp t="e">
        <v>#N/A</v>
        <stp/>
        <stp>BDH|4001246306266123958</stp>
        <tr r="AB66" s="2"/>
      </tp>
      <tp t="e">
        <v>#N/A</v>
        <stp/>
        <stp>BDH|5151112100654759904</stp>
        <tr r="AH68" s="2"/>
      </tp>
      <tp t="e">
        <v>#N/A</v>
        <stp/>
        <stp>BDH|4687568897490428146</stp>
        <tr r="V46" s="2"/>
      </tp>
      <tp t="e">
        <v>#N/A</v>
        <stp/>
        <stp>BDH|9217767537415636122</stp>
        <tr r="L75" s="2"/>
      </tp>
      <tp t="e">
        <v>#N/A</v>
        <stp/>
        <stp>BDH|8533752731645256046</stp>
        <tr r="F43" s="2"/>
      </tp>
      <tp t="e">
        <v>#N/A</v>
        <stp/>
        <stp>BDH|2569412597164427203</stp>
        <tr r="V58" s="2"/>
      </tp>
      <tp t="e">
        <v>#N/A</v>
        <stp/>
        <stp>BDH|6471214525148018777</stp>
        <tr r="I91" s="2"/>
      </tp>
      <tp t="e">
        <v>#N/A</v>
        <stp/>
        <stp>BDH|6590945906273488541</stp>
        <tr r="Y53" s="2"/>
      </tp>
      <tp t="e">
        <v>#N/A</v>
        <stp/>
        <stp>BDH|1933038353338969577</stp>
        <tr r="S20" s="2"/>
      </tp>
      <tp t="e">
        <v>#N/A</v>
        <stp/>
        <stp>BDH|8195599410284696193</stp>
        <tr r="S10" s="2"/>
      </tp>
      <tp t="e">
        <v>#N/A</v>
        <stp/>
        <stp>BDH|5050976159037340796</stp>
        <tr r="J38" s="2"/>
      </tp>
      <tp t="e">
        <v>#N/A</v>
        <stp/>
        <stp>BDH|3915674116664838941</stp>
        <tr r="G89" s="2"/>
      </tp>
      <tp t="e">
        <v>#N/A</v>
        <stp/>
        <stp>BDH|9921919891074426499</stp>
        <tr r="X67" s="2"/>
      </tp>
      <tp t="e">
        <v>#N/A</v>
        <stp/>
        <stp>BDH|7810872327451578592</stp>
        <tr r="U45" s="2"/>
      </tp>
      <tp t="e">
        <v>#N/A</v>
        <stp/>
        <stp>BDH|3189954445177173048</stp>
        <tr r="AB65" s="2"/>
      </tp>
      <tp t="e">
        <v>#N/A</v>
        <stp/>
        <stp>BDH|4910895876852599071</stp>
        <tr r="AC26" s="2"/>
      </tp>
      <tp t="e">
        <v>#N/A</v>
        <stp/>
        <stp>BDH|9242201670210529531</stp>
        <tr r="Z58" s="2"/>
      </tp>
      <tp t="e">
        <v>#N/A</v>
        <stp/>
        <stp>BDH|1499247985171727360</stp>
        <tr r="T8" s="2"/>
      </tp>
      <tp t="e">
        <v>#N/A</v>
        <stp/>
        <stp>BDH|9510244364473054719</stp>
        <tr r="F21" s="2"/>
      </tp>
      <tp t="e">
        <v>#N/A</v>
        <stp/>
        <stp>BDH|9586658476905040420</stp>
        <tr r="AE43" s="2"/>
      </tp>
      <tp t="e">
        <v>#N/A</v>
        <stp/>
        <stp>BDH|3933197096366400475</stp>
        <tr r="AC70" s="2"/>
      </tp>
      <tp t="e">
        <v>#N/A</v>
        <stp/>
        <stp>BDH|6201883544763231093</stp>
        <tr r="O46" s="2"/>
      </tp>
      <tp t="e">
        <v>#N/A</v>
        <stp/>
        <stp>BDH|6185246055390382869</stp>
        <tr r="AA12" s="2"/>
      </tp>
      <tp t="e">
        <v>#N/A</v>
        <stp/>
        <stp>BDH|5523879787584298828</stp>
        <tr r="N31" s="2"/>
      </tp>
      <tp t="e">
        <v>#N/A</v>
        <stp/>
        <stp>BDH|9638524815246391272</stp>
        <tr r="X8" s="2"/>
      </tp>
      <tp t="e">
        <v>#N/A</v>
        <stp/>
        <stp>BDH|3692832275361748422</stp>
        <tr r="AA44" s="2"/>
      </tp>
      <tp t="e">
        <v>#N/A</v>
        <stp/>
        <stp>BDH|56659977726708388</stp>
        <tr r="W87" s="2"/>
      </tp>
      <tp t="e">
        <v>#N/A</v>
        <stp/>
        <stp>BDH|9758697973333056174</stp>
        <tr r="AN52" s="2"/>
      </tp>
      <tp t="e">
        <v>#N/A</v>
        <stp/>
        <stp>BDH|5341668790747600798</stp>
        <tr r="J28" s="2"/>
      </tp>
      <tp t="e">
        <v>#N/A</v>
        <stp/>
        <stp>BDH|8840572366179611854</stp>
        <tr r="C11" s="2"/>
      </tp>
      <tp t="e">
        <v>#N/A</v>
        <stp/>
        <stp>BDH|8217724307573539686</stp>
        <tr r="X76" s="2"/>
      </tp>
      <tp t="e">
        <v>#N/A</v>
        <stp/>
        <stp>BDH|7374287146712213952</stp>
        <tr r="G92" s="2"/>
      </tp>
      <tp t="e">
        <v>#N/A</v>
        <stp/>
        <stp>BDH|3887578066568324201</stp>
        <tr r="AE65" s="2"/>
      </tp>
      <tp t="e">
        <v>#N/A</v>
        <stp/>
        <stp>BDH|1793966879653028623</stp>
        <tr r="G28" s="2"/>
      </tp>
      <tp t="e">
        <v>#N/A</v>
        <stp/>
        <stp>BDH|3848051982609494810</stp>
        <tr r="G25" s="2"/>
      </tp>
      <tp t="e">
        <v>#N/A</v>
        <stp/>
        <stp>BDH|9730325126075845701</stp>
        <tr r="AM59" s="2"/>
      </tp>
      <tp t="e">
        <v>#N/A</v>
        <stp/>
        <stp>BDH|3567875311013061387</stp>
        <tr r="P69" s="2"/>
      </tp>
      <tp t="e">
        <v>#N/A</v>
        <stp/>
        <stp>BDH|5456691149198970564</stp>
        <tr r="E31" s="2"/>
      </tp>
      <tp t="e">
        <v>#N/A</v>
        <stp/>
        <stp>BDH|7678455065527814850</stp>
        <tr r="W81" s="2"/>
      </tp>
      <tp t="e">
        <v>#N/A</v>
        <stp/>
        <stp>BDH|6697232128358246444</stp>
        <tr r="X90" s="2"/>
      </tp>
      <tp t="e">
        <v>#N/A</v>
        <stp/>
        <stp>BDH|3925430226958565722</stp>
        <tr r="F16" s="2"/>
      </tp>
      <tp t="e">
        <v>#N/A</v>
        <stp/>
        <stp>BDH|5776408125729917038</stp>
        <tr r="W63" s="2"/>
      </tp>
      <tp t="e">
        <v>#N/A</v>
        <stp/>
        <stp>BDH|2686993905401498062</stp>
        <tr r="AH9" s="2"/>
      </tp>
      <tp t="e">
        <v>#N/A</v>
        <stp/>
        <stp>BDH|6307360922098827576</stp>
        <tr r="AK16" s="2"/>
      </tp>
      <tp t="e">
        <v>#N/A</v>
        <stp/>
        <stp>BDH|3516281816472472863</stp>
        <tr r="AD26" s="2"/>
      </tp>
      <tp t="e">
        <v>#N/A</v>
        <stp/>
        <stp>BDH|7659421889704011544</stp>
        <tr r="AF13" s="2"/>
      </tp>
      <tp t="e">
        <v>#N/A</v>
        <stp/>
        <stp>BDH|2569424529377758902</stp>
        <tr r="AG49" s="2"/>
      </tp>
      <tp t="e">
        <v>#N/A</v>
        <stp/>
        <stp>BDH|8914573815707753156</stp>
        <tr r="Q70" s="2"/>
      </tp>
      <tp t="e">
        <v>#N/A</v>
        <stp/>
        <stp>BDH|3652246449096188933</stp>
        <tr r="O72" s="2"/>
      </tp>
      <tp t="e">
        <v>#N/A</v>
        <stp/>
        <stp>BDH|3742764148763881982</stp>
        <tr r="E56" s="2"/>
      </tp>
      <tp t="e">
        <v>#N/A</v>
        <stp/>
        <stp>BDH|9050781946770468047</stp>
        <tr r="W20" s="2"/>
      </tp>
      <tp t="e">
        <v>#N/A</v>
        <stp/>
        <stp>BDH|8957770071027768566</stp>
        <tr r="Q25" s="2"/>
      </tp>
      <tp t="e">
        <v>#N/A</v>
        <stp/>
        <stp>BDH|8594978409498786329</stp>
        <tr r="AC45" s="2"/>
      </tp>
      <tp t="e">
        <v>#N/A</v>
        <stp/>
        <stp>BDH|5562779229678005250</stp>
        <tr r="L55" s="2"/>
      </tp>
      <tp t="e">
        <v>#N/A</v>
        <stp/>
        <stp>BDH|6375826835566962138</stp>
        <tr r="H49" s="2"/>
      </tp>
      <tp t="e">
        <v>#N/A</v>
        <stp/>
        <stp>BDH|7913996649872184276</stp>
        <tr r="M66" s="2"/>
      </tp>
      <tp t="e">
        <v>#N/A</v>
        <stp/>
        <stp>BDH|7289989550322287379</stp>
        <tr r="O16" s="2"/>
      </tp>
      <tp t="e">
        <v>#N/A</v>
        <stp/>
        <stp>BDH|2706732795734722290</stp>
        <tr r="AD24" s="2"/>
      </tp>
      <tp t="e">
        <v>#N/A</v>
        <stp/>
        <stp>BDH|8558885702432954896</stp>
        <tr r="AK75" s="2"/>
      </tp>
      <tp t="e">
        <v>#N/A</v>
        <stp/>
        <stp>BDH|3647088662417377806</stp>
        <tr r="AN41" s="2"/>
      </tp>
      <tp t="e">
        <v>#N/A</v>
        <stp/>
        <stp>BDH|9333573016847512084</stp>
        <tr r="M19" s="2"/>
      </tp>
      <tp t="e">
        <v>#N/A</v>
        <stp/>
        <stp>BDH|8293553050303867101</stp>
        <tr r="AG87" s="2"/>
      </tp>
      <tp t="e">
        <v>#N/A</v>
        <stp/>
        <stp>BDH|3458150399517463604</stp>
        <tr r="AC30" s="2"/>
      </tp>
      <tp t="e">
        <v>#N/A</v>
        <stp/>
        <stp>BDH|2834875471781108634</stp>
        <tr r="U22" s="2"/>
      </tp>
      <tp t="e">
        <v>#N/A</v>
        <stp/>
        <stp>BDH|8729067342821996768</stp>
        <tr r="L36" s="2"/>
      </tp>
      <tp t="e">
        <v>#N/A</v>
        <stp/>
        <stp>BDH|6410495585810208063</stp>
        <tr r="AO11" s="2"/>
      </tp>
      <tp t="e">
        <v>#N/A</v>
        <stp/>
        <stp>BDH|1093987345400886682</stp>
        <tr r="M63" s="2"/>
      </tp>
      <tp t="e">
        <v>#N/A</v>
        <stp/>
        <stp>BDH|2022849174883846454</stp>
        <tr r="P90" s="2"/>
      </tp>
      <tp t="e">
        <v>#N/A</v>
        <stp/>
        <stp>BDH|8170148049927960086</stp>
        <tr r="Q86" s="2"/>
      </tp>
      <tp t="e">
        <v>#N/A</v>
        <stp/>
        <stp>BDH|9434351106507261789</stp>
        <tr r="AG83" s="2"/>
      </tp>
      <tp t="e">
        <v>#N/A</v>
        <stp/>
        <stp>BDH|9960001559402592479</stp>
        <tr r="I30" s="2"/>
      </tp>
      <tp t="e">
        <v>#N/A</v>
        <stp/>
        <stp>BDH|9986058309575154665</stp>
        <tr r="G71" s="2"/>
      </tp>
      <tp t="e">
        <v>#N/A</v>
        <stp/>
        <stp>BDH|8025187310464248680</stp>
        <tr r="R88" s="2"/>
      </tp>
      <tp t="e">
        <v>#N/A</v>
        <stp/>
        <stp>BDH|7456106966559409340</stp>
        <tr r="M26" s="2"/>
      </tp>
      <tp t="e">
        <v>#N/A</v>
        <stp/>
        <stp>BDH|8357026039974383594</stp>
        <tr r="P68" s="2"/>
      </tp>
      <tp t="e">
        <v>#N/A</v>
        <stp/>
        <stp>BDH|2869068389657759725</stp>
        <tr r="AG9" s="2"/>
      </tp>
      <tp t="e">
        <v>#N/A</v>
        <stp/>
        <stp>BDH|8070625656935662407</stp>
        <tr r="AH20" s="2"/>
      </tp>
      <tp t="e">
        <v>#N/A</v>
        <stp/>
        <stp>BDH|6905987655111303145</stp>
        <tr r="AO71" s="2"/>
      </tp>
      <tp t="e">
        <v>#N/A</v>
        <stp/>
        <stp>BDH|1054837260564409142</stp>
        <tr r="N55" s="2"/>
      </tp>
      <tp t="e">
        <v>#N/A</v>
        <stp/>
        <stp>BDH|3303718288927054193</stp>
        <tr r="W52" s="2"/>
      </tp>
      <tp t="e">
        <v>#N/A</v>
        <stp/>
        <stp>BDH|8400315124225002620</stp>
        <tr r="M72" s="2"/>
      </tp>
      <tp t="e">
        <v>#N/A</v>
        <stp/>
        <stp>BDH|5581225598077561393</stp>
        <tr r="AH60" s="2"/>
      </tp>
      <tp t="e">
        <v>#N/A</v>
        <stp/>
        <stp>BDH|5228299524369941651</stp>
        <tr r="T69" s="2"/>
      </tp>
      <tp t="e">
        <v>#N/A</v>
        <stp/>
        <stp>BDH|5442876577162216265</stp>
        <tr r="AG74" s="2"/>
      </tp>
      <tp t="e">
        <v>#N/A</v>
        <stp/>
        <stp>BDH|2417651992072610557</stp>
        <tr r="Z67" s="2"/>
      </tp>
      <tp t="e">
        <v>#N/A</v>
        <stp/>
        <stp>BDH|5406560900199493365</stp>
        <tr r="C47" s="2"/>
      </tp>
      <tp t="e">
        <v>#N/A</v>
        <stp/>
        <stp>BDH|1084001252468304611</stp>
        <tr r="M29" s="2"/>
      </tp>
      <tp t="e">
        <v>#N/A</v>
        <stp/>
        <stp>BDH|3089244794977773565</stp>
        <tr r="T41" s="2"/>
      </tp>
      <tp t="e">
        <v>#N/A</v>
        <stp/>
        <stp>BDH|3693334040589152757</stp>
        <tr r="D44" s="2"/>
      </tp>
      <tp t="e">
        <v>#N/A</v>
        <stp/>
        <stp>BDH|7495428174858748647</stp>
        <tr r="AN46" s="2"/>
      </tp>
      <tp t="e">
        <v>#N/A</v>
        <stp/>
        <stp>BDH|1764921728840491089</stp>
        <tr r="X62" s="2"/>
      </tp>
      <tp t="e">
        <v>#N/A</v>
        <stp/>
        <stp>BDH|9184010755660577616</stp>
        <tr r="M8" s="2"/>
      </tp>
      <tp t="e">
        <v>#N/A</v>
        <stp/>
        <stp>BDH|5966574156118813763</stp>
        <tr r="H89" s="2"/>
      </tp>
      <tp t="e">
        <v>#N/A</v>
        <stp/>
        <stp>BDH|6701835596179115456</stp>
        <tr r="U84" s="2"/>
      </tp>
      <tp t="e">
        <v>#N/A</v>
        <stp/>
        <stp>BDH|6806423513581758884</stp>
        <tr r="W58" s="2"/>
      </tp>
      <tp t="e">
        <v>#N/A</v>
        <stp/>
        <stp>BDH|3088803446147706272</stp>
        <tr r="AI35" s="2"/>
      </tp>
      <tp t="e">
        <v>#N/A</v>
        <stp/>
        <stp>BDH|8518224404141793127</stp>
        <tr r="O48" s="2"/>
      </tp>
      <tp t="e">
        <v>#N/A</v>
        <stp/>
        <stp>BDH|2451843734877067426</stp>
        <tr r="Z76" s="2"/>
      </tp>
      <tp t="e">
        <v>#N/A</v>
        <stp/>
        <stp>BDH|1497688330727310984</stp>
        <tr r="M52" s="2"/>
      </tp>
      <tp t="e">
        <v>#N/A</v>
        <stp/>
        <stp>BDH|7438516483531915184</stp>
        <tr r="R29" s="2"/>
      </tp>
      <tp t="e">
        <v>#N/A</v>
        <stp/>
        <stp>BDH|3195051947445604826</stp>
        <tr r="R55" s="2"/>
      </tp>
      <tp t="e">
        <v>#N/A</v>
        <stp/>
        <stp>BDH|2984113636353177980</stp>
        <tr r="Z55" s="2"/>
      </tp>
      <tp t="e">
        <v>#N/A</v>
        <stp/>
        <stp>BDH|3058377560805062902</stp>
        <tr r="C17" s="2"/>
      </tp>
      <tp t="e">
        <v>#N/A</v>
        <stp/>
        <stp>BDH|8610705671794366604</stp>
        <tr r="M39" s="2"/>
      </tp>
      <tp t="e">
        <v>#N/A</v>
        <stp/>
        <stp>BDH|2330099238349786211</stp>
        <tr r="Z63" s="2"/>
      </tp>
      <tp t="e">
        <v>#N/A</v>
        <stp/>
        <stp>BDH|7931492735253914984</stp>
        <tr r="H55" s="2"/>
      </tp>
      <tp t="e">
        <v>#N/A</v>
        <stp/>
        <stp>BDH|4588634890550202102</stp>
        <tr r="F51" s="2"/>
      </tp>
      <tp t="e">
        <v>#N/A</v>
        <stp/>
        <stp>BDH|6620144910575133961</stp>
        <tr r="J45" s="2"/>
      </tp>
      <tp t="e">
        <v>#N/A</v>
        <stp/>
        <stp>BDH|2128540524328343770</stp>
        <tr r="M77" s="2"/>
      </tp>
      <tp t="e">
        <v>#N/A</v>
        <stp/>
        <stp>BDH|2337415317845691863</stp>
        <tr r="AA87" s="2"/>
      </tp>
      <tp t="e">
        <v>#N/A</v>
        <stp/>
        <stp>BDH|1832012091155815759</stp>
        <tr r="W59" s="2"/>
      </tp>
      <tp t="e">
        <v>#N/A</v>
        <stp/>
        <stp>BDH|2222384509773189872</stp>
        <tr r="AA84" s="2"/>
      </tp>
      <tp t="e">
        <v>#N/A</v>
        <stp/>
        <stp>BDH|2986670884484827271</stp>
        <tr r="AO42" s="2"/>
      </tp>
      <tp t="e">
        <v>#N/A</v>
        <stp/>
        <stp>BDH|1457539960669456161</stp>
        <tr r="Y46" s="2"/>
      </tp>
      <tp t="e">
        <v>#N/A</v>
        <stp/>
        <stp>BDH|5675326488385736012</stp>
        <tr r="AG54" s="2"/>
      </tp>
      <tp t="e">
        <v>#N/A</v>
        <stp/>
        <stp>BDH|8867881529320059936</stp>
        <tr r="AH27" s="2"/>
      </tp>
      <tp t="e">
        <v>#N/A</v>
        <stp/>
        <stp>BDH|1876173160558579501</stp>
        <tr r="N42" s="2"/>
      </tp>
      <tp t="e">
        <v>#N/A</v>
        <stp/>
        <stp>BDH|9805303034073539137</stp>
        <tr r="X41" s="2"/>
      </tp>
      <tp t="e">
        <v>#N/A</v>
        <stp/>
        <stp>BDH|9194660926071368789</stp>
        <tr r="AC77" s="2"/>
      </tp>
      <tp t="e">
        <v>#N/A</v>
        <stp/>
        <stp>BDH|7594587593622553217</stp>
        <tr r="I13" s="2"/>
      </tp>
      <tp t="e">
        <v>#N/A</v>
        <stp/>
        <stp>BDH|6788403258384537804</stp>
        <tr r="S40" s="2"/>
      </tp>
      <tp t="e">
        <v>#N/A</v>
        <stp/>
        <stp>BDH|6317576720993960976</stp>
        <tr r="E41" s="2"/>
      </tp>
      <tp t="e">
        <v>#N/A</v>
        <stp/>
        <stp>BDH|8136404588497576876</stp>
        <tr r="W41" s="2"/>
      </tp>
      <tp t="e">
        <v>#N/A</v>
        <stp/>
        <stp>BDH|8830069333532529238</stp>
        <tr r="R9" s="2"/>
      </tp>
      <tp t="e">
        <v>#N/A</v>
        <stp/>
        <stp>BDH|1296938600684397799</stp>
        <tr r="F30" s="2"/>
      </tp>
      <tp t="e">
        <v>#N/A</v>
        <stp/>
        <stp>BDH|4565303074923265884</stp>
        <tr r="I47" s="2"/>
      </tp>
      <tp t="e">
        <v>#N/A</v>
        <stp/>
        <stp>BDH|3037206649366159802</stp>
        <tr r="M13" s="2"/>
      </tp>
      <tp t="e">
        <v>#N/A</v>
        <stp/>
        <stp>BDH|4631176136678728580</stp>
        <tr r="AE56" s="2"/>
      </tp>
      <tp t="e">
        <v>#N/A</v>
        <stp/>
        <stp>BDH|8419210002212718380</stp>
        <tr r="F57" s="2"/>
      </tp>
      <tp t="e">
        <v>#N/A</v>
        <stp/>
        <stp>BDH|5658375302819894433</stp>
        <tr r="AI68" s="2"/>
      </tp>
      <tp t="e">
        <v>#N/A</v>
        <stp/>
        <stp>BDH|3673230774045897816</stp>
        <tr r="J19" s="2"/>
      </tp>
      <tp t="e">
        <v>#N/A</v>
        <stp/>
        <stp>BDH|9910688218871031419</stp>
        <tr r="I45" s="2"/>
      </tp>
      <tp t="e">
        <v>#N/A</v>
        <stp/>
        <stp>BDH|6051388197870360748</stp>
        <tr r="AD91" s="2"/>
      </tp>
      <tp t="e">
        <v>#N/A</v>
        <stp/>
        <stp>BDH|9244534769541878097</stp>
        <tr r="AM77" s="2"/>
      </tp>
      <tp t="e">
        <v>#N/A</v>
        <stp/>
        <stp>BDH|7693151543248891114</stp>
        <tr r="F20" s="2"/>
      </tp>
      <tp t="e">
        <v>#N/A</v>
        <stp/>
        <stp>BDH|5810794624203879847</stp>
        <tr r="Y25" s="2"/>
      </tp>
      <tp t="e">
        <v>#N/A</v>
        <stp/>
        <stp>BDH|8060129169595750158</stp>
        <tr r="T38" s="2"/>
      </tp>
      <tp t="e">
        <v>#N/A</v>
        <stp/>
        <stp>BDH|7816625365385166977</stp>
        <tr r="M42" s="2"/>
      </tp>
      <tp t="e">
        <v>#N/A</v>
        <stp/>
        <stp>BDH|1314992933622117219</stp>
        <tr r="AI53" s="2"/>
      </tp>
      <tp t="e">
        <v>#N/A</v>
        <stp/>
        <stp>BDH|2343066395919994973</stp>
        <tr r="D70" s="2"/>
      </tp>
      <tp t="e">
        <v>#N/A</v>
        <stp/>
        <stp>BDH|4595372291361524489</stp>
        <tr r="F44" s="2"/>
      </tp>
      <tp t="e">
        <v>#N/A</v>
        <stp/>
        <stp>BDH|1926810267347411353</stp>
        <tr r="C15" s="2"/>
      </tp>
      <tp t="e">
        <v>#N/A</v>
        <stp/>
        <stp>BDH|1422714511044200885</stp>
        <tr r="S77" s="2"/>
      </tp>
      <tp t="e">
        <v>#N/A</v>
        <stp/>
        <stp>BDH|3523432294452814747</stp>
        <tr r="C24" s="2"/>
      </tp>
      <tp t="e">
        <v>#N/A</v>
        <stp/>
        <stp>BDH|8579781302120154405</stp>
        <tr r="AP88" s="2"/>
      </tp>
      <tp t="e">
        <v>#N/A</v>
        <stp/>
        <stp>BDH|2602183599729943806</stp>
        <tr r="N51" s="2"/>
      </tp>
      <tp t="e">
        <v>#N/A</v>
        <stp/>
        <stp>BDH|8654021413362094098</stp>
        <tr r="AH67" s="2"/>
      </tp>
      <tp t="e">
        <v>#N/A</v>
        <stp/>
        <stp>BDH|5614867203364493297</stp>
        <tr r="N75" s="2"/>
      </tp>
      <tp t="e">
        <v>#N/A</v>
        <stp/>
        <stp>BDH|6911825957465424569</stp>
        <tr r="AB62" s="2"/>
      </tp>
      <tp t="e">
        <v>#N/A</v>
        <stp/>
        <stp>BDH|3832376636959570124</stp>
        <tr r="AO17" s="2"/>
      </tp>
      <tp t="e">
        <v>#N/A</v>
        <stp/>
        <stp>BDH|1485698727407654931</stp>
        <tr r="W25" s="2"/>
      </tp>
      <tp t="e">
        <v>#N/A</v>
        <stp/>
        <stp>BDH|2356542279588244336</stp>
        <tr r="Q63" s="2"/>
      </tp>
      <tp t="e">
        <v>#N/A</v>
        <stp/>
        <stp>BDH|7118831056309818831</stp>
        <tr r="AI87" s="2"/>
      </tp>
      <tp t="e">
        <v>#N/A</v>
        <stp/>
        <stp>BDH|3600396429378093199</stp>
        <tr r="AP44" s="2"/>
      </tp>
      <tp t="e">
        <v>#N/A</v>
        <stp/>
        <stp>BDH|7236917670916581492</stp>
        <tr r="AL54" s="2"/>
      </tp>
      <tp t="e">
        <v>#N/A</v>
        <stp/>
        <stp>BDH|7360095418174784999</stp>
        <tr r="AJ36" s="2"/>
      </tp>
      <tp t="e">
        <v>#N/A</v>
        <stp/>
        <stp>BDH|2528174250484600987</stp>
        <tr r="P31" s="2"/>
      </tp>
      <tp t="e">
        <v>#N/A</v>
        <stp/>
        <stp>BDH|4889556242847570965</stp>
        <tr r="AI30" s="2"/>
      </tp>
      <tp t="e">
        <v>#N/A</v>
        <stp/>
        <stp>BDH|1226588480187591034</stp>
        <tr r="L81" s="2"/>
      </tp>
      <tp t="e">
        <v>#N/A</v>
        <stp/>
        <stp>BDH|1899900343105230248</stp>
        <tr r="AD29" s="2"/>
      </tp>
      <tp t="e">
        <v>#N/A</v>
        <stp/>
        <stp>BDH|1200863645182516491</stp>
        <tr r="W10" s="2"/>
      </tp>
      <tp t="e">
        <v>#N/A</v>
        <stp/>
        <stp>BDH|8305659075134986674</stp>
        <tr r="AH74" s="2"/>
      </tp>
      <tp t="e">
        <v>#N/A</v>
        <stp/>
        <stp>BDH|9355370438300614271</stp>
        <tr r="AP18" s="2"/>
      </tp>
      <tp t="e">
        <v>#N/A</v>
        <stp/>
        <stp>BDH|2046412854770061881</stp>
        <tr r="AA42" s="2"/>
      </tp>
      <tp t="e">
        <v>#N/A</v>
        <stp/>
        <stp>BDH|9148264492548058188</stp>
        <tr r="AE86" s="2"/>
      </tp>
      <tp t="e">
        <v>#N/A</v>
        <stp/>
        <stp>BDH|3076437015678885534</stp>
        <tr r="AA91" s="2"/>
      </tp>
      <tp t="e">
        <v>#N/A</v>
        <stp/>
        <stp>BDH|9744189870814862053</stp>
        <tr r="AH70" s="2"/>
      </tp>
      <tp t="e">
        <v>#N/A</v>
        <stp/>
        <stp>BDH|7059795641518279781</stp>
        <tr r="AG18" s="2"/>
      </tp>
      <tp t="e">
        <v>#N/A</v>
        <stp/>
        <stp>BDH|7611086063978935268</stp>
        <tr r="AH44" s="2"/>
      </tp>
      <tp t="e">
        <v>#N/A</v>
        <stp/>
        <stp>BDH|9691751361762995192</stp>
        <tr r="AM65" s="2"/>
      </tp>
      <tp t="e">
        <v>#N/A</v>
        <stp/>
        <stp>BDH|5445502461108342544</stp>
        <tr r="AH7" s="2"/>
      </tp>
      <tp t="e">
        <v>#N/A</v>
        <stp/>
        <stp>BDH|5782049288152089491</stp>
        <tr r="E38" s="2"/>
      </tp>
      <tp t="e">
        <v>#N/A</v>
        <stp/>
        <stp>BDH|5285013083647600146</stp>
        <tr r="Y35" s="2"/>
      </tp>
      <tp t="e">
        <v>#N/A</v>
        <stp/>
        <stp>BDH|9324157730683665328</stp>
        <tr r="AP90" s="2"/>
      </tp>
      <tp t="e">
        <v>#N/A</v>
        <stp/>
        <stp>BDH|7794019271299188244</stp>
        <tr r="O88" s="2"/>
      </tp>
      <tp t="e">
        <v>#N/A</v>
        <stp/>
        <stp>BDH|3567931707259520877</stp>
        <tr r="Y24" s="2"/>
      </tp>
      <tp t="e">
        <v>#N/A</v>
        <stp/>
        <stp>BDH|5464441689457249587</stp>
        <tr r="C59" s="2"/>
      </tp>
      <tp t="e">
        <v>#N/A</v>
        <stp/>
        <stp>BDH|4234366032647684838</stp>
        <tr r="AB55" s="2"/>
      </tp>
      <tp t="e">
        <v>#N/A</v>
        <stp/>
        <stp>BDH|4435130352113374856</stp>
        <tr r="V7" s="2"/>
      </tp>
      <tp t="e">
        <v>#N/A</v>
        <stp/>
        <stp>BDH|7243395443578373381</stp>
        <tr r="AH25" s="2"/>
      </tp>
      <tp t="e">
        <v>#N/A</v>
        <stp/>
        <stp>BDH|9631554408175135291</stp>
        <tr r="AH72" s="2"/>
      </tp>
      <tp t="e">
        <v>#N/A</v>
        <stp/>
        <stp>BDH|9863336777253940562</stp>
        <tr r="AL89" s="2"/>
      </tp>
      <tp t="e">
        <v>#N/A</v>
        <stp/>
        <stp>BDH|1011113384431337252</stp>
        <tr r="T15" s="2"/>
      </tp>
      <tp t="e">
        <v>#N/A</v>
        <stp/>
        <stp>BDH|7880013608454357817</stp>
        <tr r="E44" s="2"/>
      </tp>
      <tp t="e">
        <v>#N/A</v>
        <stp/>
        <stp>BDH|1165708935528760639</stp>
        <tr r="Q45" s="2"/>
      </tp>
      <tp t="e">
        <v>#N/A</v>
        <stp/>
        <stp>BDH|9709908960345100867</stp>
        <tr r="V72" s="2"/>
      </tp>
      <tp t="e">
        <v>#N/A</v>
        <stp/>
        <stp>BDH|1447818053200454724</stp>
        <tr r="AC72" s="2"/>
      </tp>
      <tp t="e">
        <v>#N/A</v>
        <stp/>
        <stp>BDH|3999302966079722499</stp>
        <tr r="G37" s="2"/>
      </tp>
      <tp t="e">
        <v>#N/A</v>
        <stp/>
        <stp>BDH|1513915513262156070</stp>
        <tr r="Y76" s="2"/>
      </tp>
      <tp t="e">
        <v>#N/A</v>
        <stp/>
        <stp>BDH|5031214576572136976</stp>
        <tr r="S27" s="2"/>
      </tp>
      <tp t="e">
        <v>#N/A</v>
        <stp/>
        <stp>BDH|2426021441668059568</stp>
        <tr r="I36" s="2"/>
      </tp>
      <tp t="e">
        <v>#N/A</v>
        <stp/>
        <stp>BDH|2776319455617333816</stp>
        <tr r="Z68" s="2"/>
      </tp>
      <tp t="e">
        <v>#N/A</v>
        <stp/>
        <stp>BDH|7187588418768636069</stp>
        <tr r="O70" s="2"/>
      </tp>
      <tp t="e">
        <v>#N/A</v>
        <stp/>
        <stp>BDH|4181723407271116946</stp>
        <tr r="E82" s="2"/>
      </tp>
      <tp t="e">
        <v>#N/A</v>
        <stp/>
        <stp>BDH|8304644251545074506</stp>
        <tr r="J35" s="2"/>
      </tp>
      <tp t="e">
        <v>#N/A</v>
        <stp/>
        <stp>BDH|1271553366090409937</stp>
        <tr r="AD61" s="2"/>
      </tp>
      <tp t="e">
        <v>#N/A</v>
        <stp/>
        <stp>BDH|6427033741961645869</stp>
        <tr r="S85" s="2"/>
      </tp>
      <tp t="e">
        <v>#N/A</v>
        <stp/>
        <stp>BDH|3526807575190052764</stp>
        <tr r="C63" s="2"/>
      </tp>
      <tp t="e">
        <v>#N/A</v>
        <stp/>
        <stp>BDH|8438040580719331253</stp>
        <tr r="H24" s="2"/>
      </tp>
      <tp t="e">
        <v>#N/A</v>
        <stp/>
        <stp>BDH|8558910003858628278</stp>
        <tr r="Z21" s="2"/>
      </tp>
      <tp t="e">
        <v>#N/A</v>
        <stp/>
        <stp>BDH|4185315126417667964</stp>
        <tr r="C43" s="2"/>
      </tp>
      <tp t="e">
        <v>#N/A</v>
        <stp/>
        <stp>BDH|9708127571700681443</stp>
        <tr r="AC84" s="2"/>
      </tp>
      <tp t="e">
        <v>#N/A</v>
        <stp/>
        <stp>BDH|8196681237775969317</stp>
        <tr r="X34" s="2"/>
      </tp>
      <tp t="e">
        <v>#N/A</v>
        <stp/>
        <stp>BDH|5212166195671558735</stp>
        <tr r="AE60" s="2"/>
      </tp>
      <tp t="e">
        <v>#N/A</v>
        <stp/>
        <stp>BDH|9115536301196627126</stp>
        <tr r="AE68" s="2"/>
      </tp>
      <tp t="e">
        <v>#N/A</v>
        <stp/>
        <stp>BDH|6675307243072118834</stp>
        <tr r="U40" s="2"/>
      </tp>
      <tp t="e">
        <v>#N/A</v>
        <stp/>
        <stp>BDH|6375550463786561871</stp>
        <tr r="K41" s="2"/>
      </tp>
      <tp t="e">
        <v>#N/A</v>
        <stp/>
        <stp>BDH|1329473923834580857</stp>
        <tr r="O63" s="2"/>
      </tp>
      <tp t="e">
        <v>#N/A</v>
        <stp/>
        <stp>BDH|4813286675943053923</stp>
        <tr r="AJ70" s="2"/>
      </tp>
      <tp t="e">
        <v>#N/A</v>
        <stp/>
        <stp>BDH|2521740280095267376</stp>
        <tr r="AA55" s="2"/>
      </tp>
      <tp t="e">
        <v>#N/A</v>
        <stp/>
        <stp>BDH|8166927664038763442</stp>
        <tr r="AG26" s="2"/>
      </tp>
      <tp t="e">
        <v>#N/A</v>
        <stp/>
        <stp>BDH|5229661432952294907</stp>
        <tr r="X55" s="2"/>
      </tp>
      <tp t="e">
        <v>#N/A</v>
        <stp/>
        <stp>BDH|8562671444641472061</stp>
        <tr r="Y88" s="2"/>
      </tp>
      <tp t="e">
        <v>#N/A</v>
        <stp/>
        <stp>BDH|6643141974822027927</stp>
        <tr r="AG31" s="2"/>
      </tp>
      <tp t="e">
        <v>#N/A</v>
        <stp/>
        <stp>BDH|8566349930374671731</stp>
        <tr r="I57" s="2"/>
      </tp>
      <tp t="e">
        <v>#N/A</v>
        <stp/>
        <stp>BDH|3913248866439910562</stp>
        <tr r="AH31" s="2"/>
      </tp>
      <tp t="e">
        <v>#N/A</v>
        <stp/>
        <stp>BDH|7860002620579850756</stp>
        <tr r="AK58" s="2"/>
      </tp>
      <tp t="e">
        <v>#N/A</v>
        <stp/>
        <stp>BDH|1921191865738463540</stp>
        <tr r="AD43" s="2"/>
      </tp>
      <tp t="e">
        <v>#N/A</v>
        <stp/>
        <stp>BDH|1717710202164275930</stp>
        <tr r="AH51" s="2"/>
      </tp>
      <tp t="e">
        <v>#N/A</v>
        <stp/>
        <stp>BDH|6254046974952746809</stp>
        <tr r="I44" s="2"/>
      </tp>
      <tp t="e">
        <v>#N/A</v>
        <stp/>
        <stp>BDH|2433713898500051788</stp>
        <tr r="M67" s="2"/>
      </tp>
      <tp t="e">
        <v>#N/A</v>
        <stp/>
        <stp>BDH|1735539555633043942</stp>
        <tr r="R16" s="2"/>
      </tp>
      <tp t="e">
        <v>#N/A</v>
        <stp/>
        <stp>BDH|8856196165551888590</stp>
        <tr r="AN22" s="2"/>
      </tp>
      <tp t="e">
        <v>#N/A</v>
        <stp/>
        <stp>BDH|99484101684452643</stp>
        <tr r="Y92" s="2"/>
      </tp>
      <tp t="e">
        <v>#N/A</v>
        <stp/>
        <stp>BDH|9104715041656931822</stp>
        <tr r="R38" s="2"/>
      </tp>
      <tp t="e">
        <v>#N/A</v>
        <stp/>
        <stp>BDH|5179000129905657649</stp>
        <tr r="N20" s="2"/>
      </tp>
      <tp t="e">
        <v>#N/A</v>
        <stp/>
        <stp>BDH|2472210059900532138</stp>
        <tr r="AE70" s="2"/>
      </tp>
      <tp t="e">
        <v>#N/A</v>
        <stp/>
        <stp>BDH|8437458316959872052</stp>
        <tr r="J21" s="2"/>
      </tp>
      <tp t="e">
        <v>#N/A</v>
        <stp/>
        <stp>BDH|8992843411366614300</stp>
        <tr r="M49" s="2"/>
      </tp>
      <tp t="e">
        <v>#N/A</v>
        <stp/>
        <stp>BDH|5285447050358894856</stp>
        <tr r="AL23" s="2"/>
      </tp>
      <tp t="e">
        <v>#N/A</v>
        <stp/>
        <stp>BDH|7802354972517227061</stp>
        <tr r="W17" s="2"/>
      </tp>
      <tp t="e">
        <v>#N/A</v>
        <stp/>
        <stp>BDH|4162244763472947646</stp>
        <tr r="P18" s="2"/>
      </tp>
      <tp t="e">
        <v>#N/A</v>
        <stp/>
        <stp>BDH|5457804688735662416</stp>
        <tr r="G50" s="2"/>
      </tp>
      <tp t="e">
        <v>#N/A</v>
        <stp/>
        <stp>BDH|6009452416994941317</stp>
        <tr r="Y38" s="2"/>
      </tp>
      <tp t="e">
        <v>#N/A</v>
        <stp/>
        <stp>BDH|9914455396027629744</stp>
        <tr r="H12" s="2"/>
      </tp>
      <tp t="e">
        <v>#N/A</v>
        <stp/>
        <stp>BDH|8647702588463057063</stp>
        <tr r="W39" s="2"/>
      </tp>
      <tp t="e">
        <v>#N/A</v>
        <stp/>
        <stp>BDH|6286799616710495419</stp>
        <tr r="M15" s="2"/>
      </tp>
      <tp t="e">
        <v>#N/A</v>
        <stp/>
        <stp>BDH|7843233632764370621</stp>
        <tr r="AA92" s="2"/>
      </tp>
      <tp t="e">
        <v>#N/A</v>
        <stp/>
        <stp>BDH|3028987198703064482</stp>
        <tr r="V27" s="2"/>
      </tp>
      <tp t="e">
        <v>#N/A</v>
        <stp/>
        <stp>BDH|9294680991780129227</stp>
        <tr r="O91" s="2"/>
      </tp>
      <tp t="e">
        <v>#N/A</v>
        <stp/>
        <stp>BDH|6084265916356808700</stp>
        <tr r="AJ64" s="2"/>
      </tp>
      <tp t="e">
        <v>#N/A</v>
        <stp/>
        <stp>BDH|1288999399741908425</stp>
        <tr r="J81" s="2"/>
      </tp>
      <tp t="e">
        <v>#N/A</v>
        <stp/>
        <stp>BDH|7226273538083559110</stp>
        <tr r="G44" s="2"/>
      </tp>
      <tp t="e">
        <v>#N/A</v>
        <stp/>
        <stp>BDH|4333464907415953121</stp>
        <tr r="AA43" s="2"/>
      </tp>
      <tp t="e">
        <v>#N/A</v>
        <stp/>
        <stp>BDH|9195116078739368224</stp>
        <tr r="AM22" s="2"/>
      </tp>
      <tp t="e">
        <v>#N/A</v>
        <stp/>
        <stp>BDH|3789447147971437699</stp>
        <tr r="Y9" s="2"/>
      </tp>
      <tp t="e">
        <v>#N/A</v>
        <stp/>
        <stp>BDH|1100892497126786268</stp>
        <tr r="O25" s="2"/>
      </tp>
      <tp t="e">
        <v>#N/A</v>
        <stp/>
        <stp>BDH|9269096254719111104</stp>
        <tr r="E64" s="2"/>
      </tp>
      <tp t="e">
        <v>#N/A</v>
        <stp/>
        <stp>BDH|1465286634691582539</stp>
        <tr r="G12" s="2"/>
      </tp>
      <tp t="e">
        <v>#N/A</v>
        <stp/>
        <stp>BDH|5608489671806759469</stp>
        <tr r="AF69" s="2"/>
      </tp>
      <tp t="e">
        <v>#N/A</v>
        <stp/>
        <stp>BDH|4775062084348365090</stp>
        <tr r="R60" s="2"/>
      </tp>
      <tp t="e">
        <v>#N/A</v>
        <stp/>
        <stp>BDH|4284578445444726583</stp>
        <tr r="AE28" s="2"/>
      </tp>
      <tp t="e">
        <v>#N/A</v>
        <stp/>
        <stp>BDH|8956916737613396538</stp>
        <tr r="AL45" s="2"/>
      </tp>
      <tp t="e">
        <v>#N/A</v>
        <stp/>
        <stp>BDH|3504497911527252503</stp>
        <tr r="Y57" s="2"/>
      </tp>
      <tp t="e">
        <v>#N/A</v>
        <stp/>
        <stp>BDH|1670395453817047435</stp>
        <tr r="AG47" s="2"/>
      </tp>
      <tp t="e">
        <v>#N/A</v>
        <stp/>
        <stp>BDH|4155671269148391837</stp>
        <tr r="AE42" s="2"/>
      </tp>
      <tp t="e">
        <v>#N/A</v>
        <stp/>
        <stp>BDH|8026243669448844094</stp>
        <tr r="AO8" s="2"/>
      </tp>
      <tp t="e">
        <v>#N/A</v>
        <stp/>
        <stp>BDH|3871169440610743258</stp>
        <tr r="X88" s="2"/>
      </tp>
      <tp t="e">
        <v>#N/A</v>
        <stp/>
        <stp>BDH|8653564778986360878</stp>
        <tr r="W84" s="2"/>
      </tp>
      <tp t="e">
        <v>#N/A</v>
        <stp/>
        <stp>BDH|9769393612468394735</stp>
        <tr r="N67" s="2"/>
      </tp>
      <tp t="e">
        <v>#N/A</v>
        <stp/>
        <stp>BDH|5473160318801264058</stp>
        <tr r="O62" s="2"/>
      </tp>
      <tp t="e">
        <v>#N/A</v>
        <stp/>
        <stp>BDH|3245486033373604320</stp>
        <tr r="E19" s="2"/>
      </tp>
      <tp t="e">
        <v>#N/A</v>
        <stp/>
        <stp>BDH|2914538085653196836</stp>
        <tr r="X46" s="2"/>
      </tp>
      <tp t="e">
        <v>#N/A</v>
        <stp/>
        <stp>BDH|7272859579885700946</stp>
        <tr r="H75" s="2"/>
      </tp>
      <tp t="e">
        <v>#N/A</v>
        <stp/>
        <stp>BDH|6634662736434866337</stp>
        <tr r="G24" s="2"/>
      </tp>
      <tp t="e">
        <v>#N/A</v>
        <stp/>
        <stp>BDH|5600426869693313037</stp>
        <tr r="N57" s="2"/>
      </tp>
      <tp t="e">
        <v>#N/A</v>
        <stp/>
        <stp>BDH|1323950515405851869</stp>
        <tr r="J68" s="2"/>
      </tp>
      <tp t="e">
        <v>#N/A</v>
        <stp/>
        <stp>BDH|7133858397974695684</stp>
        <tr r="F88" s="2"/>
      </tp>
      <tp t="e">
        <v>#N/A</v>
        <stp/>
        <stp>BDH|2289200920173227528</stp>
        <tr r="J52" s="2"/>
      </tp>
      <tp t="e">
        <v>#N/A</v>
        <stp/>
        <stp>BDH|9294449024713346831</stp>
        <tr r="AP76" s="2"/>
      </tp>
      <tp t="e">
        <v>#N/A</v>
        <stp/>
        <stp>BDH|6790225622605183744</stp>
        <tr r="AP70" s="2"/>
      </tp>
      <tp t="e">
        <v>#N/A</v>
        <stp/>
        <stp>BDH|5157011712964923495</stp>
        <tr r="T45" s="2"/>
      </tp>
      <tp t="e">
        <v>#N/A</v>
        <stp/>
        <stp>BDH|4252935533829903395</stp>
        <tr r="X40" s="2"/>
      </tp>
      <tp t="e">
        <v>#N/A</v>
        <stp/>
        <stp>BDH|1027305172639680865</stp>
        <tr r="AI13" s="2"/>
      </tp>
      <tp t="e">
        <v>#N/A</v>
        <stp/>
        <stp>BDH|8115179864052608966</stp>
        <tr r="AO59" s="2"/>
      </tp>
      <tp t="e">
        <v>#N/A</v>
        <stp/>
        <stp>BDH|4065939783106171729</stp>
        <tr r="AD53" s="2"/>
      </tp>
      <tp t="e">
        <v>#N/A</v>
        <stp/>
        <stp>BDH|1752784463794908065</stp>
        <tr r="S9" s="2"/>
      </tp>
      <tp t="e">
        <v>#N/A</v>
        <stp/>
        <stp>BDH|3803738951513923607</stp>
        <tr r="E9" s="2"/>
      </tp>
      <tp t="e">
        <v>#N/A</v>
        <stp/>
        <stp>BDH|3566569260354156012</stp>
        <tr r="Q48" s="2"/>
      </tp>
      <tp t="e">
        <v>#N/A</v>
        <stp/>
        <stp>BDH|5309322500313291138</stp>
        <tr r="AK22" s="2"/>
      </tp>
      <tp t="e">
        <v>#N/A</v>
        <stp/>
        <stp>BDH|7285831420200080916</stp>
        <tr r="G43" s="2"/>
      </tp>
      <tp t="e">
        <v>#N/A</v>
        <stp/>
        <stp>BDH|9885923508702098623</stp>
        <tr r="AF30" s="2"/>
      </tp>
      <tp t="e">
        <v>#N/A</v>
        <stp/>
        <stp>BDH|7981267590348612096</stp>
        <tr r="F81" s="2"/>
      </tp>
      <tp t="e">
        <v>#N/A</v>
        <stp/>
        <stp>BDH|5725645571608686845</stp>
        <tr r="AP19" s="2"/>
      </tp>
      <tp t="e">
        <v>#N/A</v>
        <stp/>
        <stp>BDH|3460891198732525413</stp>
        <tr r="N66" s="2"/>
      </tp>
      <tp t="e">
        <v>#N/A</v>
        <stp/>
        <stp>BDH|5360134317693240241</stp>
        <tr r="D22" s="2"/>
      </tp>
      <tp t="e">
        <v>#N/A</v>
        <stp/>
        <stp>BDH|8011356640018748330</stp>
        <tr r="R54" s="2"/>
      </tp>
      <tp t="e">
        <v>#N/A</v>
        <stp/>
        <stp>BDH|2533621230863593034</stp>
        <tr r="E30" s="2"/>
      </tp>
      <tp t="e">
        <v>#N/A</v>
        <stp/>
        <stp>BDH|4529255076614230154</stp>
        <tr r="AL75" s="2"/>
      </tp>
      <tp t="e">
        <v>#N/A</v>
        <stp/>
        <stp>BDH|8133327865429470031</stp>
        <tr r="AE40" s="2"/>
      </tp>
      <tp t="e">
        <v>#N/A</v>
        <stp/>
        <stp>BDH|4746419039815992270</stp>
        <tr r="C44" s="2"/>
      </tp>
      <tp t="e">
        <v>#N/A</v>
        <stp/>
        <stp>BDH|3275115703932785413</stp>
        <tr r="AP81" s="2"/>
      </tp>
      <tp t="e">
        <v>#N/A</v>
        <stp/>
        <stp>BDH|4577454107711425556</stp>
        <tr r="AH11" s="2"/>
      </tp>
      <tp t="e">
        <v>#N/A</v>
        <stp/>
        <stp>BDH|2133856210289088626</stp>
        <tr r="AD59" s="2"/>
      </tp>
      <tp t="e">
        <v>#N/A</v>
        <stp/>
        <stp>BDH|1865380672644596512</stp>
        <tr r="V39" s="2"/>
      </tp>
      <tp t="e">
        <v>#N/A</v>
        <stp/>
        <stp>BDH|9335347972910667957</stp>
        <tr r="AM24" s="2"/>
      </tp>
      <tp t="e">
        <v>#N/A</v>
        <stp/>
        <stp>BDH|5734782855493497082</stp>
        <tr r="S55" s="2"/>
      </tp>
      <tp t="e">
        <v>#N/A</v>
        <stp/>
        <stp>BDH|1576510179737963035</stp>
        <tr r="N59" s="2"/>
      </tp>
      <tp t="e">
        <v>#N/A</v>
        <stp/>
        <stp>BDH|5047644222030356521</stp>
        <tr r="J73" s="2"/>
      </tp>
      <tp t="e">
        <v>#N/A</v>
        <stp/>
        <stp>BDH|9484794761809351587</stp>
        <tr r="AM30" s="2"/>
      </tp>
      <tp t="e">
        <v>#N/A</v>
        <stp/>
        <stp>BDH|9741001697822427636</stp>
        <tr r="Y82" s="2"/>
      </tp>
      <tp t="e">
        <v>#N/A</v>
        <stp/>
        <stp>BDH|9344141894673123658</stp>
        <tr r="R76" s="2"/>
      </tp>
      <tp t="e">
        <v>#N/A</v>
        <stp/>
        <stp>BDH|3663287488808662575</stp>
        <tr r="S7" s="2"/>
      </tp>
      <tp t="e">
        <v>#N/A</v>
        <stp/>
        <stp>BDH|5694024752380830492</stp>
        <tr r="AD64" s="2"/>
      </tp>
      <tp t="e">
        <v>#N/A</v>
        <stp/>
        <stp>BDH|9320860910324941085</stp>
        <tr r="Z12" s="2"/>
      </tp>
      <tp t="e">
        <v>#N/A</v>
        <stp/>
        <stp>BDH|6369715584265556876</stp>
        <tr r="S15" s="2"/>
      </tp>
      <tp t="e">
        <v>#N/A</v>
        <stp/>
        <stp>BDH|8117344545783620822</stp>
        <tr r="K89" s="2"/>
      </tp>
      <tp t="e">
        <v>#N/A</v>
        <stp/>
        <stp>BDH|9998699175484911883</stp>
        <tr r="AO83" s="2"/>
      </tp>
      <tp t="e">
        <v>#N/A</v>
        <stp/>
        <stp>BDH|3582555532154413527</stp>
        <tr r="AD7" s="2"/>
      </tp>
      <tp t="e">
        <v>#N/A</v>
        <stp/>
        <stp>BDH|7510468951604446627</stp>
        <tr r="M18" s="2"/>
      </tp>
      <tp t="e">
        <v>#N/A</v>
        <stp/>
        <stp>BDH|4514621753996931589</stp>
        <tr r="AO69" s="2"/>
      </tp>
      <tp t="e">
        <v>#N/A</v>
        <stp/>
        <stp>BDH|6462160837356151617</stp>
        <tr r="AI63" s="2"/>
      </tp>
      <tp t="e">
        <v>#N/A</v>
        <stp/>
        <stp>BDH|2916141730697888306</stp>
        <tr r="Y48" s="2"/>
      </tp>
      <tp t="e">
        <v>#N/A</v>
        <stp/>
        <stp>BDH|5700518020283489578</stp>
        <tr r="AF76" s="2"/>
      </tp>
      <tp t="e">
        <v>#N/A</v>
        <stp/>
        <stp>BDH|6497131527586758727</stp>
        <tr r="O65" s="2"/>
      </tp>
      <tp t="e">
        <v>#N/A</v>
        <stp/>
        <stp>BDH|95804836996143420</stp>
        <tr r="R45" s="2"/>
      </tp>
      <tp t="e">
        <v>#N/A</v>
        <stp/>
        <stp>BDH|79140306340624878</stp>
        <tr r="P56" s="2"/>
      </tp>
      <tp t="e">
        <v>#N/A</v>
        <stp/>
        <stp>BDH|7094228588361593958</stp>
        <tr r="Q39" s="2"/>
      </tp>
      <tp t="e">
        <v>#N/A</v>
        <stp/>
        <stp>BDH|6618259303959956836</stp>
        <tr r="K57" s="2"/>
      </tp>
      <tp t="e">
        <v>#N/A</v>
        <stp/>
        <stp>BDH|7176397289010801935</stp>
        <tr r="AJ81" s="2"/>
      </tp>
      <tp t="e">
        <v>#N/A</v>
        <stp/>
        <stp>BDH|5253620146086576495</stp>
        <tr r="X7" s="2"/>
      </tp>
      <tp t="e">
        <v>#N/A</v>
        <stp/>
        <stp>BDH|3810051947492248028</stp>
        <tr r="P42" s="2"/>
      </tp>
      <tp t="e">
        <v>#N/A</v>
        <stp/>
        <stp>BDH|2136454363086531389</stp>
        <tr r="AP20" s="2"/>
      </tp>
      <tp t="e">
        <v>#N/A</v>
        <stp/>
        <stp>BDH|8243891802695344017</stp>
        <tr r="AH57" s="2"/>
      </tp>
      <tp t="e">
        <v>#N/A</v>
        <stp/>
        <stp>BDH|9363421392432065385</stp>
        <tr r="AE45" s="2"/>
      </tp>
      <tp t="e">
        <v>#N/A</v>
        <stp/>
        <stp>BDH|1100087424843563539</stp>
        <tr r="F18" s="2"/>
      </tp>
      <tp t="e">
        <v>#N/A</v>
        <stp/>
        <stp>BDH|7653676451001251094</stp>
        <tr r="G26" s="2"/>
      </tp>
      <tp t="e">
        <v>#N/A</v>
        <stp/>
        <stp>BDH|4316091451754379035</stp>
        <tr r="D37" s="2"/>
      </tp>
      <tp t="e">
        <v>#N/A</v>
        <stp/>
        <stp>BDH|2342983515649402617</stp>
        <tr r="AM40" s="2"/>
      </tp>
      <tp t="e">
        <v>#N/A</v>
        <stp/>
        <stp>BDH|9813964154708804899</stp>
        <tr r="AN40" s="2"/>
      </tp>
      <tp t="e">
        <v>#N/A</v>
        <stp/>
        <stp>BDH|6164552823962642698</stp>
        <tr r="W19" s="2"/>
      </tp>
      <tp t="e">
        <v>#N/A</v>
        <stp/>
        <stp>BDH|4997584248108588847</stp>
        <tr r="AA89" s="2"/>
      </tp>
      <tp t="e">
        <v>#N/A</v>
        <stp/>
        <stp>BDH|3119607412441921024</stp>
        <tr r="W73" s="2"/>
      </tp>
      <tp t="e">
        <v>#N/A</v>
        <stp/>
        <stp>BDH|3814224045243125369</stp>
        <tr r="AO39" s="2"/>
      </tp>
      <tp t="e">
        <v>#N/A</v>
        <stp/>
        <stp>BDH|1492552635470892249</stp>
        <tr r="AK46" s="2"/>
      </tp>
      <tp t="e">
        <v>#N/A</v>
        <stp/>
        <stp>BDH|1862589178665097310</stp>
        <tr r="U13" s="2"/>
      </tp>
      <tp t="e">
        <v>#N/A</v>
        <stp/>
        <stp>BDH|8517987328544490289</stp>
        <tr r="AO51" s="2"/>
      </tp>
      <tp t="e">
        <v>#N/A</v>
        <stp/>
        <stp>BDH|7721161264146901357</stp>
        <tr r="T71" s="2"/>
      </tp>
      <tp t="e">
        <v>#N/A</v>
        <stp/>
        <stp>BDH|1789314609643174479</stp>
        <tr r="H68" s="2"/>
      </tp>
      <tp t="e">
        <v>#N/A</v>
        <stp/>
        <stp>BDH|3969004894916556915</stp>
        <tr r="AH26" s="2"/>
      </tp>
      <tp t="e">
        <v>#N/A</v>
        <stp/>
        <stp>BDH|7376355108425022479</stp>
        <tr r="X59" s="2"/>
      </tp>
      <tp t="e">
        <v>#N/A</v>
        <stp/>
        <stp>BDH|1883516547032276755</stp>
        <tr r="AG44" s="2"/>
      </tp>
      <tp t="e">
        <v>#N/A</v>
        <stp/>
        <stp>BDH|5848446437863729454</stp>
        <tr r="AJ66" s="2"/>
      </tp>
      <tp t="e">
        <v>#N/A</v>
        <stp/>
        <stp>BDH|5753218806167944504</stp>
        <tr r="AB67" s="2"/>
      </tp>
      <tp t="e">
        <v>#N/A</v>
        <stp/>
        <stp>BDH|4248122758935897098</stp>
        <tr r="AA69" s="2"/>
      </tp>
      <tp t="e">
        <v>#N/A</v>
        <stp/>
        <stp>BDH|5751594167172577127</stp>
        <tr r="X45" s="2"/>
      </tp>
      <tp t="e">
        <v>#N/A</v>
        <stp/>
        <stp>BDH|5916865881698548856</stp>
        <tr r="AM34" s="2"/>
      </tp>
      <tp t="e">
        <v>#N/A</v>
        <stp/>
        <stp>BDH|8262247788520739775</stp>
        <tr r="AL35" s="2"/>
      </tp>
      <tp t="e">
        <v>#N/A</v>
        <stp/>
        <stp>BDH|6299032708271787206</stp>
        <tr r="T11" s="2"/>
      </tp>
      <tp t="e">
        <v>#N/A</v>
        <stp/>
        <stp>BDH|6806124835586832794</stp>
        <tr r="N41" s="2"/>
      </tp>
      <tp t="e">
        <v>#N/A</v>
        <stp/>
        <stp>BDH|7683232139126395503</stp>
        <tr r="E71" s="2"/>
      </tp>
      <tp t="e">
        <v>#N/A</v>
        <stp/>
        <stp>BDH|2023153517587834057</stp>
        <tr r="AK37" s="2"/>
      </tp>
      <tp t="e">
        <v>#N/A</v>
        <stp/>
        <stp>BDH|2393485753825644313</stp>
        <tr r="U31" s="2"/>
      </tp>
      <tp t="e">
        <v>#N/A</v>
        <stp/>
        <stp>BDH|2266341516165719085</stp>
        <tr r="L88" s="2"/>
      </tp>
      <tp t="e">
        <v>#N/A</v>
        <stp/>
        <stp>BDH|5597094377901142655</stp>
        <tr r="K69" s="2"/>
      </tp>
      <tp t="e">
        <v>#N/A</v>
        <stp/>
        <stp>BDH|5735117749846995390</stp>
        <tr r="G20" s="2"/>
      </tp>
      <tp t="e">
        <v>#N/A</v>
        <stp/>
        <stp>BDH|1861895961573853977</stp>
        <tr r="AF48" s="2"/>
      </tp>
      <tp t="e">
        <v>#N/A</v>
        <stp/>
        <stp>BDH|9727612062925380987</stp>
        <tr r="AJ14" s="2"/>
      </tp>
      <tp t="e">
        <v>#N/A</v>
        <stp/>
        <stp>BDH|6938650287864673924</stp>
        <tr r="AO9" s="2"/>
      </tp>
      <tp t="e">
        <v>#N/A</v>
        <stp/>
        <stp>BDH|3450263175381850208</stp>
        <tr r="Q52" s="2"/>
      </tp>
      <tp t="e">
        <v>#N/A</v>
        <stp/>
        <stp>BDH|4530591642555739569</stp>
        <tr r="P38" s="2"/>
      </tp>
      <tp t="e">
        <v>#N/A</v>
        <stp/>
        <stp>BDH|2967311022373723513</stp>
        <tr r="V73" s="2"/>
      </tp>
      <tp t="e">
        <v>#N/A</v>
        <stp/>
        <stp>BDH|1896032923872200465</stp>
        <tr r="AL14" s="2"/>
      </tp>
      <tp t="e">
        <v>#N/A</v>
        <stp/>
        <stp>BDH|2783182263316465646</stp>
        <tr r="AE41" s="2"/>
      </tp>
      <tp t="e">
        <v>#N/A</v>
        <stp/>
        <stp>BDH|6627497994859511725</stp>
        <tr r="AN77" s="2"/>
      </tp>
      <tp t="e">
        <v>#N/A</v>
        <stp/>
        <stp>BDH|8599471325323982828</stp>
        <tr r="AG91" s="2"/>
      </tp>
      <tp t="e">
        <v>#N/A</v>
        <stp/>
        <stp>BDH|1955763972274887091</stp>
        <tr r="K87" s="2"/>
      </tp>
      <tp t="e">
        <v>#N/A</v>
        <stp/>
        <stp>BDH|3141292560885196759</stp>
        <tr r="AF39" s="2"/>
      </tp>
      <tp t="e">
        <v>#N/A</v>
        <stp/>
        <stp>BDH|4189639879449119975</stp>
        <tr r="Q21" s="2"/>
      </tp>
      <tp t="e">
        <v>#N/A</v>
        <stp/>
        <stp>BDH|5989377096822562804</stp>
        <tr r="F13" s="2"/>
      </tp>
      <tp t="e">
        <v>#N/A</v>
        <stp/>
        <stp>BDH|7319339323366894566</stp>
        <tr r="Q35" s="2"/>
      </tp>
      <tp t="e">
        <v>#N/A</v>
        <stp/>
        <stp>BDH|6959415770999730922</stp>
        <tr r="AM20" s="2"/>
      </tp>
      <tp t="e">
        <v>#N/A</v>
        <stp/>
        <stp>BDH|1169600803317738575</stp>
        <tr r="AD28" s="2"/>
      </tp>
      <tp t="e">
        <v>#N/A</v>
        <stp/>
        <stp>BDH|2852592018807294492</stp>
        <tr r="H72" s="2"/>
      </tp>
      <tp t="e">
        <v>#N/A</v>
        <stp/>
        <stp>BDH|6605061225907597627</stp>
        <tr r="F59" s="2"/>
      </tp>
      <tp t="e">
        <v>#N/A</v>
        <stp/>
        <stp>BDH|5526022411623422214</stp>
        <tr r="C92" s="2"/>
      </tp>
      <tp t="e">
        <v>#N/A</v>
        <stp/>
        <stp>BDH|4310066347053931686</stp>
        <tr r="Q31" s="2"/>
      </tp>
      <tp t="e">
        <v>#N/A</v>
        <stp/>
        <stp>BDH|6531768200873879781</stp>
        <tr r="AI39" s="2"/>
      </tp>
      <tp t="e">
        <v>#N/A</v>
        <stp/>
        <stp>BDH|3729226673084367766</stp>
        <tr r="I60" s="2"/>
      </tp>
      <tp t="e">
        <v>#N/A</v>
        <stp/>
        <stp>BDH|1143357237635351134</stp>
        <tr r="G74" s="2"/>
      </tp>
      <tp t="e">
        <v>#N/A</v>
        <stp/>
        <stp>BDH|3203824546523557903</stp>
        <tr r="K36" s="2"/>
      </tp>
      <tp t="e">
        <v>#N/A</v>
        <stp/>
        <stp>BDH|1429748984352122960</stp>
        <tr r="AH77" s="2"/>
      </tp>
      <tp t="e">
        <v>#N/A</v>
        <stp/>
        <stp>BDH|3269124375727576739</stp>
        <tr r="AA38" s="2"/>
      </tp>
      <tp t="e">
        <v>#N/A</v>
        <stp/>
        <stp>BDH|2849568688582105845</stp>
        <tr r="AO44" s="2"/>
      </tp>
      <tp t="e">
        <v>#N/A</v>
        <stp/>
        <stp>BDH|2367003859835828711</stp>
        <tr r="J25" s="2"/>
      </tp>
      <tp t="e">
        <v>#N/A</v>
        <stp/>
        <stp>BDH|6266257147216783378</stp>
        <tr r="AO66" s="2"/>
      </tp>
      <tp t="e">
        <v>#N/A</v>
        <stp/>
        <stp>BDH|8323805282645524841</stp>
        <tr r="G91" s="2"/>
      </tp>
      <tp t="e">
        <v>#N/A</v>
        <stp/>
        <stp>BDH|8093921563046765461</stp>
        <tr r="I25" s="2"/>
      </tp>
      <tp t="e">
        <v>#N/A</v>
        <stp/>
        <stp>BDH|2430250208410039585</stp>
        <tr r="AA9" s="2"/>
      </tp>
      <tp t="e">
        <v>#N/A</v>
        <stp/>
        <stp>BDH|8381926813170792545</stp>
        <tr r="P12" s="2"/>
      </tp>
      <tp t="e">
        <v>#N/A</v>
        <stp/>
        <stp>BDH|6968284135056576406</stp>
        <tr r="C22" s="2"/>
      </tp>
      <tp t="e">
        <v>#N/A</v>
        <stp/>
        <stp>BDH|2243952091192530526</stp>
        <tr r="AB73" s="2"/>
      </tp>
      <tp t="e">
        <v>#N/A</v>
        <stp/>
        <stp>BDH|2454257534137166150</stp>
        <tr r="V55" s="2"/>
      </tp>
      <tp t="e">
        <v>#N/A</v>
        <stp/>
        <stp>BDH|6863297269487196089</stp>
        <tr r="V13" s="2"/>
      </tp>
      <tp t="e">
        <v>#N/A</v>
        <stp/>
        <stp>BDH|1956236674615868474</stp>
        <tr r="AG75" s="2"/>
      </tp>
      <tp t="e">
        <v>#N/A</v>
        <stp/>
        <stp>BDH|2671783609833259341</stp>
        <tr r="AG42" s="2"/>
      </tp>
      <tp t="e">
        <v>#N/A</v>
        <stp/>
        <stp>BDH|8383347087571712760</stp>
        <tr r="R51" s="2"/>
      </tp>
      <tp t="e">
        <v>#N/A</v>
        <stp/>
        <stp>BDH|4260724015030549765</stp>
        <tr r="AF17" s="2"/>
      </tp>
      <tp t="e">
        <v>#N/A</v>
        <stp/>
        <stp>BDH|3267293867306976436</stp>
        <tr r="AC83" s="2"/>
      </tp>
      <tp t="e">
        <v>#N/A</v>
        <stp/>
        <stp>BDH|4150264722367368603</stp>
        <tr r="O29" s="2"/>
      </tp>
      <tp t="e">
        <v>#N/A</v>
        <stp/>
        <stp>BDH|7558397324046750598</stp>
        <tr r="X37" s="2"/>
      </tp>
      <tp t="e">
        <v>#N/A</v>
        <stp/>
        <stp>BDH|7892426488666734834</stp>
        <tr r="L22" s="2"/>
      </tp>
      <tp t="e">
        <v>#N/A</v>
        <stp/>
        <stp>BDH|9941195023376136950</stp>
        <tr r="AJ85" s="2"/>
      </tp>
      <tp t="e">
        <v>#N/A</v>
        <stp/>
        <stp>BDH|3587725230846444443</stp>
        <tr r="AH42" s="2"/>
      </tp>
      <tp t="e">
        <v>#N/A</v>
        <stp/>
        <stp>BDH|7033711471655561720</stp>
        <tr r="X21" s="2"/>
      </tp>
      <tp t="e">
        <v>#N/A</v>
        <stp/>
        <stp>BDH|2610381014297448293</stp>
        <tr r="AA62" s="2"/>
      </tp>
      <tp t="e">
        <v>#N/A</v>
        <stp/>
        <stp>BDH|7767045583262664811</stp>
        <tr r="I62" s="2"/>
      </tp>
      <tp t="e">
        <v>#N/A</v>
        <stp/>
        <stp>BDH|2637737331742078139</stp>
        <tr r="F28" s="2"/>
      </tp>
      <tp t="e">
        <v>#N/A</v>
        <stp/>
        <stp>BDH|3502777760121190640</stp>
        <tr r="L30" s="2"/>
      </tp>
      <tp t="e">
        <v>#N/A</v>
        <stp/>
        <stp>BDH|5207305914973118102</stp>
        <tr r="C35" s="2"/>
      </tp>
      <tp t="e">
        <v>#N/A</v>
        <stp/>
        <stp>BDH|1553014051008143905</stp>
        <tr r="M71" s="2"/>
      </tp>
      <tp t="e">
        <v>#N/A</v>
        <stp/>
        <stp>BDH|5018555423957302010</stp>
        <tr r="Z49" s="2"/>
      </tp>
      <tp t="e">
        <v>#N/A</v>
        <stp/>
        <stp>BDH|6119778441297180731</stp>
        <tr r="J74" s="2"/>
      </tp>
      <tp t="e">
        <v>#N/A</v>
        <stp/>
        <stp>BDH|7729731236363753507</stp>
        <tr r="N89" s="2"/>
      </tp>
      <tp t="e">
        <v>#N/A</v>
        <stp/>
        <stp>BDH|2528162778946742799</stp>
        <tr r="J71" s="2"/>
      </tp>
      <tp t="e">
        <v>#N/A</v>
        <stp/>
        <stp>BDH|3739223715793741625</stp>
        <tr r="O84" s="2"/>
      </tp>
      <tp t="e">
        <v>#N/A</v>
        <stp/>
        <stp>BDH|9992143628288463744</stp>
        <tr r="G54" s="2"/>
      </tp>
      <tp t="e">
        <v>#N/A</v>
        <stp/>
        <stp>BDH|5895295463905387140</stp>
        <tr r="F77" s="2"/>
      </tp>
      <tp t="e">
        <v>#N/A</v>
        <stp/>
        <stp>BDH|1271958433388458655</stp>
        <tr r="S88" s="2"/>
      </tp>
      <tp t="e">
        <v>#N/A</v>
        <stp/>
        <stp>BDH|3169160372597241728</stp>
        <tr r="AG53" s="2"/>
      </tp>
      <tp t="e">
        <v>#N/A</v>
        <stp/>
        <stp>BDH|92001466309775758</stp>
        <tr r="T36" s="2"/>
      </tp>
      <tp t="e">
        <v>#N/A</v>
        <stp/>
        <stp>BDH|26343967249136427</stp>
        <tr r="AD40" s="2"/>
      </tp>
      <tp t="e">
        <v>#N/A</v>
        <stp/>
        <stp>BDH|2230707225230407195</stp>
        <tr r="U55" s="2"/>
      </tp>
      <tp t="e">
        <v>#N/A</v>
        <stp/>
        <stp>BDH|7385898033372102820</stp>
        <tr r="F19" s="2"/>
      </tp>
      <tp t="e">
        <v>#N/A</v>
        <stp/>
        <stp>BDH|8488198891874429228</stp>
        <tr r="S31" s="2"/>
      </tp>
      <tp t="e">
        <v>#N/A</v>
        <stp/>
        <stp>BDH|3601708293919832277</stp>
        <tr r="AC20" s="2"/>
      </tp>
      <tp t="e">
        <v>#N/A</v>
        <stp/>
        <stp>BDH|2979393138264352016</stp>
        <tr r="L82" s="2"/>
      </tp>
      <tp t="e">
        <v>#N/A</v>
        <stp/>
        <stp>BDH|8328121833339119596</stp>
        <tr r="U89" s="2"/>
      </tp>
      <tp t="e">
        <v>#N/A</v>
        <stp/>
        <stp>BDH|4876218401522095225</stp>
        <tr r="V36" s="2"/>
      </tp>
      <tp t="e">
        <v>#N/A</v>
        <stp/>
        <stp>BDH|7768598200666524213</stp>
        <tr r="AJ18" s="2"/>
      </tp>
      <tp t="e">
        <v>#N/A</v>
        <stp/>
        <stp>BDH|1531679197160638890</stp>
        <tr r="N60" s="2"/>
      </tp>
      <tp t="e">
        <v>#N/A</v>
        <stp/>
        <stp>BDH|4129968551087863941</stp>
        <tr r="O58" s="2"/>
      </tp>
      <tp t="e">
        <v>#N/A</v>
        <stp/>
        <stp>BDH|9989608387835677421</stp>
        <tr r="M84" s="2"/>
      </tp>
      <tp t="e">
        <v>#N/A</v>
        <stp/>
        <stp>BDH|8757925433280548485</stp>
        <tr r="T40" s="2"/>
      </tp>
      <tp t="e">
        <v>#N/A</v>
        <stp/>
        <stp>BDH|8953548505148289312</stp>
        <tr r="Q10" s="2"/>
      </tp>
      <tp t="e">
        <v>#N/A</v>
        <stp/>
        <stp>BDH|1033470298689568318</stp>
        <tr r="AI38" s="2"/>
      </tp>
      <tp t="e">
        <v>#N/A</v>
        <stp/>
        <stp>BDH|4008944293851837344</stp>
        <tr r="H25" s="2"/>
      </tp>
      <tp t="e">
        <v>#N/A</v>
        <stp/>
        <stp>BDH|4177849290657815463</stp>
        <tr r="P21" s="2"/>
      </tp>
      <tp t="e">
        <v>#N/A</v>
        <stp/>
        <stp>BDH|1766233058199208958</stp>
        <tr r="Q29" s="2"/>
      </tp>
      <tp t="e">
        <v>#N/A</v>
        <stp/>
        <stp>BDH|4863721296019018578</stp>
        <tr r="W67" s="2"/>
      </tp>
      <tp t="e">
        <v>#N/A</v>
        <stp/>
        <stp>BDH|9481840979477574775</stp>
        <tr r="U91" s="2"/>
      </tp>
      <tp t="e">
        <v>#N/A</v>
        <stp/>
        <stp>BDH|5144477017326833010</stp>
        <tr r="AK66" s="2"/>
      </tp>
      <tp t="e">
        <v>#N/A</v>
        <stp/>
        <stp>BDH|5714482641813294041</stp>
        <tr r="H73" s="2"/>
      </tp>
      <tp t="e">
        <v>#N/A</v>
        <stp/>
        <stp>BDH|5885374755817115230</stp>
        <tr r="L67" s="2"/>
      </tp>
      <tp t="e">
        <v>#N/A</v>
        <stp/>
        <stp>BDH|9825970962278706827</stp>
        <tr r="R61" s="2"/>
      </tp>
      <tp t="e">
        <v>#N/A</v>
        <stp/>
        <stp>BDH|7040778774369304889</stp>
        <tr r="U28" s="2"/>
      </tp>
      <tp t="e">
        <v>#N/A</v>
        <stp/>
        <stp>BDH|1662317253975524493</stp>
        <tr r="O75" s="2"/>
      </tp>
      <tp t="e">
        <v>#N/A</v>
        <stp/>
        <stp>BDH|7851764332604067151</stp>
        <tr r="AJ10" s="2"/>
      </tp>
      <tp t="e">
        <v>#N/A</v>
        <stp/>
        <stp>BDH|9078819051037076594</stp>
        <tr r="AA77" s="2"/>
      </tp>
      <tp t="e">
        <v>#N/A</v>
        <stp/>
        <stp>BDH|7035277472044995051</stp>
        <tr r="D61" s="2"/>
      </tp>
      <tp t="e">
        <v>#N/A</v>
        <stp/>
        <stp>BDH|6507207465392198682</stp>
        <tr r="AM86" s="2"/>
      </tp>
      <tp t="e">
        <v>#N/A</v>
        <stp/>
        <stp>BDH|1113012557136901407</stp>
        <tr r="AH58" s="2"/>
      </tp>
      <tp t="e">
        <v>#N/A</v>
        <stp/>
        <stp>BDH|8368495964259868582</stp>
        <tr r="Z85" s="2"/>
      </tp>
      <tp t="e">
        <v>#N/A</v>
        <stp/>
        <stp>BDH|4552415871726920721</stp>
        <tr r="C62" s="2"/>
      </tp>
      <tp t="e">
        <v>#N/A</v>
        <stp/>
        <stp>BDH|4777643429723788529</stp>
        <tr r="AN34" s="2"/>
      </tp>
      <tp t="e">
        <v>#N/A</v>
        <stp/>
        <stp>BDH|7182880655155147929</stp>
        <tr r="R48" s="2"/>
      </tp>
      <tp t="e">
        <v>#N/A</v>
        <stp/>
        <stp>BDH|4146422219142315561</stp>
        <tr r="D57" s="2"/>
      </tp>
      <tp t="e">
        <v>#N/A</v>
        <stp/>
        <stp>BDH|1007817557989101387</stp>
        <tr r="Q53" s="2"/>
      </tp>
      <tp t="e">
        <v>#N/A</v>
        <stp/>
        <stp>BDH|7882836847748112522</stp>
        <tr r="W69" s="2"/>
      </tp>
      <tp t="e">
        <v>#N/A</v>
        <stp/>
        <stp>BDH|3916205553066306469</stp>
        <tr r="Q15" s="2"/>
      </tp>
      <tp t="e">
        <v>#N/A</v>
        <stp/>
        <stp>BDH|8445511120781980836</stp>
        <tr r="E63" s="2"/>
      </tp>
      <tp t="e">
        <v>#N/A</v>
        <stp/>
        <stp>BDH|8334882334300797574</stp>
        <tr r="F26" s="2"/>
      </tp>
      <tp t="e">
        <v>#N/A</v>
        <stp/>
        <stp>BDH|9928323197873694663</stp>
        <tr r="T86" s="2"/>
      </tp>
      <tp t="e">
        <v>#N/A</v>
        <stp/>
        <stp>BDH|6821396769351084449</stp>
        <tr r="H85" s="2"/>
      </tp>
      <tp t="e">
        <v>#N/A</v>
        <stp/>
        <stp>BDH|7812536681094091864</stp>
        <tr r="AD57" s="2"/>
      </tp>
      <tp t="e">
        <v>#N/A</v>
        <stp/>
        <stp>BDH|4534699102001490576</stp>
        <tr r="E29" s="2"/>
      </tp>
      <tp t="e">
        <v>#N/A</v>
        <stp/>
        <stp>BDH|2542907272769249387</stp>
        <tr r="AL57" s="2"/>
      </tp>
      <tp t="e">
        <v>#N/A</v>
        <stp/>
        <stp>BDH|4971604974375014607</stp>
        <tr r="AB81" s="2"/>
      </tp>
      <tp t="e">
        <v>#N/A</v>
        <stp/>
        <stp>BDH|1479197105996706020</stp>
        <tr r="Y56" s="2"/>
      </tp>
      <tp t="e">
        <v>#N/A</v>
        <stp/>
        <stp>BDH|1169761510507667631</stp>
        <tr r="AI16" s="2"/>
      </tp>
      <tp t="e">
        <v>#N/A</v>
        <stp/>
        <stp>BDH|3298132031877660042</stp>
        <tr r="AK30" s="2"/>
      </tp>
      <tp t="e">
        <v>#N/A</v>
        <stp/>
        <stp>BDH|6653554263580631340</stp>
        <tr r="AE24" s="2"/>
      </tp>
      <tp t="e">
        <v>#N/A</v>
        <stp/>
        <stp>BDH|7727154152352450768</stp>
        <tr r="I59" s="2"/>
      </tp>
      <tp t="e">
        <v>#N/A</v>
        <stp/>
        <stp>BDH|5012755065496406468</stp>
        <tr r="AN42" s="2"/>
      </tp>
      <tp t="e">
        <v>#N/A</v>
        <stp/>
        <stp>BDH|1510162860592935297</stp>
        <tr r="H34" s="2"/>
      </tp>
      <tp t="e">
        <v>#N/A</v>
        <stp/>
        <stp>BDH|4802563362615834470</stp>
        <tr r="I20" s="2"/>
      </tp>
      <tp t="e">
        <v>#N/A</v>
        <stp/>
        <stp>BDH|9176988607717532183</stp>
        <tr r="U75" s="2"/>
      </tp>
      <tp t="e">
        <v>#N/A</v>
        <stp/>
        <stp>BDH|6970191400490637159</stp>
        <tr r="H71" s="2"/>
      </tp>
      <tp t="e">
        <v>#N/A</v>
        <stp/>
        <stp>BDH|3353618865881573418</stp>
        <tr r="D84" s="2"/>
      </tp>
      <tp t="e">
        <v>#N/A</v>
        <stp/>
        <stp>BDH|6683327230188410835</stp>
        <tr r="M17" s="2"/>
      </tp>
      <tp t="e">
        <v>#N/A</v>
        <stp/>
        <stp>BDH|6386282228368034806</stp>
        <tr r="AB51" s="2"/>
      </tp>
      <tp t="e">
        <v>#N/A</v>
        <stp/>
        <stp>BDH|6041961984975616471</stp>
        <tr r="AC71" s="2"/>
      </tp>
      <tp t="e">
        <v>#N/A</v>
        <stp/>
        <stp>BDH|3629930095334574168</stp>
        <tr r="W47" s="2"/>
      </tp>
      <tp t="e">
        <v>#N/A</v>
        <stp/>
        <stp>BDH|2523440921820332207</stp>
        <tr r="X42" s="2"/>
      </tp>
      <tp t="e">
        <v>#N/A</v>
        <stp/>
        <stp>BDH|2612710310703413134</stp>
        <tr r="AO13" s="2"/>
      </tp>
      <tp t="e">
        <v>#N/A</v>
        <stp/>
        <stp>BDH|6675504880555743817</stp>
        <tr r="O9" s="2"/>
      </tp>
      <tp t="e">
        <v>#N/A</v>
        <stp/>
        <stp>BDH|9587578098693823023</stp>
        <tr r="AO89" s="2"/>
      </tp>
      <tp t="e">
        <v>#N/A</v>
        <stp/>
        <stp>BDH|3242264166595414463</stp>
        <tr r="AD88" s="2"/>
      </tp>
      <tp t="e">
        <v>#N/A</v>
        <stp/>
        <stp>BDH|7969476127537060099</stp>
        <tr r="F92" s="2"/>
      </tp>
      <tp t="e">
        <v>#N/A</v>
        <stp/>
        <stp>BDH|3016666681992722900</stp>
        <tr r="M47" s="2"/>
      </tp>
      <tp t="e">
        <v>#N/A</v>
        <stp/>
        <stp>BDH|7578333913430135353</stp>
        <tr r="AE47" s="2"/>
      </tp>
      <tp t="e">
        <v>#N/A</v>
        <stp/>
        <stp>BDH|7436004837675029723</stp>
        <tr r="R67" s="2"/>
      </tp>
      <tp t="e">
        <v>#N/A</v>
        <stp/>
        <stp>BDH|5752152935749131870</stp>
        <tr r="V47" s="2"/>
      </tp>
      <tp t="e">
        <v>#N/A</v>
        <stp/>
        <stp>BDH|2086545446606493375</stp>
        <tr r="N68" s="2"/>
      </tp>
      <tp t="e">
        <v>#N/A</v>
        <stp/>
        <stp>BDH|7439139570083090468</stp>
        <tr r="O92" s="2"/>
      </tp>
      <tp t="e">
        <v>#N/A</v>
        <stp/>
        <stp>BDH|8890896743873684155</stp>
        <tr r="AJ27" s="2"/>
      </tp>
      <tp t="e">
        <v>#N/A</v>
        <stp/>
        <stp>BDH|2987744463524700183</stp>
        <tr r="J48" s="2"/>
      </tp>
      <tp t="e">
        <v>#N/A</v>
        <stp/>
        <stp>BDH|6893637059943690052</stp>
        <tr r="E65" s="2"/>
      </tp>
      <tp t="e">
        <v>#N/A</v>
        <stp/>
        <stp>BDH|5161022116735593716</stp>
        <tr r="AC41" s="2"/>
      </tp>
      <tp t="e">
        <v>#N/A</v>
        <stp/>
        <stp>BDH|6949022425367172591</stp>
        <tr r="AF83" s="2"/>
      </tp>
      <tp t="e">
        <v>#N/A</v>
        <stp/>
        <stp>BDH|7807962899341775063</stp>
        <tr r="Y40" s="2"/>
      </tp>
      <tp t="e">
        <v>#N/A</v>
        <stp/>
        <stp>BDH|7399200598962988841</stp>
        <tr r="AF27" s="2"/>
      </tp>
      <tp t="e">
        <v>#N/A</v>
        <stp/>
        <stp>BDH|7734791270392086380</stp>
        <tr r="AH16" s="2"/>
      </tp>
      <tp t="e">
        <v>#N/A</v>
        <stp/>
        <stp>BDH|4488284529771408373</stp>
        <tr r="AC39" s="2"/>
      </tp>
      <tp t="e">
        <v>#N/A</v>
        <stp/>
        <stp>BDH|1372133369085984564</stp>
        <tr r="L8" s="2"/>
      </tp>
      <tp t="e">
        <v>#N/A</v>
        <stp/>
        <stp>BDH|5687070495478379213</stp>
        <tr r="V42" s="2"/>
      </tp>
      <tp t="e">
        <v>#N/A</v>
        <stp/>
        <stp>BDH|6586960817630070826</stp>
        <tr r="F45" s="2"/>
      </tp>
      <tp t="e">
        <v>#N/A</v>
        <stp/>
        <stp>BDH|9869046822548898502</stp>
        <tr r="V86" s="2"/>
      </tp>
      <tp t="e">
        <v>#N/A</v>
        <stp/>
        <stp>BDH|5019245158694279097</stp>
        <tr r="R65" s="2"/>
      </tp>
      <tp t="e">
        <v>#N/A</v>
        <stp/>
        <stp>BDH|5848684437832236429</stp>
        <tr r="AO63" s="2"/>
      </tp>
      <tp t="e">
        <v>#N/A</v>
        <stp/>
        <stp>BDH|6893324616416843438</stp>
        <tr r="T63" s="2"/>
      </tp>
      <tp t="e">
        <v>#N/A</v>
        <stp/>
        <stp>BDH|5314469206130574717</stp>
        <tr r="AM45" s="2"/>
      </tp>
      <tp t="e">
        <v>#N/A</v>
        <stp/>
        <stp>BDH|1462224102134687150</stp>
        <tr r="AM17" s="2"/>
      </tp>
      <tp t="e">
        <v>#N/A</v>
        <stp/>
        <stp>BDH|6339779757551720330</stp>
        <tr r="L20" s="2"/>
      </tp>
      <tp t="e">
        <v>#N/A</v>
        <stp/>
        <stp>BDH|6561096828463497173</stp>
        <tr r="T52" s="2"/>
      </tp>
      <tp t="e">
        <v>#N/A</v>
        <stp/>
        <stp>BDH|7587268122156178778</stp>
        <tr r="AE36" s="2"/>
      </tp>
      <tp t="e">
        <v>#N/A</v>
        <stp/>
        <stp>BDH|2004167021274748341</stp>
        <tr r="P20" s="2"/>
      </tp>
      <tp t="e">
        <v>#N/A</v>
        <stp/>
        <stp>BDH|6454211859307926010</stp>
        <tr r="L53" s="2"/>
      </tp>
      <tp t="e">
        <v>#N/A</v>
        <stp/>
        <stp>BDH|4429131443277733076</stp>
        <tr r="AO45" s="2"/>
      </tp>
      <tp t="e">
        <v>#N/A</v>
        <stp/>
        <stp>BDH|7818386261907391361</stp>
        <tr r="R89" s="2"/>
      </tp>
      <tp t="e">
        <v>#N/A</v>
        <stp/>
        <stp>BDH|2414074744822761247</stp>
        <tr r="P41" s="2"/>
      </tp>
      <tp t="e">
        <v>#N/A</v>
        <stp/>
        <stp>BDH|7224681498088499626</stp>
        <tr r="AM26" s="2"/>
      </tp>
      <tp t="e">
        <v>#N/A</v>
        <stp/>
        <stp>BDH|4991494315915785263</stp>
        <tr r="Y16" s="2"/>
      </tp>
      <tp t="e">
        <v>#N/A</v>
        <stp/>
        <stp>BDH|3179903677452728941</stp>
        <tr r="C28" s="2"/>
      </tp>
      <tp t="e">
        <v>#N/A</v>
        <stp/>
        <stp>BDH|2842272748870123238</stp>
        <tr r="AN7" s="2"/>
      </tp>
      <tp t="e">
        <v>#N/A</v>
        <stp/>
        <stp>BDH|3052335072670132152</stp>
        <tr r="R81" s="2"/>
      </tp>
      <tp t="e">
        <v>#N/A</v>
        <stp/>
        <stp>BDH|9421622753019642562</stp>
        <tr r="AB70" s="2"/>
      </tp>
      <tp t="e">
        <v>#N/A</v>
        <stp/>
        <stp>BDH|3900442408313235224</stp>
        <tr r="AK61" s="2"/>
      </tp>
      <tp t="e">
        <v>#N/A</v>
        <stp/>
        <stp>BDH|8494836298246936935</stp>
        <tr r="AI20" s="2"/>
      </tp>
      <tp t="e">
        <v>#N/A</v>
        <stp/>
        <stp>BDH|2797207078144839526</stp>
        <tr r="AJ25" s="2"/>
      </tp>
      <tp t="e">
        <v>#N/A</v>
        <stp/>
        <stp>BDH|5516662410674035069</stp>
        <tr r="AH87" s="2"/>
      </tp>
      <tp t="e">
        <v>#N/A</v>
        <stp/>
        <stp>BDH|2054413252822718710</stp>
        <tr r="D86" s="2"/>
      </tp>
      <tp t="e">
        <v>#N/A</v>
        <stp/>
        <stp>BDH|32349388342053279</stp>
        <tr r="AH38" s="2"/>
      </tp>
      <tp t="e">
        <v>#N/A</v>
        <stp/>
        <stp>BDH|8365962171946695785</stp>
        <tr r="AA30" s="2"/>
      </tp>
      <tp t="e">
        <v>#N/A</v>
        <stp/>
        <stp>BDH|7537725676349229997</stp>
        <tr r="AN51" s="2"/>
      </tp>
      <tp t="e">
        <v>#N/A</v>
        <stp/>
        <stp>BDH|6009845530372906872</stp>
        <tr r="E42" s="2"/>
      </tp>
      <tp t="e">
        <v>#N/A</v>
        <stp/>
        <stp>BDH|1554055809887166129</stp>
        <tr r="P46" s="2"/>
      </tp>
      <tp t="e">
        <v>#N/A</v>
        <stp/>
        <stp>BDH|6196319478387015225</stp>
        <tr r="V28" s="2"/>
      </tp>
      <tp t="e">
        <v>#N/A</v>
        <stp/>
        <stp>BDH|1627084204183824582</stp>
        <tr r="L60" s="2"/>
      </tp>
      <tp t="e">
        <v>#N/A</v>
        <stp/>
        <stp>BDH|3603256472543980222</stp>
        <tr r="X66" s="2"/>
      </tp>
      <tp t="e">
        <v>#N/A</v>
        <stp/>
        <stp>BDH|1528546649984212304</stp>
        <tr r="I66" s="2"/>
      </tp>
      <tp t="e">
        <v>#N/A</v>
        <stp/>
        <stp>BDH|8142265943139644088</stp>
        <tr r="F76" s="2"/>
      </tp>
      <tp t="e">
        <v>#N/A</v>
        <stp/>
        <stp>BDH|9768824693757539899</stp>
        <tr r="I43" s="2"/>
      </tp>
      <tp t="e">
        <v>#N/A</v>
        <stp/>
        <stp>BDH|4414550112817114086</stp>
        <tr r="AH14" s="2"/>
      </tp>
      <tp t="e">
        <v>#N/A</v>
        <stp/>
        <stp>BDH|4167648332231590795</stp>
        <tr r="AG61" s="2"/>
      </tp>
      <tp t="e">
        <v>#N/A</v>
        <stp/>
        <stp>BDH|2088160579111239269</stp>
        <tr r="R44" s="2"/>
      </tp>
      <tp t="e">
        <v>#N/A</v>
        <stp/>
        <stp>BDH|6197719377714978555</stp>
        <tr r="AG22" s="2"/>
      </tp>
      <tp t="e">
        <v>#N/A</v>
        <stp/>
        <stp>BDH|8631381217539486468</stp>
        <tr r="L54" s="2"/>
      </tp>
      <tp t="e">
        <v>#N/A</v>
        <stp/>
        <stp>BDH|6465453851190919022</stp>
        <tr r="O39" s="2"/>
      </tp>
      <tp t="e">
        <v>#N/A</v>
        <stp/>
        <stp>BDH|4812728425625343372</stp>
        <tr r="O35" s="2"/>
      </tp>
      <tp t="e">
        <v>#N/A</v>
        <stp/>
        <stp>BDH|8152925561269987901</stp>
        <tr r="Z44" s="2"/>
      </tp>
      <tp t="e">
        <v>#N/A</v>
        <stp/>
        <stp>BDH|6164360856903231487</stp>
        <tr r="AI91" s="2"/>
      </tp>
      <tp t="e">
        <v>#N/A</v>
        <stp/>
        <stp>BDH|7892392948783752469</stp>
        <tr r="G67" s="2"/>
      </tp>
      <tp t="e">
        <v>#N/A</v>
        <stp/>
        <stp>BDH|4392288926051324264</stp>
        <tr r="AI48" s="2"/>
      </tp>
      <tp t="e">
        <v>#N/A</v>
        <stp/>
        <stp>BDH|6275598966994494617</stp>
        <tr r="AA8" s="2"/>
      </tp>
      <tp t="e">
        <v>#N/A</v>
        <stp/>
        <stp>BDH|5299116492502060893</stp>
        <tr r="P84" s="2"/>
      </tp>
      <tp t="e">
        <v>#N/A</v>
        <stp/>
        <stp>BDH|9819469241676064877</stp>
        <tr r="AK12" s="2"/>
      </tp>
      <tp t="e">
        <v>#N/A</v>
        <stp/>
        <stp>BDH|8549699787098796955</stp>
        <tr r="E86" s="2"/>
      </tp>
      <tp t="e">
        <v>#N/A</v>
        <stp/>
        <stp>BDH|2732585787569746160</stp>
        <tr r="S64" s="2"/>
      </tp>
      <tp t="e">
        <v>#N/A</v>
        <stp/>
        <stp>BDH|3580750954936814057</stp>
        <tr r="K60" s="2"/>
      </tp>
      <tp t="e">
        <v>#N/A</v>
        <stp/>
        <stp>BDH|4183252704092057398</stp>
        <tr r="I58" s="2"/>
      </tp>
      <tp t="e">
        <v>#N/A</v>
        <stp/>
        <stp>BDH|5164412982877984929</stp>
        <tr r="Z31" s="2"/>
      </tp>
      <tp t="e">
        <v>#N/A</v>
        <stp/>
        <stp>BDH|3340429871052828513</stp>
        <tr r="AP75" s="2"/>
      </tp>
      <tp t="e">
        <v>#N/A</v>
        <stp/>
        <stp>BDH|4708938595202845101</stp>
        <tr r="AK31" s="2"/>
      </tp>
      <tp t="e">
        <v>#N/A</v>
        <stp/>
        <stp>BDH|8198468908212100902</stp>
        <tr r="G47" s="2"/>
      </tp>
      <tp t="e">
        <v>#N/A</v>
        <stp/>
        <stp>BDH|2313426639282431025</stp>
        <tr r="AD85" s="2"/>
      </tp>
      <tp t="e">
        <v>#N/A</v>
        <stp/>
        <stp>BDH|3686118168144128700</stp>
        <tr r="W64" s="2"/>
      </tp>
      <tp t="e">
        <v>#N/A</v>
        <stp/>
        <stp>BDH|3452619108945392702</stp>
        <tr r="H15" s="2"/>
      </tp>
      <tp t="e">
        <v>#N/A</v>
        <stp/>
        <stp>BDH|9529805566913923342</stp>
        <tr r="AL60" s="2"/>
      </tp>
      <tp t="e">
        <v>#N/A</v>
        <stp/>
        <stp>BDH|9140365584456938357</stp>
        <tr r="AL61" s="2"/>
      </tp>
      <tp t="e">
        <v>#N/A</v>
        <stp/>
        <stp>BDH|3658720669891687446</stp>
        <tr r="AK60" s="2"/>
      </tp>
      <tp t="e">
        <v>#N/A</v>
        <stp/>
        <stp>BDH|9458735891849169987</stp>
        <tr r="K91" s="2"/>
      </tp>
      <tp t="e">
        <v>#N/A</v>
        <stp/>
        <stp>BDH|3905027744688498845</stp>
        <tr r="I35" s="2"/>
      </tp>
      <tp t="e">
        <v>#N/A</v>
        <stp/>
        <stp>BDH|3261774807911906246</stp>
        <tr r="U59" s="2"/>
      </tp>
      <tp t="e">
        <v>#N/A</v>
        <stp/>
        <stp>BDH|1234744772951041789</stp>
        <tr r="D71" s="2"/>
      </tp>
      <tp t="e">
        <v>#N/A</v>
        <stp/>
        <stp>BDH|4147145948361652775</stp>
        <tr r="I52" s="2"/>
      </tp>
      <tp t="e">
        <v>#N/A</v>
        <stp/>
        <stp>BDH|3403351669516252764</stp>
        <tr r="Z13" s="2"/>
      </tp>
      <tp t="e">
        <v>#N/A</v>
        <stp/>
        <stp>BDH|7492588652578191836</stp>
        <tr r="I56" s="2"/>
      </tp>
      <tp t="e">
        <v>#N/A</v>
        <stp/>
        <stp>BDH|2434264768788222948</stp>
        <tr r="W26" s="2"/>
      </tp>
      <tp t="e">
        <v>#N/A</v>
        <stp/>
        <stp>BDH|4250182652684098345</stp>
        <tr r="V76" s="2"/>
      </tp>
      <tp t="e">
        <v>#N/A</v>
        <stp/>
        <stp>BDH|4260055640923222496</stp>
        <tr r="AN59" s="2"/>
      </tp>
      <tp t="e">
        <v>#N/A</v>
        <stp/>
        <stp>BDH|9055676393585170489</stp>
        <tr r="Z9" s="2"/>
      </tp>
      <tp t="e">
        <v>#N/A</v>
        <stp/>
        <stp>BDH|7290073816177396623</stp>
        <tr r="AA17" s="2"/>
      </tp>
      <tp t="e">
        <v>#N/A</v>
        <stp/>
        <stp>BDH|6042398052442052599</stp>
        <tr r="G82" s="2"/>
      </tp>
      <tp t="e">
        <v>#N/A</v>
        <stp/>
        <stp>BDH|3393717154217391172</stp>
        <tr r="C31" s="2"/>
      </tp>
      <tp t="e">
        <v>#N/A</v>
        <stp/>
        <stp>BDH|7569036637350646351</stp>
        <tr r="AB15" s="2"/>
      </tp>
      <tp t="e">
        <v>#N/A</v>
        <stp/>
        <stp>BDH|1119605387209174158</stp>
        <tr r="R35" s="2"/>
      </tp>
      <tp t="e">
        <v>#N/A</v>
        <stp/>
        <stp>BDH|9966000199832029527</stp>
        <tr r="AA82" s="2"/>
      </tp>
      <tp t="e">
        <v>#N/A</v>
        <stp/>
        <stp>BDH|4078469407136325107</stp>
        <tr r="Y54" s="2"/>
      </tp>
      <tp t="e">
        <v>#N/A</v>
        <stp/>
        <stp>BDH|4607534488869707780</stp>
        <tr r="M91" s="2"/>
      </tp>
      <tp t="e">
        <v>#N/A</v>
        <stp/>
        <stp>BDH|6722823515751403969</stp>
        <tr r="AE62" s="2"/>
      </tp>
      <tp t="e">
        <v>#N/A</v>
        <stp/>
        <stp>BDH|4163963089042823056</stp>
        <tr r="J46" s="2"/>
      </tp>
      <tp t="e">
        <v>#N/A</v>
        <stp/>
        <stp>BDH|3584128176176441461</stp>
        <tr r="AB7" s="2"/>
      </tp>
      <tp t="e">
        <v>#N/A</v>
        <stp/>
        <stp>BDH|1544109322360644521</stp>
        <tr r="I9" s="2"/>
      </tp>
      <tp t="e">
        <v>#N/A</v>
        <stp/>
        <stp>BDH|8169028804239204667</stp>
        <tr r="L74" s="2"/>
      </tp>
      <tp t="e">
        <v>#N/A</v>
        <stp/>
        <stp>BDH|2706328466351340132</stp>
        <tr r="M31" s="2"/>
      </tp>
      <tp t="e">
        <v>#N/A</v>
        <stp/>
        <stp>BDH|7007633613532108529</stp>
        <tr r="AI66" s="2"/>
      </tp>
      <tp t="e">
        <v>#N/A</v>
        <stp/>
        <stp>BDH|8269867775277754767</stp>
        <tr r="J18" s="2"/>
      </tp>
      <tp t="e">
        <v>#N/A</v>
        <stp/>
        <stp>BDH|8733876297217357942</stp>
        <tr r="AM50" s="2"/>
      </tp>
      <tp t="e">
        <v>#N/A</v>
        <stp/>
        <stp>BDH|1835631540717903325</stp>
        <tr r="O36" s="2"/>
      </tp>
      <tp t="e">
        <v>#N/A</v>
        <stp/>
        <stp>BDH|3031158105774590156</stp>
        <tr r="L65" s="2"/>
      </tp>
      <tp t="e">
        <v>#N/A</v>
        <stp/>
        <stp>BDH|1823805429264661870</stp>
        <tr r="AD62" s="2"/>
      </tp>
      <tp t="e">
        <v>#N/A</v>
        <stp/>
        <stp>BDH|7092209220892587252</stp>
        <tr r="H29" s="2"/>
      </tp>
      <tp t="e">
        <v>#N/A</v>
        <stp/>
        <stp>BDH|1413277307817767330</stp>
        <tr r="E14" s="2"/>
      </tp>
      <tp t="e">
        <v>#N/A</v>
        <stp/>
        <stp>BDH|9989278746660993814</stp>
        <tr r="P61" s="2"/>
      </tp>
      <tp t="e">
        <v>#N/A</v>
        <stp/>
        <stp>BDH|5333153031626491632</stp>
        <tr r="Y61" s="2"/>
      </tp>
      <tp t="e">
        <v>#N/A</v>
        <stp/>
        <stp>BDH|6636148333052570142</stp>
        <tr r="AE51" s="2"/>
      </tp>
      <tp t="e">
        <v>#N/A</v>
        <stp/>
        <stp>BDH|4502803694311790379</stp>
        <tr r="P70" s="2"/>
      </tp>
      <tp t="e">
        <v>#N/A</v>
        <stp/>
        <stp>BDH|5147465934566763351</stp>
        <tr r="L19" s="2"/>
      </tp>
      <tp t="e">
        <v>#N/A</v>
        <stp/>
        <stp>BDH|8556690891190478087</stp>
        <tr r="AN39" s="2"/>
      </tp>
      <tp t="e">
        <v>#N/A</v>
        <stp/>
        <stp>BDH|6533575659305348496</stp>
        <tr r="L46" s="2"/>
      </tp>
      <tp t="e">
        <v>#N/A</v>
        <stp/>
        <stp>BDH|8308674741768320577</stp>
        <tr r="I75" s="2"/>
      </tp>
      <tp t="e">
        <v>#N/A</v>
        <stp/>
        <stp>BDH|2718558449303357799</stp>
        <tr r="Z74" s="2"/>
      </tp>
      <tp t="e">
        <v>#N/A</v>
        <stp/>
        <stp>BDH|3744458405402278246</stp>
        <tr r="P8" s="2"/>
      </tp>
      <tp t="e">
        <v>#N/A</v>
        <stp/>
        <stp>BDH|7548619354655965684</stp>
        <tr r="M25" s="2"/>
      </tp>
      <tp t="e">
        <v>#N/A</v>
        <stp/>
        <stp>BDH|5470268600202316204</stp>
        <tr r="I49" s="2"/>
      </tp>
      <tp t="e">
        <v>#N/A</v>
        <stp/>
        <stp>BDH|3347950921569266649</stp>
        <tr r="C71" s="2"/>
      </tp>
      <tp t="e">
        <v>#N/A</v>
        <stp/>
        <stp>BDH|4091428191728320664</stp>
        <tr r="J82" s="2"/>
      </tp>
      <tp t="e">
        <v>#N/A</v>
        <stp/>
        <stp>BDH|1257962792621354737</stp>
        <tr r="AI92" s="2"/>
      </tp>
      <tp t="e">
        <v>#N/A</v>
        <stp/>
        <stp>BDH|4166935584040862281</stp>
        <tr r="AI23" s="2"/>
      </tp>
      <tp t="e">
        <v>#N/A</v>
        <stp/>
        <stp>BDH|1010463452335670241</stp>
        <tr r="X43" s="2"/>
      </tp>
      <tp t="e">
        <v>#N/A</v>
        <stp/>
        <stp>BDH|7330589145572818301</stp>
        <tr r="P83" s="2"/>
      </tp>
      <tp t="e">
        <v>#N/A</v>
        <stp/>
        <stp>BDH|7182492468062673018</stp>
        <tr r="AA25" s="2"/>
      </tp>
      <tp t="e">
        <v>#N/A</v>
        <stp/>
        <stp>BDH|5300859630810415956</stp>
        <tr r="Y52" s="2"/>
      </tp>
      <tp t="e">
        <v>#N/A</v>
        <stp/>
        <stp>BDH|4142966018672155999</stp>
        <tr r="U41" s="2"/>
      </tp>
      <tp t="e">
        <v>#N/A</v>
        <stp/>
        <stp>BDH|2191270721710274522</stp>
        <tr r="AI22" s="2"/>
      </tp>
      <tp t="e">
        <v>#N/A</v>
        <stp/>
        <stp>BDH|9306178789970221789</stp>
        <tr r="AK52" s="2"/>
      </tp>
      <tp t="e">
        <v>#N/A</v>
        <stp/>
        <stp>BDH|7262702484468354714</stp>
        <tr r="I72" s="2"/>
      </tp>
      <tp t="e">
        <v>#N/A</v>
        <stp/>
        <stp>BDH|9156241688363067793</stp>
        <tr r="AF21" s="2"/>
      </tp>
      <tp t="e">
        <v>#N/A</v>
        <stp/>
        <stp>BDH|5593330015678498834</stp>
        <tr r="AJ19" s="2"/>
      </tp>
      <tp t="e">
        <v>#N/A</v>
        <stp/>
        <stp>BDH|3352211190539674600</stp>
        <tr r="G36" s="2"/>
      </tp>
      <tp t="e">
        <v>#N/A</v>
        <stp/>
        <stp>BDH|2536331656550293368</stp>
        <tr r="AN9" s="2"/>
      </tp>
      <tp t="e">
        <v>#N/A</v>
        <stp/>
        <stp>BDH|9859986965419041819</stp>
        <tr r="X14" s="2"/>
      </tp>
      <tp t="e">
        <v>#N/A</v>
        <stp/>
        <stp>BDH|8161078438124954830</stp>
        <tr r="AB54" s="2"/>
      </tp>
      <tp t="e">
        <v>#N/A</v>
        <stp/>
        <stp>BDH|7644730153123688141</stp>
        <tr r="AM42" s="2"/>
      </tp>
      <tp t="e">
        <v>#N/A</v>
        <stp/>
        <stp>BDH|4984173163482998609</stp>
        <tr r="R84" s="2"/>
      </tp>
      <tp t="e">
        <v>#N/A</v>
        <stp/>
        <stp>BDH|5211313152780368472</stp>
        <tr r="Y30" s="2"/>
      </tp>
      <tp t="e">
        <v>#N/A</v>
        <stp/>
        <stp>BDH|8893892164581778078</stp>
        <tr r="O71" s="2"/>
      </tp>
      <tp t="e">
        <v>#N/A</v>
        <stp/>
        <stp>BDH|3558104577293336140</stp>
        <tr r="L18" s="2"/>
      </tp>
      <tp t="e">
        <v>#N/A</v>
        <stp/>
        <stp>BDH|8591612472367219911</stp>
        <tr r="D55" s="2"/>
      </tp>
      <tp t="e">
        <v>#N/A</v>
        <stp/>
        <stp>BDH|29977167556701336</stp>
        <tr r="AO31" s="2"/>
      </tp>
      <tp t="e">
        <v>#N/A</v>
        <stp/>
        <stp>BDH|84423821899195569</stp>
        <tr r="E88" s="2"/>
      </tp>
      <tp t="e">
        <v>#N/A</v>
        <stp/>
        <stp>BDH|88606725906546850</stp>
        <tr r="AN65" s="2"/>
      </tp>
      <tp t="e">
        <v>#N/A</v>
        <stp/>
        <stp>BDH|39088582032565000</stp>
        <tr r="I71" s="2"/>
      </tp>
      <tp t="e">
        <v>#N/A</v>
        <stp/>
        <stp>BDH|8272252610058516381</stp>
        <tr r="O30" s="2"/>
      </tp>
      <tp t="e">
        <v>#N/A</v>
        <stp/>
        <stp>BDH|1815435606306603312</stp>
        <tr r="AC53" s="2"/>
      </tp>
      <tp t="e">
        <v>#N/A</v>
        <stp/>
        <stp>BDH|3007083287893253879</stp>
        <tr r="S42" s="2"/>
      </tp>
      <tp t="e">
        <v>#N/A</v>
        <stp/>
        <stp>BDH|4503083874101790242</stp>
        <tr r="R70" s="2"/>
      </tp>
      <tp t="e">
        <v>#N/A</v>
        <stp/>
        <stp>BDH|2043829698952338139</stp>
        <tr r="AI11" s="2"/>
      </tp>
      <tp t="e">
        <v>#N/A</v>
        <stp/>
        <stp>BDH|2218360909433661203</stp>
        <tr r="W75" s="2"/>
      </tp>
      <tp t="e">
        <v>#N/A</v>
        <stp/>
        <stp>BDH|2557674950451155080</stp>
        <tr r="AO18" s="2"/>
      </tp>
      <tp t="e">
        <v>#N/A</v>
        <stp/>
        <stp>BDH|6124274922701968765</stp>
        <tr r="AB9" s="2"/>
      </tp>
      <tp t="e">
        <v>#N/A</v>
        <stp/>
        <stp>BDH|2436303379952082463</stp>
        <tr r="AM89" s="2"/>
      </tp>
      <tp t="e">
        <v>#N/A</v>
        <stp/>
        <stp>BDH|8589509568259538235</stp>
        <tr r="Q88" s="2"/>
      </tp>
      <tp t="e">
        <v>#N/A</v>
        <stp/>
        <stp>BDH|4475256060063343391</stp>
        <tr r="M45" s="2"/>
      </tp>
      <tp t="e">
        <v>#N/A</v>
        <stp/>
        <stp>BDH|1909989199662748344</stp>
        <tr r="R11" s="2"/>
      </tp>
      <tp t="e">
        <v>#N/A</v>
        <stp/>
        <stp>BDH|1255357822498885860</stp>
        <tr r="X83" s="2"/>
      </tp>
      <tp t="e">
        <v>#N/A</v>
        <stp/>
        <stp>BDH|5572551863472848436</stp>
        <tr r="R85" s="2"/>
      </tp>
      <tp t="e">
        <v>#N/A</v>
        <stp/>
        <stp>BDH|5703118043210837050</stp>
        <tr r="H82" s="2"/>
      </tp>
      <tp t="e">
        <v>#N/A</v>
        <stp/>
        <stp>BDH|3296388800557686741</stp>
        <tr r="G38" s="2"/>
      </tp>
      <tp t="e">
        <v>#N/A</v>
        <stp/>
        <stp>BDH|8412953878821524746</stp>
        <tr r="Z23" s="2"/>
      </tp>
      <tp t="e">
        <v>#N/A</v>
        <stp/>
        <stp>BDH|5941067817500367421</stp>
        <tr r="AL90" s="2"/>
      </tp>
      <tp t="e">
        <v>#N/A</v>
        <stp/>
        <stp>BDH|1159412308760418553</stp>
        <tr r="P51" s="2"/>
      </tp>
      <tp t="e">
        <v>#N/A</v>
        <stp/>
        <stp>BDH|8466809049310063448</stp>
        <tr r="Y19" s="2"/>
      </tp>
      <tp t="e">
        <v>#N/A</v>
        <stp/>
        <stp>BDH|3837255880679246063</stp>
        <tr r="G30" s="2"/>
      </tp>
      <tp t="e">
        <v>#N/A</v>
        <stp/>
        <stp>BDH|3745883334150586874</stp>
        <tr r="AD37" s="2"/>
      </tp>
      <tp t="e">
        <v>#N/A</v>
        <stp/>
        <stp>BDH|7412714269276516077</stp>
        <tr r="AM84" s="2"/>
      </tp>
      <tp t="e">
        <v>#N/A</v>
        <stp/>
        <stp>BDH|4242535554893929729</stp>
        <tr r="AL34" s="2"/>
      </tp>
      <tp t="e">
        <v>#N/A</v>
        <stp/>
        <stp>BDH|4405814159468472163</stp>
        <tr r="AG43" s="2"/>
      </tp>
      <tp t="e">
        <v>#N/A</v>
        <stp/>
        <stp>BDH|4285770536097805750</stp>
        <tr r="Y18" s="2"/>
      </tp>
      <tp t="e">
        <v>#N/A</v>
        <stp/>
        <stp>BDH|9376557637657783885</stp>
        <tr r="T59" s="2"/>
      </tp>
      <tp t="e">
        <v>#N/A</v>
        <stp/>
        <stp>BDH|2952576335695679138</stp>
        <tr r="AN57" s="2"/>
      </tp>
      <tp t="e">
        <v>#N/A</v>
        <stp/>
        <stp>BDH|3284589428553776796</stp>
        <tr r="V66" s="2"/>
      </tp>
      <tp t="e">
        <v>#N/A</v>
        <stp/>
        <stp>BDH|2586391025063284075</stp>
        <tr r="AB92" s="2"/>
      </tp>
      <tp t="e">
        <v>#N/A</v>
        <stp/>
        <stp>BDH|2672062803286774484</stp>
        <tr r="AO53" s="2"/>
      </tp>
      <tp t="e">
        <v>#N/A</v>
        <stp/>
        <stp>BDH|7651266038594650224</stp>
        <tr r="E21" s="2"/>
      </tp>
      <tp t="e">
        <v>#N/A</v>
        <stp/>
        <stp>BDH|9917176192628042903</stp>
        <tr r="R58" s="2"/>
      </tp>
      <tp t="e">
        <v>#N/A</v>
        <stp/>
        <stp>BDH|2024118800657934443</stp>
        <tr r="AC87" s="2"/>
      </tp>
      <tp t="e">
        <v>#N/A</v>
        <stp/>
        <stp>BDH|1364486393238045448</stp>
        <tr r="E87" s="2"/>
      </tp>
      <tp t="e">
        <v>#N/A</v>
        <stp/>
        <stp>BDH|1286727860075865558</stp>
        <tr r="G70" s="2"/>
      </tp>
      <tp t="e">
        <v>#N/A</v>
        <stp/>
        <stp>BDH|1841660032375908180</stp>
        <tr r="M76" s="2"/>
      </tp>
      <tp t="e">
        <v>#N/A</v>
        <stp/>
        <stp>BDH|1929631131016229248</stp>
        <tr r="C90" s="2"/>
      </tp>
      <tp t="e">
        <v>#N/A</v>
        <stp/>
        <stp>BDH|2706393954854321041</stp>
        <tr r="AH81" s="2"/>
      </tp>
      <tp t="e">
        <v>#N/A</v>
        <stp/>
        <stp>BDH|3542033437806569693</stp>
        <tr r="U14" s="2"/>
      </tp>
      <tp t="e">
        <v>#N/A</v>
        <stp/>
        <stp>BDH|5545761725079327989</stp>
        <tr r="AG86" s="2"/>
      </tp>
      <tp t="e">
        <v>#N/A</v>
        <stp/>
        <stp>BDH|8862267360848928458</stp>
        <tr r="U83" s="2"/>
      </tp>
      <tp t="e">
        <v>#N/A</v>
        <stp/>
        <stp>BDH|2242126508377316492</stp>
        <tr r="AD65" s="2"/>
      </tp>
      <tp t="e">
        <v>#N/A</v>
        <stp/>
        <stp>BDH|2538999184376859527</stp>
        <tr r="AK77" s="2"/>
      </tp>
      <tp t="e">
        <v>#N/A</v>
        <stp/>
        <stp>BDH|2378286860382100489</stp>
        <tr r="AD34" s="2"/>
      </tp>
      <tp t="e">
        <v>#N/A</v>
        <stp/>
        <stp>BDH|7073144935513498672</stp>
        <tr r="G86" s="2"/>
      </tp>
      <tp t="e">
        <v>#N/A</v>
        <stp/>
        <stp>BDH|2547331784299825088</stp>
        <tr r="V89" s="2"/>
      </tp>
      <tp t="e">
        <v>#N/A</v>
        <stp/>
        <stp>BDH|7023203800813344612</stp>
        <tr r="AB14" s="2"/>
      </tp>
      <tp t="e">
        <v>#N/A</v>
        <stp/>
        <stp>BDH|2110722645782703326</stp>
        <tr r="AP72" s="2"/>
      </tp>
      <tp t="e">
        <v>#N/A</v>
        <stp/>
        <stp>BDH|3693887195884018683</stp>
        <tr r="AO68" s="2"/>
      </tp>
      <tp t="e">
        <v>#N/A</v>
        <stp/>
        <stp>BDH|9192600580014362313</stp>
        <tr r="D69" s="2"/>
      </tp>
      <tp t="e">
        <v>#N/A</v>
        <stp/>
        <stp>BDH|2429175260790252514</stp>
        <tr r="J13" s="2"/>
      </tp>
      <tp t="e">
        <v>#N/A</v>
        <stp/>
        <stp>BDH|3143701755056628722</stp>
        <tr r="C36" s="2"/>
      </tp>
      <tp t="e">
        <v>#N/A</v>
        <stp/>
        <stp>BDH|1387447632144438219</stp>
        <tr r="L85" s="2"/>
      </tp>
      <tp t="e">
        <v>#N/A</v>
        <stp/>
        <stp>BDH|6776402004813492172</stp>
        <tr r="AG21" s="2"/>
      </tp>
      <tp t="e">
        <v>#N/A</v>
        <stp/>
        <stp>BDH|2933894960108146414</stp>
        <tr r="AG60" s="2"/>
      </tp>
      <tp t="e">
        <v>#N/A</v>
        <stp/>
        <stp>BDH|5856260430584950073</stp>
        <tr r="AO73" s="2"/>
      </tp>
      <tp t="e">
        <v>#N/A</v>
        <stp/>
        <stp>BDH|6080843592382522530</stp>
        <tr r="P39" s="2"/>
      </tp>
      <tp t="e">
        <v>#N/A</v>
        <stp/>
        <stp>BDH|6598046935574352173</stp>
        <tr r="G59" s="2"/>
      </tp>
      <tp t="e">
        <v>#N/A</v>
        <stp/>
        <stp>BDH|3581748195918230566</stp>
        <tr r="AL46" s="2"/>
      </tp>
      <tp t="e">
        <v>#N/A</v>
        <stp/>
        <stp>BDH|3916901200982136884</stp>
        <tr r="AA19" s="2"/>
      </tp>
      <tp t="e">
        <v>#N/A</v>
        <stp/>
        <stp>BDH|4001224943921092305</stp>
        <tr r="J27" s="2"/>
      </tp>
      <tp t="e">
        <v>#N/A</v>
        <stp/>
        <stp>BDH|5837434119505470577</stp>
        <tr r="H63" s="2"/>
      </tp>
      <tp t="e">
        <v>#N/A</v>
        <stp/>
        <stp>BDH|4651672973344580168</stp>
        <tr r="Z15" s="2"/>
      </tp>
      <tp t="e">
        <v>#N/A</v>
        <stp/>
        <stp>BDH|1292621740802176100</stp>
        <tr r="S13" s="2"/>
      </tp>
      <tp t="e">
        <v>#N/A</v>
        <stp/>
        <stp>BDH|7404509355690402749</stp>
        <tr r="AB26" s="2"/>
      </tp>
      <tp t="e">
        <v>#N/A</v>
        <stp/>
        <stp>BDH|2238743264170333304</stp>
        <tr r="L7" s="2"/>
      </tp>
      <tp t="e">
        <v>#N/A</v>
        <stp/>
        <stp>BDH|1663282139485252543</stp>
        <tr r="P35" s="2"/>
      </tp>
      <tp t="e">
        <v>#N/A</v>
        <stp/>
        <stp>BDH|2904299213158258902</stp>
        <tr r="U76" s="2"/>
      </tp>
      <tp t="e">
        <v>#N/A</v>
        <stp/>
        <stp>BDH|7757397101896600284</stp>
        <tr r="AE17" s="2"/>
      </tp>
      <tp t="e">
        <v>#N/A</v>
        <stp/>
        <stp>BDH|6327059747920203251</stp>
        <tr r="F74" s="2"/>
      </tp>
      <tp t="e">
        <v>#N/A</v>
        <stp/>
        <stp>BDH|8572852066606548052</stp>
        <tr r="R90" s="2"/>
      </tp>
      <tp t="e">
        <v>#N/A</v>
        <stp/>
        <stp>BDH|3417294429515358613</stp>
        <tr r="AI45" s="2"/>
      </tp>
      <tp t="e">
        <v>#N/A</v>
        <stp/>
        <stp>BDH|7876580729623794380</stp>
        <tr r="Y15" s="2"/>
      </tp>
      <tp t="e">
        <v>#N/A</v>
        <stp/>
        <stp>BDH|2155669721021344732</stp>
        <tr r="D54" s="2"/>
      </tp>
      <tp t="e">
        <v>#N/A</v>
        <stp/>
        <stp>BDH|4196289733930566595</stp>
        <tr r="AP54" s="2"/>
      </tp>
      <tp t="e">
        <v>#N/A</v>
        <stp/>
        <stp>BDH|5076019928680756780</stp>
        <tr r="E20" s="2"/>
      </tp>
      <tp t="e">
        <v>#N/A</v>
        <stp/>
        <stp>BDH|1086378367003477729</stp>
        <tr r="AA56" s="2"/>
      </tp>
      <tp t="e">
        <v>#N/A</v>
        <stp/>
        <stp>BDH|5776024611333249715</stp>
        <tr r="J20" s="2"/>
      </tp>
      <tp t="e">
        <v>#N/A</v>
        <stp/>
        <stp>BDH|3807557211552963524</stp>
        <tr r="P54" s="2"/>
      </tp>
      <tp t="e">
        <v>#N/A</v>
        <stp/>
        <stp>BDH|3518369256430483567</stp>
        <tr r="W13" s="2"/>
      </tp>
      <tp t="e">
        <v>#N/A</v>
        <stp/>
        <stp>BDH|7128131326905592164</stp>
        <tr r="AO87" s="2"/>
      </tp>
      <tp t="e">
        <v>#N/A</v>
        <stp/>
        <stp>BDH|9711720817098049752</stp>
        <tr r="K42" s="2"/>
      </tp>
      <tp t="e">
        <v>#N/A</v>
        <stp/>
        <stp>BDH|2836183673213084741</stp>
        <tr r="AE74" s="2"/>
      </tp>
      <tp t="e">
        <v>#N/A</v>
        <stp/>
        <stp>BDH|9468158284208037825</stp>
        <tr r="K40" s="2"/>
      </tp>
      <tp t="e">
        <v>#N/A</v>
        <stp/>
        <stp>BDH|7962369506012800662</stp>
        <tr r="O8" s="2"/>
      </tp>
      <tp t="e">
        <v>#N/A</v>
        <stp/>
        <stp>BDH|3719181557737927068</stp>
        <tr r="AJ58" s="2"/>
      </tp>
      <tp t="e">
        <v>#N/A</v>
        <stp/>
        <stp>BDH|3100051639130859029</stp>
        <tr r="G15" s="2"/>
      </tp>
      <tp t="e">
        <v>#N/A</v>
        <stp/>
        <stp>BDH|5211994642830529889</stp>
        <tr r="Z38" s="2"/>
      </tp>
      <tp t="e">
        <v>#N/A</v>
        <stp/>
        <stp>BDH|3991476455733864173</stp>
        <tr r="AB63" s="2"/>
      </tp>
      <tp t="e">
        <v>#N/A</v>
        <stp/>
        <stp>BDH|5018349414220132754</stp>
        <tr r="I18" s="2"/>
      </tp>
      <tp t="e">
        <v>#N/A</v>
        <stp/>
        <stp>BDH|2710040771121708405</stp>
        <tr r="AF26" s="2"/>
      </tp>
      <tp t="e">
        <v>#N/A</v>
        <stp/>
        <stp>BDH|2597476142091427318</stp>
        <tr r="Z59" s="2"/>
      </tp>
      <tp t="e">
        <v>#N/A</v>
        <stp/>
        <stp>BDH|9703470265128609364</stp>
        <tr r="AA71" s="2"/>
      </tp>
      <tp t="e">
        <v>#N/A</v>
        <stp/>
        <stp>BDH|5055897395943861715</stp>
        <tr r="AI72" s="2"/>
      </tp>
      <tp t="e">
        <v>#N/A</v>
        <stp/>
        <stp>BDH|4412116728892837504</stp>
        <tr r="N63" s="2"/>
      </tp>
      <tp t="e">
        <v>#N/A</v>
        <stp/>
        <stp>BDH|9883637297756074090</stp>
        <tr r="AB86" s="2"/>
      </tp>
      <tp t="e">
        <v>#N/A</v>
        <stp/>
        <stp>BDH|6694263932160379742</stp>
        <tr r="Z20" s="2"/>
      </tp>
      <tp t="e">
        <v>#N/A</v>
        <stp/>
        <stp>BDH|50565649188124499</stp>
        <tr r="AC54" s="2"/>
      </tp>
      <tp t="e">
        <v>#N/A</v>
        <stp/>
        <stp>BDH|65751476494483925</stp>
        <tr r="F65" s="2"/>
      </tp>
      <tp t="e">
        <v>#N/A</v>
        <stp/>
        <stp>BDH|1741677304731826767</stp>
        <tr r="AO48" s="2"/>
      </tp>
      <tp t="e">
        <v>#N/A</v>
        <stp/>
        <stp>BDH|3419715934651355786</stp>
        <tr r="O42" s="2"/>
      </tp>
      <tp t="e">
        <v>#N/A</v>
        <stp/>
        <stp>BDH|2309387872477238010</stp>
        <tr r="V25" s="2"/>
      </tp>
      <tp t="e">
        <v>#N/A</v>
        <stp/>
        <stp>BDH|3200123955540606696</stp>
        <tr r="AN66" s="2"/>
      </tp>
      <tp t="e">
        <v>#N/A</v>
        <stp/>
        <stp>BDH|8033432978693876993</stp>
        <tr r="O87" s="2"/>
      </tp>
      <tp t="e">
        <v>#N/A</v>
        <stp/>
        <stp>BDH|4209380242772760053</stp>
        <tr r="U85" s="2"/>
      </tp>
      <tp t="e">
        <v>#N/A</v>
        <stp/>
        <stp>BDH|4849027714966380276</stp>
        <tr r="U12" s="2"/>
      </tp>
      <tp t="e">
        <v>#N/A</v>
        <stp/>
        <stp>BDH|7220518836329938963</stp>
        <tr r="X36" s="2"/>
      </tp>
      <tp t="e">
        <v>#N/A</v>
        <stp/>
        <stp>BDH|4484045858297533774</stp>
        <tr r="AN74" s="2"/>
      </tp>
      <tp t="e">
        <v>#N/A</v>
        <stp/>
        <stp>BDH|4454348968585309510</stp>
        <tr r="E61" s="2"/>
      </tp>
      <tp t="e">
        <v>#N/A</v>
        <stp/>
        <stp>BDH|6787791236787407464</stp>
        <tr r="AO21" s="2"/>
      </tp>
      <tp t="e">
        <v>#N/A</v>
        <stp/>
        <stp>BDH|3095415988436131826</stp>
        <tr r="P26" s="2"/>
      </tp>
      <tp t="e">
        <v>#N/A</v>
        <stp/>
        <stp>BDH|2422195014802376107</stp>
        <tr r="AH53" s="2"/>
      </tp>
      <tp t="e">
        <v>#N/A</v>
        <stp/>
        <stp>BDH|4286495379473003590</stp>
        <tr r="Q64" s="2"/>
      </tp>
      <tp t="e">
        <v>#N/A</v>
        <stp/>
        <stp>BDH|2383418708857679077</stp>
        <tr r="I17" s="2"/>
      </tp>
      <tp t="e">
        <v>#N/A</v>
        <stp/>
        <stp>BDH|9891681358493721841</stp>
        <tr r="C38" s="2"/>
      </tp>
      <tp t="e">
        <v>#N/A</v>
        <stp/>
        <stp>BDH|1185037619804720544</stp>
        <tr r="E52" s="2"/>
      </tp>
      <tp t="e">
        <v>#N/A</v>
        <stp/>
        <stp>BDH|7889229574556056562</stp>
        <tr r="AG50" s="2"/>
      </tp>
      <tp t="e">
        <v>#N/A</v>
        <stp/>
        <stp>BDH|2431245358417735374</stp>
        <tr r="V59" s="2"/>
      </tp>
      <tp t="e">
        <v>#N/A</v>
        <stp/>
        <stp>BDH|3951204941716979294</stp>
        <tr r="P53" s="2"/>
      </tp>
      <tp t="e">
        <v>#N/A</v>
        <stp/>
        <stp>BDH|4085571326761186388</stp>
        <tr r="AA27" s="2"/>
      </tp>
      <tp t="e">
        <v>#N/A</v>
        <stp/>
        <stp>BDH|7762494069875937178</stp>
        <tr r="AM37" s="2"/>
      </tp>
      <tp t="e">
        <v>#N/A</v>
        <stp/>
        <stp>BDH|9739004942499943554</stp>
        <tr r="H86" s="2"/>
      </tp>
      <tp t="e">
        <v>#N/A</v>
        <stp/>
        <stp>BDH|6329291835324028264</stp>
        <tr r="D64" s="2"/>
      </tp>
      <tp t="e">
        <v>#N/A</v>
        <stp/>
        <stp>BDH|5744668721672051292</stp>
        <tr r="K83" s="2"/>
      </tp>
      <tp t="e">
        <v>#N/A</v>
        <stp/>
        <stp>BDH|2846753131842410510</stp>
        <tr r="U72" s="2"/>
      </tp>
      <tp t="e">
        <v>#N/A</v>
        <stp/>
        <stp>BDH|2168782385879341519</stp>
        <tr r="AE84" s="2"/>
      </tp>
      <tp t="e">
        <v>#N/A</v>
        <stp/>
        <stp>BDH|8538754081572904463</stp>
        <tr r="V11" s="2"/>
      </tp>
      <tp t="e">
        <v>#N/A</v>
        <stp/>
        <stp>BDH|9651087931498687377</stp>
        <tr r="E59" s="2"/>
      </tp>
      <tp t="e">
        <v>#N/A</v>
        <stp/>
        <stp>BDH|4382882206534541963</stp>
        <tr r="AI62" s="2"/>
      </tp>
      <tp t="e">
        <v>#N/A</v>
        <stp/>
        <stp>BDH|1462567938036634032</stp>
        <tr r="J63" s="2"/>
      </tp>
      <tp t="e">
        <v>#N/A</v>
        <stp/>
        <stp>BDH|8329665151793858937</stp>
        <tr r="AF24" s="2"/>
      </tp>
      <tp t="e">
        <v>#N/A</v>
        <stp/>
        <stp>BDH|4133964982082233680</stp>
        <tr r="AF85" s="2"/>
      </tp>
      <tp t="e">
        <v>#N/A</v>
        <stp/>
        <stp>BDH|9975659613447289825</stp>
        <tr r="X57" s="2"/>
      </tp>
      <tp t="e">
        <v>#N/A</v>
        <stp/>
        <stp>BDH|2176655922285155283</stp>
        <tr r="AI19" s="2"/>
      </tp>
      <tp t="e">
        <v>#N/A</v>
        <stp/>
        <stp>BDH|4291001744371054094</stp>
        <tr r="AD58" s="2"/>
      </tp>
      <tp t="e">
        <v>#N/A</v>
        <stp/>
        <stp>BDH|5597299829010098499</stp>
        <tr r="L49" s="2"/>
      </tp>
      <tp t="e">
        <v>#N/A</v>
        <stp/>
        <stp>BDH|2408108915886450593</stp>
        <tr r="Q90" s="2"/>
      </tp>
      <tp t="e">
        <v>#N/A</v>
        <stp/>
        <stp>BDH|2934364005202464230</stp>
        <tr r="E91" s="2"/>
      </tp>
      <tp t="e">
        <v>#N/A</v>
        <stp/>
        <stp>BDH|7127241841885843518</stp>
        <tr r="P10" s="2"/>
      </tp>
      <tp t="e">
        <v>#N/A</v>
        <stp/>
        <stp>BDH|7194228876521047287</stp>
        <tr r="J89" s="2"/>
      </tp>
      <tp t="e">
        <v>#N/A</v>
        <stp/>
        <stp>BDH|3160109305856955509</stp>
        <tr r="T88" s="2"/>
      </tp>
      <tp t="e">
        <v>#N/A</v>
        <stp/>
        <stp>BDH|6129197658890926342</stp>
        <tr r="AK45" s="2"/>
      </tp>
      <tp t="e">
        <v>#N/A</v>
        <stp/>
        <stp>BDH|3848553006005520238</stp>
        <tr r="H84" s="2"/>
      </tp>
      <tp t="e">
        <v>#N/A</v>
        <stp/>
        <stp>BDH|2865910587791678359</stp>
        <tr r="V29" s="2"/>
      </tp>
      <tp t="e">
        <v>#N/A</v>
        <stp/>
        <stp>BDH|7106252950502129374</stp>
        <tr r="AP25" s="2"/>
      </tp>
      <tp t="e">
        <v>#N/A</v>
        <stp/>
        <stp>BDH|7229440893473065875</stp>
        <tr r="AG92" s="2"/>
      </tp>
      <tp t="e">
        <v>#N/A</v>
        <stp/>
        <stp>BDH|2236779062801358362</stp>
        <tr r="AF19" s="2"/>
      </tp>
      <tp t="e">
        <v>#N/A</v>
        <stp/>
        <stp>BDH|6823881280630267707</stp>
        <tr r="AI64" s="2"/>
      </tp>
      <tp t="e">
        <v>#N/A</v>
        <stp/>
        <stp>BDH|2920781274656717503</stp>
        <tr r="Z87" s="2"/>
      </tp>
      <tp t="e">
        <v>#N/A</v>
        <stp/>
        <stp>BDH|1169537649525177484</stp>
        <tr r="H20" s="2"/>
      </tp>
      <tp t="e">
        <v>#N/A</v>
        <stp/>
        <stp>BDH|7425232023981187776</stp>
        <tr r="AF49" s="2"/>
      </tp>
      <tp t="e">
        <v>#N/A</v>
        <stp/>
        <stp>BDH|2123028463897336200</stp>
        <tr r="Y83" s="2"/>
      </tp>
      <tp t="e">
        <v>#N/A</v>
        <stp/>
        <stp>BDH|2508515413587355075</stp>
        <tr r="N43" s="2"/>
      </tp>
      <tp t="e">
        <v>#N/A</v>
        <stp/>
        <stp>BDH|2548715763234072644</stp>
        <tr r="H37" s="2"/>
      </tp>
      <tp t="e">
        <v>#N/A</v>
        <stp/>
        <stp>BDH|4116502503470018014</stp>
        <tr r="AF90" s="2"/>
      </tp>
      <tp t="e">
        <v>#N/A</v>
        <stp/>
        <stp>BDH|1662208809991807341</stp>
        <tr r="G22" s="2"/>
      </tp>
      <tp t="e">
        <v>#N/A</v>
        <stp/>
        <stp>BDH|8904621492403379594</stp>
        <tr r="AD9" s="2"/>
      </tp>
      <tp t="e">
        <v>#N/A</v>
        <stp/>
        <stp>BDH|6857530562764867015</stp>
        <tr r="H26" s="2"/>
      </tp>
      <tp t="e">
        <v>#N/A</v>
        <stp/>
        <stp>BDH|8118885089560016901</stp>
        <tr r="V81" s="2"/>
      </tp>
      <tp t="e">
        <v>#N/A</v>
        <stp/>
        <stp>BDH|4968528142710892412</stp>
        <tr r="AG20" s="2"/>
      </tp>
      <tp t="e">
        <v>#N/A</v>
        <stp/>
        <stp>BDH|5866531442335105081</stp>
        <tr r="AN29" s="2"/>
      </tp>
      <tp t="e">
        <v>#N/A</v>
        <stp/>
        <stp>BDH|4274540660170106673</stp>
        <tr r="C86" s="2"/>
      </tp>
      <tp t="e">
        <v>#N/A</v>
        <stp/>
        <stp>BDH|3147617910825370039</stp>
        <tr r="C37" s="2"/>
      </tp>
      <tp t="e">
        <v>#N/A</v>
        <stp/>
        <stp>BDH|8969505348131660970</stp>
        <tr r="J88" s="2"/>
      </tp>
      <tp t="e">
        <v>#N/A</v>
        <stp/>
        <stp>BDH|5028102442430572174</stp>
        <tr r="AA86" s="2"/>
      </tp>
      <tp t="e">
        <v>#N/A</v>
        <stp/>
        <stp>BDH|9023265285542313005</stp>
        <tr r="X23" s="2"/>
      </tp>
      <tp t="e">
        <v>#N/A</v>
        <stp/>
        <stp>BDH|6836169319480694711</stp>
        <tr r="F89" s="2"/>
      </tp>
      <tp t="e">
        <v>#N/A</v>
        <stp/>
        <stp>BDH|7469220262557724539</stp>
        <tr r="W40" s="2"/>
      </tp>
      <tp t="e">
        <v>#N/A</v>
        <stp/>
        <stp>BDH|2360472693788109673</stp>
        <tr r="M11" s="2"/>
      </tp>
      <tp t="e">
        <v>#N/A</v>
        <stp/>
        <stp>BDH|3733211342181300566</stp>
        <tr r="AB37" s="2"/>
      </tp>
      <tp t="e">
        <v>#N/A</v>
        <stp/>
        <stp>BDH|4791182702535843143</stp>
        <tr r="S50" s="2"/>
      </tp>
      <tp t="e">
        <v>#N/A</v>
        <stp/>
        <stp>BDH|2406092694422896807</stp>
        <tr r="AL20" s="2"/>
      </tp>
      <tp t="e">
        <v>#N/A</v>
        <stp/>
        <stp>BDH|4571962593094486157</stp>
        <tr r="O14" s="2"/>
      </tp>
      <tp t="e">
        <v>#N/A</v>
        <stp/>
        <stp>BDH|6037385302295992123</stp>
        <tr r="C69" s="2"/>
      </tp>
      <tp t="e">
        <v>#N/A</v>
        <stp/>
        <stp>BDH|8106444644659045077</stp>
        <tr r="AG25" s="2"/>
      </tp>
      <tp t="e">
        <v>#N/A</v>
        <stp/>
        <stp>BDH|4631048787869420471</stp>
        <tr r="S29" s="2"/>
      </tp>
      <tp t="e">
        <v>#N/A</v>
        <stp/>
        <stp>BDH|5428403242427223327</stp>
        <tr r="G40" s="2"/>
      </tp>
      <tp t="e">
        <v>#N/A</v>
        <stp/>
        <stp>BDH|7226136535701645542</stp>
        <tr r="AG62" s="2"/>
      </tp>
      <tp t="e">
        <v>#N/A</v>
        <stp/>
        <stp>BDH|2918912849169116764</stp>
        <tr r="P43" s="2"/>
      </tp>
      <tp t="e">
        <v>#N/A</v>
        <stp/>
        <stp>BDH|6113424543852029568</stp>
        <tr r="D23" s="2"/>
      </tp>
      <tp t="e">
        <v>#N/A</v>
        <stp/>
        <stp>BDH|4794250414980303639</stp>
        <tr r="Y13" s="2"/>
      </tp>
      <tp t="e">
        <v>#N/A</v>
        <stp/>
        <stp>BDH|5369222046716531448</stp>
        <tr r="AO15" s="2"/>
      </tp>
      <tp t="e">
        <v>#N/A</v>
        <stp/>
        <stp>BDH|5201488825492048097</stp>
        <tr r="AC73" s="2"/>
      </tp>
      <tp t="e">
        <v>#N/A</v>
        <stp/>
        <stp>BDH|2958591776764716562</stp>
        <tr r="AC59" s="2"/>
      </tp>
      <tp t="e">
        <v>#N/A</v>
        <stp/>
        <stp>BDH|2140680777040904206</stp>
        <tr r="Z66" s="2"/>
      </tp>
      <tp t="e">
        <v>#N/A</v>
        <stp/>
        <stp>BDH|8425002781284239504</stp>
        <tr r="H31" s="2"/>
      </tp>
      <tp t="e">
        <v>#N/A</v>
        <stp/>
        <stp>BDH|7115858042788823298</stp>
        <tr r="X69" s="2"/>
      </tp>
      <tp t="e">
        <v>#N/A</v>
        <stp/>
        <stp>BDH|4262627116735912780</stp>
        <tr r="V60" s="2"/>
      </tp>
      <tp t="e">
        <v>#N/A</v>
        <stp/>
        <stp>BDH|6214414861733280673</stp>
        <tr r="M68" s="2"/>
      </tp>
      <tp t="e">
        <v>#N/A</v>
        <stp/>
        <stp>BDH|6586470362922709709</stp>
        <tr r="AC67" s="2"/>
      </tp>
      <tp t="e">
        <v>#N/A</v>
        <stp/>
        <stp>BDH|6981023985489848610</stp>
        <tr r="I55" s="2"/>
      </tp>
      <tp t="e">
        <v>#N/A</v>
        <stp/>
        <stp>BDH|2796009060471487441</stp>
        <tr r="AA73" s="2"/>
      </tp>
      <tp t="e">
        <v>#N/A</v>
        <stp/>
        <stp>BDH|1820417975465998625</stp>
        <tr r="AH43" s="2"/>
      </tp>
      <tp t="e">
        <v>#N/A</v>
        <stp/>
        <stp>BDH|9325140196030142046</stp>
        <tr r="K77" s="2"/>
      </tp>
      <tp t="e">
        <v>#N/A</v>
        <stp/>
        <stp>BDH|6281568825305376567</stp>
        <tr r="W57" s="2"/>
      </tp>
      <tp t="e">
        <v>#N/A</v>
        <stp/>
        <stp>BDH|8477677591363319554</stp>
        <tr r="AC52" s="2"/>
      </tp>
      <tp t="e">
        <v>#N/A</v>
        <stp/>
        <stp>BDH|3612271643922705610</stp>
        <tr r="L9" s="2"/>
      </tp>
      <tp t="e">
        <v>#N/A</v>
        <stp/>
        <stp>BDH|9185131050994100878</stp>
        <tr r="G85" s="2"/>
      </tp>
      <tp t="e">
        <v>#N/A</v>
        <stp/>
        <stp>BDH|3158174435095099574</stp>
        <tr r="AK56" s="2"/>
      </tp>
      <tp t="e">
        <v>#N/A</v>
        <stp/>
        <stp>BDH|4656282051410894234</stp>
        <tr r="AJ46" s="2"/>
      </tp>
      <tp t="e">
        <v>#N/A</v>
        <stp/>
        <stp>BDH|2733754347284564450</stp>
        <tr r="AL72" s="2"/>
      </tp>
      <tp t="e">
        <v>#N/A</v>
        <stp/>
        <stp>BDH|5221547060051149625</stp>
        <tr r="AG48" s="2"/>
      </tp>
      <tp t="e">
        <v>#N/A</v>
        <stp/>
        <stp>BDH|9586885732392854120</stp>
        <tr r="O85" s="2"/>
      </tp>
      <tp t="e">
        <v>#N/A</v>
        <stp/>
        <stp>BDH|6611508352554999389</stp>
        <tr r="R87" s="2"/>
      </tp>
      <tp t="e">
        <v>#N/A</v>
        <stp/>
        <stp>BDH|7684766177422702455</stp>
        <tr r="AC90" s="2"/>
      </tp>
      <tp t="e">
        <v>#N/A</v>
        <stp/>
        <stp>BDH|32475078009358651</stp>
        <tr r="AC89" s="2"/>
      </tp>
      <tp t="e">
        <v>#N/A</v>
        <stp/>
        <stp>BDH|3642627182298916751</stp>
        <tr r="V37" s="2"/>
      </tp>
      <tp t="e">
        <v>#N/A</v>
        <stp/>
        <stp>BDH|6733042918763401657</stp>
        <tr r="V54" s="2"/>
      </tp>
      <tp t="e">
        <v>#N/A</v>
        <stp/>
        <stp>BDH|7772974850450958937</stp>
        <tr r="AP87" s="2"/>
      </tp>
      <tp t="e">
        <v>#N/A</v>
        <stp/>
        <stp>BDH|6383446805440188095</stp>
        <tr r="AO84" s="2"/>
      </tp>
      <tp t="e">
        <v>#N/A</v>
        <stp/>
        <stp>BDH|6043246422664847049</stp>
        <tr r="M55" s="2"/>
      </tp>
      <tp t="e">
        <v>#N/A</v>
        <stp/>
        <stp>BDH|5896992565030924871</stp>
        <tr r="L86" s="2"/>
      </tp>
      <tp t="e">
        <v>#N/A</v>
        <stp/>
        <stp>BDH|4964994869739713048</stp>
        <tr r="N49" s="2"/>
      </tp>
      <tp t="e">
        <v>#N/A</v>
        <stp/>
        <stp>BDH|6382395852112418062</stp>
        <tr r="AL67" s="2"/>
      </tp>
      <tp t="e">
        <v>#N/A</v>
        <stp/>
        <stp>BDH|2311623345841625393</stp>
        <tr r="D16" s="2"/>
      </tp>
      <tp t="e">
        <v>#N/A</v>
        <stp/>
        <stp>BDH|7818533363182167417</stp>
        <tr r="O89" s="2"/>
      </tp>
      <tp t="e">
        <v>#N/A</v>
        <stp/>
        <stp>BDH|2965944600089064056</stp>
        <tr r="P40" s="2"/>
      </tp>
      <tp t="e">
        <v>#N/A</v>
        <stp/>
        <stp>BDH|7912295155120953245</stp>
        <tr r="AL24" s="2"/>
      </tp>
      <tp t="e">
        <v>#N/A</v>
        <stp/>
        <stp>BDH|9701076161545027897</stp>
        <tr r="O67" s="2"/>
      </tp>
      <tp t="e">
        <v>#N/A</v>
        <stp/>
        <stp>BDH|5179110502532297481</stp>
        <tr r="U29" s="2"/>
      </tp>
      <tp t="e">
        <v>#N/A</v>
        <stp/>
        <stp>BDH|7887191109511695569</stp>
        <tr r="G48" s="2"/>
      </tp>
      <tp t="e">
        <v>#N/A</v>
        <stp/>
        <stp>BDH|8485498774541814885</stp>
        <tr r="T75" s="2"/>
      </tp>
      <tp t="e">
        <v>#N/A</v>
        <stp/>
        <stp>BDH|8383820699868745367</stp>
        <tr r="AJ37" s="2"/>
      </tp>
      <tp t="e">
        <v>#N/A</v>
        <stp/>
        <stp>BDH|3505668929690385505</stp>
        <tr r="R63" s="2"/>
      </tp>
      <tp t="e">
        <v>#N/A</v>
        <stp/>
        <stp>BDH|9202537099555495258</stp>
        <tr r="AF81" s="2"/>
      </tp>
      <tp t="e">
        <v>#N/A</v>
        <stp/>
        <stp>BDH|8159928899389757348</stp>
        <tr r="AB27" s="2"/>
      </tp>
      <tp t="e">
        <v>#N/A</v>
        <stp/>
        <stp>BDH|7392131831753039489</stp>
        <tr r="H57" s="2"/>
      </tp>
      <tp t="e">
        <v>#N/A</v>
        <stp/>
        <stp>BDH|1203272559091555502</stp>
        <tr r="AK81" s="2"/>
      </tp>
      <tp t="e">
        <v>#N/A</v>
        <stp/>
        <stp>BDH|8627787672688269271</stp>
        <tr r="S34" s="2"/>
      </tp>
      <tp t="e">
        <v>#N/A</v>
        <stp/>
        <stp>BDH|8425124494203975124</stp>
        <tr r="T51" s="2"/>
      </tp>
      <tp t="e">
        <v>#N/A</v>
        <stp/>
        <stp>BDH|4984348304026303338</stp>
        <tr r="AN64" s="2"/>
      </tp>
      <tp t="e">
        <v>#N/A</v>
        <stp/>
        <stp>BDH|2484033878845695200</stp>
        <tr r="X39" s="2"/>
      </tp>
      <tp t="e">
        <v>#N/A</v>
        <stp/>
        <stp>BDH|9844879204167564477</stp>
        <tr r="W71" s="2"/>
      </tp>
      <tp t="e">
        <v>#N/A</v>
        <stp/>
        <stp>BDH|8131020578668615549</stp>
        <tr r="N92" s="2"/>
      </tp>
      <tp t="e">
        <v>#N/A</v>
        <stp/>
        <stp>BDH|5469698823433062071</stp>
        <tr r="U62" s="2"/>
      </tp>
      <tp t="e">
        <v>#N/A</v>
        <stp/>
        <stp>BDH|7585891301425734830</stp>
        <tr r="AP24" s="2"/>
      </tp>
      <tp t="e">
        <v>#N/A</v>
        <stp/>
        <stp>BDH|5051080361394419549</stp>
        <tr r="E39" s="2"/>
      </tp>
      <tp t="e">
        <v>#N/A</v>
        <stp/>
        <stp>BDH|1056086139698933865</stp>
        <tr r="Y37" s="2"/>
      </tp>
      <tp t="e">
        <v>#N/A</v>
        <stp/>
        <stp>BDH|4150148278968572861</stp>
        <tr r="AN25" s="2"/>
      </tp>
      <tp t="e">
        <v>#N/A</v>
        <stp/>
        <stp>BDH|8674619484970443497</stp>
        <tr r="X75" s="2"/>
      </tp>
      <tp t="e">
        <v>#N/A</v>
        <stp/>
        <stp>BDH|7759687860740305521</stp>
        <tr r="Q60" s="2"/>
      </tp>
      <tp t="e">
        <v>#N/A</v>
        <stp/>
        <stp>BDH|9698728261809395389</stp>
        <tr r="C42" s="2"/>
      </tp>
      <tp t="e">
        <v>#N/A</v>
        <stp/>
        <stp>BDH|6561548707928152998</stp>
        <tr r="C16" s="2"/>
      </tp>
      <tp t="e">
        <v>#N/A</v>
        <stp/>
        <stp>BDH|3375391104685941798</stp>
        <tr r="AG73" s="2"/>
      </tp>
      <tp t="e">
        <v>#N/A</v>
        <stp/>
        <stp>BDH|9895477737198200441</stp>
        <tr r="R73" s="2"/>
      </tp>
      <tp t="e">
        <v>#N/A</v>
        <stp/>
        <stp>BDH|3926147958263872621</stp>
        <tr r="M38" s="2"/>
      </tp>
      <tp t="e">
        <v>#N/A</v>
        <stp/>
        <stp>BDH|3936092940901683492</stp>
        <tr r="G13" s="2"/>
      </tp>
      <tp t="e">
        <v>#N/A</v>
        <stp/>
        <stp>BDH|8814827664554478056</stp>
        <tr r="P67" s="2"/>
      </tp>
      <tp t="e">
        <v>#N/A</v>
        <stp/>
        <stp>BDH|7542837357761606980</stp>
        <tr r="AG57" s="2"/>
      </tp>
      <tp t="e">
        <v>#N/A</v>
        <stp/>
        <stp>BDH|6276269750904304780</stp>
        <tr r="H77" s="2"/>
      </tp>
      <tp t="e">
        <v>#N/A</v>
        <stp/>
        <stp>BDH|4035681591609336050</stp>
        <tr r="P37" s="2"/>
      </tp>
      <tp t="e">
        <v>#N/A</v>
        <stp/>
        <stp>BDH|8565989227819134843</stp>
        <tr r="I10" s="2"/>
      </tp>
      <tp t="e">
        <v>#N/A</v>
        <stp/>
        <stp>BDH|2403719178072729252</stp>
        <tr r="AB74" s="2"/>
      </tp>
      <tp t="e">
        <v>#N/A</v>
        <stp/>
        <stp>BDH|3902038125286565555</stp>
        <tr r="T34" s="2"/>
      </tp>
      <tp t="e">
        <v>#N/A</v>
        <stp/>
        <stp>BDH|5459132715846503187</stp>
        <tr r="AM64" s="2"/>
      </tp>
      <tp t="e">
        <v>#N/A</v>
        <stp/>
        <stp>BDH|2176456071442919100</stp>
        <tr r="AA31" s="2"/>
      </tp>
      <tp t="e">
        <v>#N/A</v>
        <stp/>
        <stp>BDH|3434106754163577695</stp>
        <tr r="AJ9" s="2"/>
      </tp>
      <tp t="e">
        <v>#N/A</v>
        <stp/>
        <stp>BDH|6424627343692921408</stp>
        <tr r="Y55" s="2"/>
      </tp>
      <tp t="e">
        <v>#N/A</v>
        <stp/>
        <stp>BDH|3095505328253019546</stp>
        <tr r="AD23" s="2"/>
      </tp>
      <tp t="e">
        <v>#N/A</v>
        <stp/>
        <stp>BDH|3162928174297338885</stp>
        <tr r="K24" s="2"/>
      </tp>
      <tp t="e">
        <v>#N/A</v>
        <stp/>
        <stp>BDH|7730191130037326002</stp>
        <tr r="T28" s="2"/>
      </tp>
      <tp t="e">
        <v>#N/A</v>
        <stp/>
        <stp>BDH|1626780340143378306</stp>
        <tr r="R43" s="2"/>
      </tp>
      <tp t="e">
        <v>#N/A</v>
        <stp/>
        <stp>BDH|9483107093630888327</stp>
        <tr r="AH48" s="2"/>
      </tp>
      <tp t="e">
        <v>#N/A</v>
        <stp/>
        <stp>BDH|3684637037245734186</stp>
        <tr r="I27" s="2"/>
      </tp>
      <tp t="e">
        <v>#N/A</v>
        <stp/>
        <stp>BDH|3667010917218870859</stp>
        <tr r="AI74" s="2"/>
      </tp>
      <tp t="e">
        <v>#N/A</v>
        <stp/>
        <stp>BDH|3485669322424493193</stp>
        <tr r="J8" s="2"/>
      </tp>
      <tp t="e">
        <v>#N/A</v>
        <stp/>
        <stp>BDH|7982493255837331348</stp>
        <tr r="V16" s="2"/>
      </tp>
      <tp t="e">
        <v>#N/A</v>
        <stp/>
        <stp>BDH|7949785306267363576</stp>
        <tr r="AP35" s="2"/>
      </tp>
      <tp t="e">
        <v>#N/A</v>
        <stp/>
        <stp>BDH|6102142904781315410</stp>
        <tr r="AE90" s="2"/>
      </tp>
      <tp t="e">
        <v>#N/A</v>
        <stp/>
        <stp>BDH|2490701990688421638</stp>
        <tr r="L63" s="2"/>
      </tp>
      <tp t="e">
        <v>#N/A</v>
        <stp/>
        <stp>BDH|2013572349475894458</stp>
        <tr r="AG89" s="2"/>
      </tp>
      <tp t="e">
        <v>#N/A</v>
        <stp/>
        <stp>BDH|3936397043531655769</stp>
        <tr r="L91" s="2"/>
      </tp>
      <tp t="e">
        <v>#N/A</v>
        <stp/>
        <stp>BDH|1543650513641682565</stp>
        <tr r="AB83" s="2"/>
      </tp>
      <tp t="e">
        <v>#N/A</v>
        <stp/>
        <stp>BDH|5990919266281957949</stp>
        <tr r="P57" s="2"/>
      </tp>
      <tp t="e">
        <v>#N/A</v>
        <stp/>
        <stp>BDH|3473336707293527150</stp>
        <tr r="O19" s="2"/>
      </tp>
      <tp t="e">
        <v>#N/A</v>
        <stp/>
        <stp>BDH|3487480035392034499</stp>
        <tr r="AM66" s="2"/>
      </tp>
      <tp t="e">
        <v>#N/A</v>
        <stp/>
        <stp>BDH|5648061526397704214</stp>
        <tr r="G69" s="2"/>
      </tp>
      <tp t="e">
        <v>#N/A</v>
        <stp/>
        <stp>BDH|6590518420385766636</stp>
        <tr r="AJ75" s="2"/>
      </tp>
      <tp t="e">
        <v>#N/A</v>
        <stp/>
        <stp>BDH|2685929984359912897</stp>
        <tr r="E89" s="2"/>
      </tp>
      <tp t="e">
        <v>#N/A</v>
        <stp/>
        <stp>BDH|5921647183560729994</stp>
        <tr r="AF66" s="2"/>
      </tp>
      <tp t="e">
        <v>#N/A</v>
        <stp/>
        <stp>BDH|1643126163867048376</stp>
        <tr r="U69" s="2"/>
      </tp>
      <tp t="e">
        <v>#N/A</v>
        <stp/>
        <stp>BDH|6763669062875205119</stp>
        <tr r="AG69" s="2"/>
      </tp>
      <tp t="e">
        <v>#N/A</v>
        <stp/>
        <stp>BDH|5074229663405716678</stp>
        <tr r="Q69" s="2"/>
      </tp>
      <tp t="e">
        <v>#N/A</v>
        <stp/>
        <stp>BDH|7146422130803202103</stp>
        <tr r="U26" s="2"/>
      </tp>
      <tp t="e">
        <v>#N/A</v>
        <stp/>
        <stp>BDH|8328722321067200843</stp>
        <tr r="N23" s="2"/>
      </tp>
      <tp t="e">
        <v>#N/A</v>
        <stp/>
        <stp>BDH|7867473371236968012</stp>
        <tr r="AA23" s="2"/>
      </tp>
      <tp t="e">
        <v>#N/A</v>
        <stp/>
        <stp>BDH|1451063880418141352</stp>
        <tr r="X60" s="2"/>
      </tp>
      <tp t="e">
        <v>#N/A</v>
        <stp/>
        <stp>BDH|1043116436416115701</stp>
        <tr r="N70" s="2"/>
      </tp>
      <tp t="e">
        <v>#N/A</v>
        <stp/>
        <stp>BDH|3903082490180010874</stp>
        <tr r="AB87" s="2"/>
      </tp>
      <tp t="e">
        <v>#N/A</v>
        <stp/>
        <stp>BDH|7182521311003310270</stp>
        <tr r="F60" s="2"/>
      </tp>
      <tp t="e">
        <v>#N/A</v>
        <stp/>
        <stp>BDH|5090361767704725606</stp>
        <tr r="H50" s="2"/>
      </tp>
      <tp t="e">
        <v>#N/A</v>
        <stp/>
        <stp>BDH|3249688839095011152</stp>
        <tr r="F75" s="2"/>
      </tp>
      <tp t="e">
        <v>#N/A</v>
        <stp/>
        <stp>BDH|5265372256499144856</stp>
        <tr r="AN48" s="2"/>
      </tp>
      <tp t="e">
        <v>#N/A</v>
        <stp/>
        <stp>BDH|7803687426087011613</stp>
        <tr r="P81" s="2"/>
      </tp>
      <tp t="e">
        <v>#N/A</v>
        <stp/>
        <stp>BDH|8314844009553811115</stp>
        <tr r="AL66" s="2"/>
      </tp>
      <tp t="e">
        <v>#N/A</v>
        <stp/>
        <stp>BDH|6090249611697353017</stp>
        <tr r="AJ61" s="2"/>
      </tp>
      <tp t="e">
        <v>#N/A</v>
        <stp/>
        <stp>BDH|9528806366030000543</stp>
        <tr r="V85" s="2"/>
      </tp>
      <tp t="e">
        <v>#N/A</v>
        <stp/>
        <stp>BDH|1730974737019370036</stp>
        <tr r="K29" s="2"/>
      </tp>
      <tp t="e">
        <v>#N/A</v>
        <stp/>
        <stp>BDH|2364110955793802787</stp>
        <tr r="I22" s="2"/>
      </tp>
      <tp t="e">
        <v>#N/A</v>
        <stp/>
        <stp>BDH|7309762845187762103</stp>
        <tr r="AI90" s="2"/>
      </tp>
      <tp t="e">
        <v>#N/A</v>
        <stp/>
        <stp>BDH|8295646081585703172</stp>
        <tr r="Q11" s="2"/>
      </tp>
      <tp t="e">
        <v>#N/A</v>
        <stp/>
        <stp>BDH|3527673226264495170</stp>
        <tr r="AA81" s="2"/>
      </tp>
      <tp t="e">
        <v>#N/A</v>
        <stp/>
        <stp>BDH|3597141745041134527</stp>
        <tr r="W83" s="2"/>
      </tp>
      <tp t="e">
        <v>#N/A</v>
        <stp/>
        <stp>BDH|8122848574406780318</stp>
        <tr r="AF73" s="2"/>
      </tp>
      <tp t="e">
        <v>#N/A</v>
        <stp/>
        <stp>BDH|2027239709255602789</stp>
        <tr r="H51" s="2"/>
      </tp>
      <tp t="e">
        <v>#N/A</v>
        <stp/>
        <stp>BDH|1021316514029264831</stp>
        <tr r="AK18" s="2"/>
      </tp>
      <tp t="e">
        <v>#N/A</v>
        <stp/>
        <stp>BDH|1657608520984310311</stp>
        <tr r="AJ59" s="2"/>
      </tp>
      <tp t="e">
        <v>#N/A</v>
        <stp/>
        <stp>BDH|1723592450835352695</stp>
        <tr r="P72" s="2"/>
      </tp>
      <tp t="e">
        <v>#N/A</v>
        <stp/>
        <stp>BDH|3130844227848620305</stp>
        <tr r="AG51" s="2"/>
      </tp>
      <tp t="e">
        <v>#N/A</v>
        <stp/>
        <stp>BDH|6658554049267698282</stp>
        <tr r="AM61" s="2"/>
      </tp>
      <tp t="e">
        <v>#N/A</v>
        <stp/>
        <stp>BDH|9078539693655543214</stp>
        <tr r="J24" s="2"/>
      </tp>
      <tp t="e">
        <v>#N/A</v>
        <stp/>
        <stp>BDH|7049343132891748450</stp>
        <tr r="R68" s="2"/>
      </tp>
      <tp t="e">
        <v>#N/A</v>
        <stp/>
        <stp>BDH|1712285757175498181</stp>
        <tr r="AI7" s="2"/>
      </tp>
      <tp t="e">
        <v>#N/A</v>
        <stp/>
        <stp>BDH|2812897082802166267</stp>
        <tr r="U47" s="2"/>
      </tp>
      <tp t="e">
        <v>#N/A</v>
        <stp/>
        <stp>BDH|4878263147822874254</stp>
        <tr r="AM54" s="2"/>
      </tp>
      <tp t="e">
        <v>#N/A</v>
        <stp/>
        <stp>BDH|5575662720585540635</stp>
        <tr r="U17" s="2"/>
      </tp>
      <tp t="e">
        <v>#N/A</v>
        <stp/>
        <stp>BDH|2134005114143901294</stp>
        <tr r="AI77" s="2"/>
      </tp>
      <tp t="e">
        <v>#N/A</v>
        <stp/>
        <stp>BDH|1528076300916162568</stp>
        <tr r="AH73" s="2"/>
      </tp>
      <tp t="e">
        <v>#N/A</v>
        <stp/>
        <stp>BDH|5167807080350352772</stp>
        <tr r="L69" s="2"/>
      </tp>
      <tp t="e">
        <v>#N/A</v>
        <stp/>
        <stp>BDH|5583801830574296822</stp>
        <tr r="V48" s="2"/>
      </tp>
      <tp t="e">
        <v>#N/A</v>
        <stp/>
        <stp>BDH|3487332331494711547</stp>
        <tr r="X31" s="2"/>
      </tp>
      <tp t="e">
        <v>#N/A</v>
        <stp/>
        <stp>BDH|4352522930419621929</stp>
        <tr r="K7" s="2"/>
      </tp>
      <tp t="e">
        <v>#N/A</v>
        <stp/>
        <stp>BDH|1108008148651558695</stp>
        <tr r="X50" s="2"/>
      </tp>
      <tp t="e">
        <v>#N/A</v>
        <stp/>
        <stp>BDH|68667299569094995</stp>
        <tr r="AA65" s="2"/>
      </tp>
      <tp t="e">
        <v>#N/A</v>
        <stp/>
        <stp>BDH|46599803073327968</stp>
        <tr r="AP30" s="2"/>
      </tp>
      <tp t="e">
        <v>#N/A</v>
        <stp/>
        <stp>BDH|3254286662085373116</stp>
        <tr r="AH15" s="2"/>
      </tp>
      <tp t="e">
        <v>#N/A</v>
        <stp/>
        <stp>BDH|3867765141237717428</stp>
        <tr r="N27" s="2"/>
      </tp>
      <tp t="e">
        <v>#N/A</v>
        <stp/>
        <stp>BDH|4963307773091529258</stp>
        <tr r="Z25" s="2"/>
      </tp>
      <tp t="e">
        <v>#N/A</v>
        <stp/>
        <stp>BDH|6815097529952266502</stp>
        <tr r="AI51" s="2"/>
      </tp>
      <tp t="e">
        <v>#N/A</v>
        <stp/>
        <stp>BDH|7443168116643961776</stp>
        <tr r="G19" s="2"/>
      </tp>
      <tp t="e">
        <v>#N/A</v>
        <stp/>
        <stp>BDH|9652634890650633584</stp>
        <tr r="Y51" s="2"/>
      </tp>
      <tp t="e">
        <v>#N/A</v>
        <stp/>
        <stp>BDH|3290869075948996737</stp>
        <tr r="Z36" s="2"/>
      </tp>
      <tp t="e">
        <v>#N/A</v>
        <stp/>
        <stp>BDH|5889057376274138515</stp>
        <tr r="G41" s="2"/>
      </tp>
      <tp t="e">
        <v>#N/A</v>
        <stp/>
        <stp>BDH|4667288085959048409</stp>
        <tr r="G87" s="2"/>
      </tp>
      <tp t="e">
        <v>#N/A</v>
        <stp/>
        <stp>BDH|1802607650225424478</stp>
        <tr r="N17" s="2"/>
      </tp>
      <tp t="e">
        <v>#N/A</v>
        <stp/>
        <stp>BDH|5976260537300039738</stp>
        <tr r="J86" s="2"/>
      </tp>
      <tp t="e">
        <v>#N/A</v>
        <stp/>
        <stp>BDH|3374233902730855218</stp>
        <tr r="O27" s="2"/>
      </tp>
      <tp t="e">
        <v>#N/A</v>
        <stp/>
        <stp>BDH|1853731246184460511</stp>
        <tr r="Q75" s="2"/>
      </tp>
      <tp t="e">
        <v>#N/A</v>
        <stp/>
        <stp>BDH|5759603353516482389</stp>
        <tr r="AO64" s="2"/>
      </tp>
      <tp t="e">
        <v>#N/A</v>
        <stp/>
        <stp>BDH|1708463151546179597</stp>
        <tr r="AM68" s="2"/>
      </tp>
      <tp t="e">
        <v>#N/A</v>
        <stp/>
        <stp>BDH|3848117800474017510</stp>
        <tr r="AJ13" s="2"/>
      </tp>
      <tp t="e">
        <v>#N/A</v>
        <stp/>
        <stp>BDH|8273488810609773755</stp>
        <tr r="AG23" s="2"/>
      </tp>
      <tp t="e">
        <v>#N/A</v>
        <stp/>
        <stp>BDH|2989432465290656317</stp>
        <tr r="D73" s="2"/>
      </tp>
      <tp t="e">
        <v>#N/A</v>
        <stp/>
        <stp>BDH|7377420055245597090</stp>
        <tr r="S11" s="2"/>
      </tp>
      <tp t="e">
        <v>#N/A</v>
        <stp/>
        <stp>BDH|4873114666789156977</stp>
        <tr r="AI49" s="2"/>
      </tp>
      <tp t="e">
        <v>#N/A</v>
        <stp/>
        <stp>BDH|8947716096775691015</stp>
        <tr r="Y70" s="2"/>
      </tp>
      <tp t="e">
        <v>#N/A</v>
        <stp/>
        <stp>BDH|3853574274137618549</stp>
        <tr r="AB12" s="2"/>
      </tp>
      <tp t="e">
        <v>#N/A</v>
        <stp/>
        <stp>BDH|1585135509045250644</stp>
        <tr r="AA18" s="2"/>
      </tp>
      <tp t="e">
        <v>#N/A</v>
        <stp/>
        <stp>BDH|5346451138069297853</stp>
        <tr r="Y90" s="2"/>
      </tp>
      <tp t="e">
        <v>#N/A</v>
        <stp/>
        <stp>BDH|8831101567839360553</stp>
        <tr r="AM83" s="2"/>
      </tp>
      <tp t="e">
        <v>#N/A</v>
        <stp/>
        <stp>BDH|9757216337423769887</stp>
        <tr r="AB50" s="2"/>
      </tp>
      <tp t="e">
        <v>#N/A</v>
        <stp/>
        <stp>BDH|5708149638531710524</stp>
        <tr r="U30" s="2"/>
      </tp>
      <tp t="e">
        <v>#N/A</v>
        <stp/>
        <stp>BDH|5924463427223086360</stp>
        <tr r="E22" s="2"/>
      </tp>
      <tp t="e">
        <v>#N/A</v>
        <stp/>
        <stp>BDH|1681555947326818525</stp>
        <tr r="W36" s="2"/>
      </tp>
      <tp t="e">
        <v>#N/A</v>
        <stp/>
        <stp>BDH|2603191573946501176</stp>
        <tr r="J47" s="2"/>
      </tp>
      <tp t="e">
        <v>#N/A</v>
        <stp/>
        <stp>BDH|1712665136946186194</stp>
        <tr r="AF23" s="2"/>
      </tp>
      <tp t="e">
        <v>#N/A</v>
        <stp/>
        <stp>BDH|3917601738293625685</stp>
        <tr r="M87" s="2"/>
      </tp>
      <tp t="e">
        <v>#N/A</v>
        <stp/>
        <stp>BDH|7579093501981632548</stp>
        <tr r="AA11" s="2"/>
      </tp>
      <tp t="e">
        <v>#N/A</v>
        <stp/>
        <stp>BDH|7764382872791375112</stp>
        <tr r="AB91" s="2"/>
      </tp>
      <tp t="e">
        <v>#N/A</v>
        <stp/>
        <stp>BDH|8280989929839963957</stp>
        <tr r="W42" s="2"/>
      </tp>
      <tp t="e">
        <v>#N/A</v>
        <stp/>
        <stp>BDH|1778638922046128080</stp>
        <tr r="P22" s="2"/>
      </tp>
      <tp t="e">
        <v>#N/A</v>
        <stp/>
        <stp>BDH|2938853266659294670</stp>
        <tr r="K76" s="2"/>
      </tp>
      <tp t="e">
        <v>#N/A</v>
        <stp/>
        <stp>BDH|5884453760862517642</stp>
        <tr r="O55" s="2"/>
      </tp>
      <tp t="e">
        <v>#N/A</v>
        <stp/>
        <stp>BDH|7864618230560470119</stp>
        <tr r="AB49" s="2"/>
      </tp>
      <tp t="e">
        <v>#N/A</v>
        <stp/>
        <stp>BDH|6192368376292805354</stp>
        <tr r="S68" s="2"/>
      </tp>
      <tp t="e">
        <v>#N/A</v>
        <stp/>
        <stp>BDH|6307154583755017994</stp>
        <tr r="F14" s="2"/>
      </tp>
      <tp t="e">
        <v>#N/A</v>
        <stp/>
        <stp>BDH|1329082716512886194</stp>
        <tr r="R39" s="2"/>
      </tp>
      <tp t="e">
        <v>#N/A</v>
        <stp/>
        <stp>BDH|5897672620615623755</stp>
        <tr r="AO22" s="2"/>
      </tp>
      <tp t="e">
        <v>#N/A</v>
        <stp/>
        <stp>BDH|5460513971441081585</stp>
        <tr r="J34" s="2"/>
      </tp>
      <tp t="e">
        <v>#N/A</v>
        <stp/>
        <stp>BDH|2774182578970904722</stp>
        <tr r="AC43" s="2"/>
      </tp>
      <tp t="e">
        <v>#N/A</v>
        <stp/>
        <stp>BDH|3626888899200202196</stp>
        <tr r="E45" s="2"/>
      </tp>
      <tp t="e">
        <v>#N/A</v>
        <stp/>
        <stp>BDH|8067053541497018895</stp>
        <tr r="U20" s="2"/>
      </tp>
      <tp t="e">
        <v>#N/A</v>
        <stp/>
        <stp>BDH|7123531547000130594</stp>
        <tr r="X56" s="2"/>
      </tp>
      <tp t="e">
        <v>#N/A</v>
        <stp/>
        <stp>BDH|5271267308837460358</stp>
        <tr r="AB24" s="2"/>
      </tp>
      <tp t="e">
        <v>#N/A</v>
        <stp/>
        <stp>BDH|5486615524801882346</stp>
        <tr r="Z29" s="2"/>
      </tp>
      <tp t="e">
        <v>#N/A</v>
        <stp/>
        <stp>BDH|8979230452109209587</stp>
        <tr r="Z77" s="2"/>
      </tp>
      <tp t="e">
        <v>#N/A</v>
        <stp/>
        <stp>BDH|2449405092469478507</stp>
        <tr r="T54" s="2"/>
      </tp>
      <tp t="e">
        <v>#N/A</v>
        <stp/>
        <stp>BDH|4380919993180169723</stp>
        <tr r="AA63" s="2"/>
      </tp>
      <tp t="e">
        <v>#N/A</v>
        <stp/>
        <stp>BDH|6356986054461884859</stp>
        <tr r="AG72" s="2"/>
      </tp>
      <tp t="e">
        <v>#N/A</v>
        <stp/>
        <stp>BDH|4091887993601814711</stp>
        <tr r="F40" s="2"/>
      </tp>
      <tp t="e">
        <v>#N/A</v>
        <stp/>
        <stp>BDH|4841184161960150026</stp>
        <tr r="N44" s="2"/>
      </tp>
      <tp t="e">
        <v>#N/A</v>
        <stp/>
        <stp>BDH|4705441853336300018</stp>
        <tr r="AL70" s="2"/>
      </tp>
      <tp t="e">
        <v>#N/A</v>
        <stp/>
        <stp>BDH|5715431858025656289</stp>
        <tr r="K54" s="2"/>
      </tp>
      <tp t="e">
        <v>#N/A</v>
        <stp/>
        <stp>BDH|4290354001157003343</stp>
        <tr r="U86" s="2"/>
      </tp>
      <tp t="e">
        <v>#N/A</v>
        <stp/>
        <stp>BDH|3306653204706042013</stp>
        <tr r="Z42" s="2"/>
      </tp>
      <tp t="e">
        <v>#N/A</v>
        <stp/>
        <stp>BDH|7675904455129738174</stp>
        <tr r="H59" s="2"/>
      </tp>
      <tp t="e">
        <v>#N/A</v>
        <stp/>
        <stp>BDH|6961680901401105226</stp>
        <tr r="AF54" s="2"/>
      </tp>
      <tp t="e">
        <v>#N/A</v>
        <stp/>
        <stp>BDH|7105473093840340958</stp>
        <tr r="J75" s="2"/>
      </tp>
      <tp t="e">
        <v>#N/A</v>
        <stp/>
        <stp>BDH|1983294141173492762</stp>
        <tr r="T66" s="2"/>
      </tp>
      <tp t="e">
        <v>#N/A</v>
        <stp/>
        <stp>BDH|2684414852939740918</stp>
        <tr r="P65" s="2"/>
      </tp>
      <tp t="e">
        <v>#N/A</v>
        <stp/>
        <stp>BDH|2556999583027975751</stp>
        <tr r="C13" s="2"/>
      </tp>
      <tp t="e">
        <v>#N/A</v>
        <stp/>
        <stp>BDH|9675759797042081678</stp>
        <tr r="AA14" s="2"/>
      </tp>
      <tp t="e">
        <v>#N/A</v>
        <stp/>
        <stp>BDH|8672707099164977165</stp>
        <tr r="D14" s="2"/>
      </tp>
      <tp t="e">
        <v>#N/A</v>
        <stp/>
        <stp>BDH|3506939570009099763</stp>
        <tr r="AC58" s="2"/>
      </tp>
      <tp t="e">
        <v>#N/A</v>
        <stp/>
        <stp>BDH|7086433474096701108</stp>
        <tr r="F69" s="2"/>
      </tp>
      <tp t="e">
        <v>#N/A</v>
        <stp/>
        <stp>BDH|9357982880259297296</stp>
        <tr r="R12" s="2"/>
      </tp>
      <tp t="e">
        <v>#N/A</v>
        <stp/>
        <stp>BDH|9266609918954996930</stp>
        <tr r="V19" s="2"/>
      </tp>
      <tp t="e">
        <v>#N/A</v>
        <stp/>
        <stp>BDH|4717687699069138165</stp>
        <tr r="AJ40" s="2"/>
      </tp>
      <tp t="e">
        <v>#N/A</v>
        <stp/>
        <stp>BDH|2223581075520834366</stp>
        <tr r="AP23" s="2"/>
      </tp>
      <tp t="e">
        <v>#N/A</v>
        <stp/>
        <stp>BDH|2032306584733527905</stp>
        <tr r="AP73" s="2"/>
      </tp>
      <tp t="e">
        <v>#N/A</v>
        <stp/>
        <stp>BDH|6679426531290318274</stp>
        <tr r="R40" s="2"/>
      </tp>
      <tp t="e">
        <v>#N/A</v>
        <stp/>
        <stp>BDH|4522558988372967809</stp>
        <tr r="N61" s="2"/>
      </tp>
      <tp t="e">
        <v>#N/A</v>
        <stp/>
        <stp>BDH|6697716623493344366</stp>
        <tr r="W86" s="2"/>
      </tp>
      <tp t="e">
        <v>#N/A</v>
        <stp/>
        <stp>BDH|2107759022254438035</stp>
        <tr r="AM47" s="2"/>
      </tp>
      <tp t="e">
        <v>#N/A</v>
        <stp/>
        <stp>BDH|7539274437772221711</stp>
        <tr r="M90" s="2"/>
      </tp>
      <tp t="e">
        <v>#N/A</v>
        <stp/>
        <stp>BDH|7794417044574038042</stp>
        <tr r="S37" s="2"/>
      </tp>
      <tp t="e">
        <v>#N/A</v>
        <stp/>
        <stp>BDH|3610439944500092065</stp>
        <tr r="Q38" s="2"/>
      </tp>
      <tp t="e">
        <v>#N/A</v>
        <stp/>
        <stp>BDH|4968581554453270404</stp>
        <tr r="Q82" s="2"/>
      </tp>
      <tp t="e">
        <v>#N/A</v>
        <stp/>
        <stp>BDH|6110711965284515071</stp>
        <tr r="P30" s="2"/>
      </tp>
      <tp t="e">
        <v>#N/A</v>
        <stp/>
        <stp>BDH|9674038282907105512</stp>
        <tr r="AD20" s="2"/>
      </tp>
      <tp t="e">
        <v>#N/A</v>
        <stp/>
        <stp>BDH|3936849575136628991</stp>
        <tr r="AN44" s="2"/>
      </tp>
      <tp t="e">
        <v>#N/A</v>
        <stp/>
        <stp>BDH|5725760936597598551</stp>
        <tr r="H90" s="2"/>
      </tp>
      <tp t="e">
        <v>#N/A</v>
        <stp/>
        <stp>BDH|8551908730434085511</stp>
        <tr r="AF44" s="2"/>
      </tp>
      <tp t="e">
        <v>#N/A</v>
        <stp/>
        <stp>BDH|2690941910988418122</stp>
        <tr r="AC14" s="2"/>
      </tp>
      <tp t="e">
        <v>#N/A</v>
        <stp/>
        <stp>BDH|4161847175208405005</stp>
        <tr r="G42" s="2"/>
      </tp>
      <tp t="e">
        <v>#N/A</v>
        <stp/>
        <stp>BDH|7560269396266064913</stp>
        <tr r="L51" s="2"/>
      </tp>
      <tp t="e">
        <v>#N/A</v>
        <stp/>
        <stp>BDH|7501645106235642759</stp>
        <tr r="U77" s="2"/>
      </tp>
      <tp t="e">
        <v>#N/A</v>
        <stp/>
        <stp>BDH|9209874422267096732</stp>
        <tr r="L29" s="2"/>
      </tp>
      <tp t="e">
        <v>#N/A</v>
        <stp/>
        <stp>BDH|1313169873023026727</stp>
        <tr r="F50" s="2"/>
      </tp>
      <tp t="e">
        <v>#N/A</v>
        <stp/>
        <stp>BDH|5537071047755788760</stp>
        <tr r="AP21" s="2"/>
      </tp>
      <tp t="e">
        <v>#N/A</v>
        <stp/>
        <stp>BDH|9488535486841303677</stp>
        <tr r="C57" s="2"/>
      </tp>
      <tp t="e">
        <v>#N/A</v>
        <stp/>
        <stp>BDH|4007306034477963081</stp>
        <tr r="Z19" s="2"/>
      </tp>
      <tp t="e">
        <v>#N/A</v>
        <stp/>
        <stp>BDH|8169845940621778677</stp>
        <tr r="AI70" s="2"/>
      </tp>
      <tp t="e">
        <v>#N/A</v>
        <stp/>
        <stp>BDH|9621374981338237978</stp>
        <tr r="AI82" s="2"/>
      </tp>
      <tp t="e">
        <v>#N/A</v>
        <stp/>
        <stp>BDH|21881671885693451</stp>
        <tr r="D60" s="2"/>
      </tp>
      <tp t="e">
        <v>#N/A</v>
        <stp/>
        <stp>BDH|126297770517518701</stp>
        <tr r="AP89" s="2"/>
      </tp>
      <tp t="e">
        <v>#N/A</v>
        <stp/>
        <stp>BDH|423692115381044351</stp>
        <tr r="I51" s="2"/>
      </tp>
      <tp t="e">
        <v>#N/A</v>
        <stp/>
        <stp>BDH|522362808867136147</stp>
        <tr r="Z75" s="2"/>
      </tp>
      <tp t="e">
        <v>#N/A</v>
        <stp/>
        <stp>BDH|937433657107377319</stp>
        <tr r="C21" s="2"/>
      </tp>
      <tp t="e">
        <v>#N/A</v>
        <stp/>
        <stp>BDH|826695949766070105</stp>
        <tr r="AJ69" s="2"/>
      </tp>
      <tp t="e">
        <v>#N/A</v>
        <stp/>
        <stp>BDH|688491520332511135</stp>
        <tr r="AB75" s="2"/>
      </tp>
      <tp t="e">
        <v>#N/A</v>
        <stp/>
        <stp>BDH|644286767192094329</stp>
        <tr r="O81" s="2"/>
      </tp>
      <tp t="e">
        <v>#N/A</v>
        <stp/>
        <stp>BDH|660461307112339302</stp>
        <tr r="AB52" s="2"/>
      </tp>
      <tp t="e">
        <v>#N/A</v>
        <stp/>
        <stp>BDH|579983290994867155</stp>
        <tr r="K88" s="2"/>
      </tp>
      <tp t="e">
        <v>#N/A</v>
        <stp/>
        <stp>BDH|104508122500105202</stp>
        <tr r="AP74" s="2"/>
      </tp>
      <tp t="e">
        <v>#N/A</v>
        <stp/>
        <stp>BDH|944249047354325656</stp>
        <tr r="S75" s="2"/>
      </tp>
      <tp t="e">
        <v>#N/A</v>
        <stp/>
        <stp>BDH|797354921683805662</stp>
        <tr r="W68" s="2"/>
      </tp>
      <tp t="e">
        <v>#N/A</v>
        <stp/>
        <stp>BDH|370727227765822419</stp>
        <tr r="AP9" s="2"/>
      </tp>
      <tp t="e">
        <v>#N/A</v>
        <stp/>
        <stp>BDH|695680252665471206</stp>
        <tr r="Z30" s="2"/>
      </tp>
      <tp t="e">
        <v>#N/A</v>
        <stp/>
        <stp>BDH|839660934580718159</stp>
        <tr r="AG16" s="2"/>
      </tp>
      <tp t="e">
        <v>#N/A</v>
        <stp/>
        <stp>BDH|940510010229939997</stp>
        <tr r="AO72" s="2"/>
      </tp>
      <tp t="e">
        <v>#N/A</v>
        <stp/>
        <stp>BDH|357137485885907879</stp>
        <tr r="AN49" s="2"/>
      </tp>
      <tp t="e">
        <v>#N/A</v>
        <stp/>
        <stp>BDH|275616663551569519</stp>
        <tr r="K28" s="2"/>
      </tp>
      <tp t="e">
        <v>#N/A</v>
        <stp/>
        <stp>BDH|863341098267500974</stp>
        <tr r="AO35" s="2"/>
      </tp>
      <tp t="e">
        <v>#N/A</v>
        <stp/>
        <stp>BDH|949368156011876317</stp>
        <tr r="W34" s="2"/>
      </tp>
      <tp t="e">
        <v>#N/A</v>
        <stp/>
        <stp>BDH|811576317302009282</stp>
        <tr r="F31" s="2"/>
      </tp>
      <tp t="e">
        <v>#N/A</v>
        <stp/>
        <stp>BDH|257458035951225212</stp>
        <tr r="D92" s="2"/>
      </tp>
      <tp t="e">
        <v>#N/A</v>
        <stp/>
        <stp>BDH|477537887588342102</stp>
        <tr r="T37" s="2"/>
      </tp>
      <tp t="e">
        <v>#N/A</v>
        <stp/>
        <stp>BDH|619387061484503675</stp>
        <tr r="C91" s="2"/>
      </tp>
      <tp t="e">
        <v>#N/A</v>
        <stp/>
        <stp>BDH|443708769176554064</stp>
        <tr r="G23" s="2"/>
      </tp>
      <tp t="e">
        <v>#N/A</v>
        <stp/>
        <stp>BDH|361285520766140139</stp>
        <tr r="E18" s="2"/>
      </tp>
      <tp t="e">
        <v>#N/A</v>
        <stp/>
        <stp>BDH|256103681598979638</stp>
        <tr r="O74" s="2"/>
      </tp>
      <tp t="e">
        <v>#N/A</v>
        <stp/>
        <stp>BDH|277535722570309094</stp>
        <tr r="AG68" s="2"/>
      </tp>
      <tp t="e">
        <v>#N/A</v>
        <stp/>
        <stp>BDH|517917074730220984</stp>
        <tr r="I24" s="2"/>
      </tp>
      <tp t="e">
        <v>#N/A</v>
        <stp/>
        <stp>BDH|273326619581372416</stp>
        <tr r="F62" s="2"/>
      </tp>
      <tp t="e">
        <v>#N/A</v>
        <stp/>
        <stp>BDH|184695229104349769</stp>
        <tr r="U16" s="2"/>
      </tp>
      <tp t="e">
        <v>#N/A</v>
        <stp/>
        <stp>BDH|676535827271293169</stp>
        <tr r="AA72" s="2"/>
      </tp>
      <tp t="e">
        <v>#N/A</v>
        <stp/>
        <stp>BDH|694339060480447269</stp>
        <tr r="AB19" s="2"/>
      </tp>
      <tp t="e">
        <v>#N/A</v>
        <stp/>
        <stp>BDH|351283324803128499</stp>
        <tr r="T13" s="2"/>
      </tp>
      <tp t="e">
        <v>#N/A</v>
        <stp/>
        <stp>BDH|259294768891217208</stp>
        <tr r="M51" s="2"/>
      </tp>
      <tp t="e">
        <v>#N/A</v>
        <stp/>
        <stp>BDH|583190016545073280</stp>
        <tr r="V18" s="2"/>
      </tp>
      <tp t="e">
        <v>#N/A</v>
        <stp/>
        <stp>BDH|577851107247730835</stp>
        <tr r="R64" s="2"/>
      </tp>
      <tp t="e">
        <v>#N/A</v>
        <stp/>
        <stp>BDH|998961959098833230</stp>
        <tr r="D30" s="2"/>
      </tp>
      <tp t="e">
        <v>#N/A</v>
        <stp/>
        <stp>BDH|487134182897910823</stp>
        <tr r="L57" s="2"/>
      </tp>
      <tp t="e">
        <v>#N/A</v>
        <stp/>
        <stp>BDH|632685700538954884</stp>
        <tr r="G53" s="2"/>
      </tp>
      <tp t="e">
        <v>#N/A</v>
        <stp/>
        <stp>BDH|979460789673911901</stp>
        <tr r="D36" s="2"/>
      </tp>
      <tp t="e">
        <v>#N/A</v>
        <stp/>
        <stp>BDH|358760421480969340</stp>
        <tr r="AF67" s="2"/>
      </tp>
      <tp t="e">
        <v>#N/A</v>
        <stp/>
        <stp>BDH|639529440577147014</stp>
        <tr r="L35" s="2"/>
      </tp>
      <tp t="e">
        <v>#N/A</v>
        <stp/>
        <stp>BDH|895307004884955102</stp>
        <tr r="N38" s="2"/>
      </tp>
      <tp t="e">
        <v>#N/A</v>
        <stp/>
        <stp>BDH|539716326931080241</stp>
        <tr r="AK85" s="2"/>
      </tp>
      <tp t="e">
        <v>#N/A</v>
        <stp/>
        <stp>BDH|692650142625345127</stp>
        <tr r="D20" s="2"/>
      </tp>
      <tp t="e">
        <v>#N/A</v>
        <stp/>
        <stp>BDH|139671111728290941</stp>
        <tr r="M57" s="2"/>
      </tp>
      <tp t="e">
        <v>#N/A</v>
        <stp/>
        <stp>BDH|753433885939497377</stp>
        <tr r="Q50" s="2"/>
      </tp>
      <tp t="e">
        <v>#N/A</v>
        <stp/>
        <stp>BDH|951195294968082667</stp>
        <tr r="I23" s="2"/>
      </tp>
      <tp t="e">
        <v>#N/A</v>
        <stp/>
        <stp>BDH|652637126744127618</stp>
        <tr r="S16" s="2"/>
      </tp>
      <tp t="e">
        <v>#N/A</v>
        <stp/>
        <stp>BDH|405165959363120191</stp>
        <tr r="AB22" s="2"/>
      </tp>
      <tp t="e">
        <v>#N/A</v>
        <stp/>
        <stp>BDH|285410604480855535</stp>
        <tr r="AP82" s="2"/>
      </tp>
      <tp t="e">
        <v>#N/A</v>
        <stp/>
        <stp>BDH|827191018300654135</stp>
        <tr r="M37" s="2"/>
      </tp>
      <tp t="e">
        <v>#N/A</v>
        <stp/>
        <stp>BDH|576093471740718667</stp>
        <tr r="T9" s="2"/>
      </tp>
      <tp t="e">
        <v>#N/A</v>
        <stp/>
        <stp>BDH|839058019822366286</stp>
        <tr r="F73" s="2"/>
      </tp>
      <tp t="e">
        <v>#N/A</v>
        <stp/>
        <stp>BDH|867330326085095541</stp>
        <tr r="K13" s="2"/>
      </tp>
      <tp t="e">
        <v>#N/A</v>
        <stp/>
        <stp>BDH|452254947967646093</stp>
        <tr r="AJ92" s="2"/>
      </tp>
      <tp t="e">
        <v>#N/A</v>
        <stp/>
        <stp>BDH|622905298868049948</stp>
        <tr r="V92" s="2"/>
      </tp>
      <tp t="e">
        <v>#N/A</v>
        <stp/>
        <stp>BDH|765246629530106113</stp>
        <tr r="I76" s="2"/>
      </tp>
      <tp t="e">
        <v>#N/A</v>
        <stp/>
        <stp>BDH|415736612540796764</stp>
        <tr r="AH85" s="2"/>
      </tp>
      <tp t="e">
        <v>#N/A</v>
        <stp/>
        <stp>BDH|945449639467563152</stp>
        <tr r="E15" s="2"/>
      </tp>
      <tp t="e">
        <v>#N/A</v>
        <stp/>
        <stp>BDH|380559546579483919</stp>
        <tr r="T62" s="2"/>
      </tp>
      <tp t="e">
        <v>#N/A</v>
        <stp/>
        <stp>BDH|341160611030391119</stp>
        <tr r="W37" s="2"/>
      </tp>
      <tp t="e">
        <v>#N/A</v>
        <stp/>
        <stp>BDH|920083584448122149</stp>
        <tr r="J57" s="2"/>
      </tp>
      <tp t="e">
        <v>#N/A</v>
        <stp/>
        <stp>BDH|927996132893164836</stp>
        <tr r="AE83" s="2"/>
      </tp>
      <tp t="e">
        <v>#N/A</v>
        <stp/>
        <stp>BDH|516555641187507748</stp>
        <tr r="D35" s="2"/>
      </tp>
      <tp t="e">
        <v>#N/A</v>
        <stp/>
        <stp>BDH|606634242254447719</stp>
        <tr r="U11" s="2"/>
      </tp>
      <tp t="e">
        <v>#N/A</v>
        <stp/>
        <stp>BDH|886442564186320595</stp>
        <tr r="F10" s="2"/>
      </tp>
      <tp t="e">
        <v>#N/A</v>
        <stp/>
        <stp>BDH|626080043255729081</stp>
        <tr r="AG27" s="2"/>
      </tp>
      <tp t="e">
        <v>#N/A</v>
        <stp/>
        <stp>BDH|767105265194723383</stp>
        <tr r="P88" s="2"/>
      </tp>
      <tp t="e">
        <v>#N/A</v>
        <stp/>
        <stp>BDH|967483490659969474</stp>
        <tr r="R17" s="2"/>
      </tp>
      <tp t="e">
        <v>#N/A</v>
        <stp/>
        <stp>BDH|272860241275867925</stp>
        <tr r="AF9" s="2"/>
      </tp>
      <tp t="e">
        <v>#N/A</v>
        <stp/>
        <stp>BDH|544396305771757279</stp>
        <tr r="AK20" s="2"/>
      </tp>
      <tp t="e">
        <v>#N/A</v>
        <stp/>
        <stp>BDH|123484367220754223</stp>
        <tr r="X47" s="2"/>
      </tp>
      <tp t="e">
        <v>#N/A</v>
        <stp/>
        <stp>BDH|248881649019549525</stp>
        <tr r="E73" s="2"/>
      </tp>
      <tp t="e">
        <v>#N/A</v>
        <stp/>
        <stp>BDH|748583704604772199</stp>
        <tr r="M9" s="2"/>
      </tp>
      <tp t="e">
        <v>#N/A</v>
        <stp/>
        <stp>BDH|760235492632772975</stp>
        <tr r="AB35" s="2"/>
      </tp>
      <tp t="e">
        <v>#N/A</v>
        <stp/>
        <stp>BDH|283021207153466332</stp>
        <tr r="D7" s="2"/>
      </tp>
      <tp t="e">
        <v>#N/A</v>
        <stp/>
        <stp>BDH|618067018103054281</stp>
        <tr r="U74" s="2"/>
      </tp>
      <tp t="e">
        <v>#N/A</v>
        <stp/>
        <stp>BDH|446710561530496115</stp>
        <tr r="S87" s="2"/>
      </tp>
      <tp t="e">
        <v>#N/A</v>
        <stp/>
        <stp>BDH|107314164101588427</stp>
        <tr r="N29" s="2"/>
      </tp>
      <tp t="e">
        <v>#N/A</v>
        <stp/>
        <stp>BDH|900489810937710257</stp>
        <tr r="D8" s="2"/>
      </tp>
      <tp t="e">
        <v>#N/A</v>
        <stp/>
        <stp>BDH|680672175260025283</stp>
        <tr r="W22" s="2"/>
      </tp>
      <tp t="e">
        <v>#N/A</v>
        <stp/>
        <stp>BDH|761032968234302112</stp>
        <tr r="R18" s="2"/>
      </tp>
      <tp t="e">
        <v>#N/A</v>
        <stp/>
        <stp>BDH|722799957370352153</stp>
        <tr r="J91" s="2"/>
      </tp>
      <tp t="e">
        <v>#N/A</v>
        <stp/>
        <stp>BDH|558076595043699957</stp>
        <tr r="P28" s="2"/>
      </tp>
      <tp t="e">
        <v>#N/A</v>
        <stp/>
        <stp>BDH|598537604531469729</stp>
        <tr r="AK65" s="2"/>
      </tp>
      <tp t="e">
        <v>#N/A</v>
        <stp/>
        <stp>BDH|440771157996777729</stp>
        <tr r="AH90" s="2"/>
      </tp>
      <tp t="e">
        <v>#N/A</v>
        <stp/>
        <stp>BDH|396197002873015192</stp>
        <tr r="M75" s="2"/>
      </tp>
      <tp t="e">
        <v>#N/A</v>
        <stp/>
        <stp>BDH|738501352703073194</stp>
        <tr r="E70" s="2"/>
      </tp>
      <tp t="e">
        <v>#N/A</v>
        <stp/>
        <stp>BDH|778919509392843993</stp>
        <tr r="AF16" s="2"/>
      </tp>
      <tp t="e">
        <v>#N/A</v>
        <stp/>
        <stp>BDH|586377468930075747</stp>
        <tr r="AL55" s="2"/>
      </tp>
      <tp t="e">
        <v>#N/A</v>
        <stp/>
        <stp>BDH|713397464953086406</stp>
        <tr r="X85" s="2"/>
      </tp>
      <tp t="e">
        <v>#N/A</v>
        <stp/>
        <stp>BDH|945703973622388022</stp>
        <tr r="U58" s="2"/>
      </tp>
      <tp t="e">
        <v>#N/A</v>
        <stp/>
        <stp>BDH|404389775800658649</stp>
        <tr r="AB71" s="2"/>
      </tp>
      <tp t="e">
        <v>#N/A</v>
        <stp/>
        <stp>BDH|828483251127658428</stp>
        <tr r="AN75" s="2"/>
      </tp>
      <tp t="e">
        <v>#N/A</v>
        <stp/>
        <stp>BDH|152668925555699337</stp>
        <tr r="AI10" s="2"/>
      </tp>
      <tp t="e">
        <v>#N/A</v>
        <stp/>
        <stp>BDH|616020341297154146</stp>
        <tr r="Z48" s="2"/>
      </tp>
      <tp t="e">
        <v>#N/A</v>
        <stp/>
        <stp>BDH|555499915491139965</stp>
        <tr r="K46" s="2"/>
      </tp>
      <tp t="e">
        <v>#N/A</v>
        <stp/>
        <stp>BDH|875611108742653987</stp>
        <tr r="AN27" s="2"/>
      </tp>
      <tp t="e">
        <v>#N/A</v>
        <stp/>
        <stp>BDH|497991927906008052</stp>
        <tr r="AD48" s="2"/>
      </tp>
      <tp t="e">
        <v>#N/A</v>
        <stp/>
        <stp>BDH|361825258783758374</stp>
        <tr r="AC91" s="2"/>
      </tp>
      <tp t="e">
        <v>#N/A</v>
        <stp/>
        <stp>BDH|104998019233278673</stp>
        <tr r="Z53" s="2"/>
      </tp>
      <tp t="e">
        <v>#N/A</v>
        <stp/>
        <stp>BDH|135230533055546903</stp>
        <tr r="AH76" s="2"/>
      </tp>
      <tp t="e">
        <v>#N/A</v>
        <stp/>
        <stp>BDH|249167264043614935</stp>
        <tr r="N28" s="2"/>
      </tp>
      <tp t="e">
        <v>#N/A</v>
        <stp/>
        <stp>BDH|674671523211105829</stp>
        <tr r="AG66" s="2"/>
      </tp>
      <tp t="e">
        <v>#N/A</v>
        <stp/>
        <stp>BDH|507725489415763785</stp>
        <tr r="AC12" s="2"/>
      </tp>
      <tp t="e">
        <v>#N/A</v>
        <stp/>
        <stp>BDH|125836531612156400</stp>
        <tr r="P9" s="2"/>
      </tp>
      <tp t="e">
        <v>#N/A</v>
        <stp/>
        <stp>BDH|283111486764029066</stp>
        <tr r="AF75" s="2"/>
      </tp>
      <tp t="e">
        <v>#N/A</v>
        <stp/>
        <stp>BDH|819552088563720316</stp>
        <tr r="AH17" s="2"/>
      </tp>
      <tp t="e">
        <v>#N/A</v>
        <stp/>
        <stp>BDH|964301106769810740</stp>
        <tr r="AE7" s="2"/>
      </tp>
      <tp t="e">
        <v>#N/A</v>
        <stp/>
        <stp>BDH|581793079478422529</stp>
        <tr r="K20" s="2"/>
      </tp>
      <tp t="e">
        <v>#N/A</v>
        <stp/>
        <stp>BDH|572444657638983522</stp>
        <tr r="X53" s="2"/>
      </tp>
      <tp t="e">
        <v>#N/A</v>
        <stp/>
        <stp>BDH|363590182898652968</stp>
        <tr r="AC51" s="2"/>
      </tp>
      <tp t="e">
        <v>#N/A</v>
        <stp/>
        <stp>BDH|124918357398886863</stp>
        <tr r="H92" s="2"/>
      </tp>
      <tp t="e">
        <v>#N/A</v>
        <stp/>
        <stp>BDH|339411792898510921</stp>
        <tr r="M22" s="2"/>
      </tp>
      <tp t="e">
        <v>#N/A</v>
        <stp/>
        <stp>BDH|636273882897592119</stp>
        <tr r="P64" s="2"/>
      </tp>
      <tp t="e">
        <v>#N/A</v>
        <stp/>
        <stp>BDH|543479090334281537</stp>
        <tr r="X27" s="2"/>
      </tp>
      <tp t="e">
        <v>#N/A</v>
        <stp/>
        <stp>BDH|587778968169196779</stp>
        <tr r="AI58" s="2"/>
      </tp>
      <tp t="e">
        <v>#N/A</v>
        <stp/>
        <stp>BDH|723780074608073767</stp>
        <tr r="AC7" s="2"/>
      </tp>
      <tp t="e">
        <v>#N/A</v>
        <stp/>
        <stp>BDH|746183692041732671</stp>
        <tr r="K49" s="2"/>
      </tp>
      <tp t="e">
        <v>#N/A</v>
        <stp/>
        <stp>BDH|511423482860311387</stp>
        <tr r="R42" s="2"/>
      </tp>
      <tp t="e">
        <v>#N/A</v>
        <stp/>
        <stp>BDH|943128364581307966</stp>
        <tr r="K25" s="2"/>
      </tp>
      <tp t="e">
        <v>#N/A</v>
        <stp/>
        <stp>BDH|134813447366127531</stp>
        <tr r="C61" s="2"/>
      </tp>
      <tp t="e">
        <v>#N/A</v>
        <stp/>
        <stp>BDH|204895194088647691</stp>
        <tr r="V83" s="2"/>
      </tp>
      <tp t="e">
        <v>#N/A</v>
        <stp/>
        <stp>BDH|263504443468393601</stp>
        <tr r="H19" s="2"/>
      </tp>
      <tp t="e">
        <v>#N/A</v>
        <stp/>
        <stp>BDH|758497951037538869</stp>
        <tr r="S67" s="2"/>
      </tp>
      <tp t="e">
        <v>#N/A</v>
        <stp/>
        <stp>BDH|132035306257291987</stp>
        <tr r="AI50" s="2"/>
      </tp>
      <tp t="e">
        <v>#N/A</v>
        <stp/>
        <stp>BDH|581285397912209778</stp>
        <tr r="X51" s="2"/>
      </tp>
      <tp t="e">
        <v>#N/A</v>
        <stp/>
        <stp>BDH|997939065052438331</stp>
        <tr r="V30" s="2"/>
      </tp>
      <tp t="e">
        <v>#N/A</v>
        <stp/>
        <stp>BDH|100617233459185240</stp>
        <tr r="AJ65" s="2"/>
      </tp>
      <tp t="e">
        <v>#N/A</v>
        <stp/>
        <stp>BDH|456129636129677578</stp>
        <tr r="AE58" s="2"/>
      </tp>
      <tp t="e">
        <v>#N/A</v>
        <stp/>
        <stp>BDH|668789058719669521</stp>
        <tr r="F9" s="2"/>
      </tp>
      <tp t="e">
        <v>#N/A</v>
        <stp/>
        <stp>BDH|962429087822661081</stp>
        <tr r="P7" s="2"/>
      </tp>
      <tp t="e">
        <v>#N/A</v>
        <stp/>
        <stp>BDH|775755052764444866</stp>
        <tr r="T60" s="2"/>
      </tp>
      <tp t="e">
        <v>#N/A</v>
        <stp/>
        <stp>BDH|371184952385649864</stp>
        <tr r="N37" s="2"/>
      </tp>
      <tp t="e">
        <v>#N/A</v>
        <stp/>
        <stp>BDH|543135279576262972</stp>
        <tr r="AN61" s="2"/>
      </tp>
      <tp t="e">
        <v>#N/A</v>
        <stp/>
        <stp>BDH|192895478170154657</stp>
        <tr r="AO70" s="2"/>
      </tp>
      <tp t="e">
        <v>#N/A</v>
        <stp/>
        <stp>BDH|768760613446730916</stp>
        <tr r="AP86" s="2"/>
      </tp>
      <tp t="e">
        <v>#N/A</v>
        <stp/>
        <stp>BDH|279778041552329811</stp>
        <tr r="E53" s="2"/>
      </tp>
      <tp t="e">
        <v>#N/A</v>
        <stp/>
        <stp>BDH|176208479918866478</stp>
        <tr r="Z7" s="2"/>
      </tp>
      <tp t="e">
        <v>#N/A</v>
        <stp/>
        <stp>BDH|937891766676822191</stp>
        <tr r="U7" s="2"/>
      </tp>
      <tp t="e">
        <v>#N/A</v>
        <stp/>
        <stp>BDH|387913172323678465</stp>
        <tr r="F42" s="2"/>
      </tp>
      <tp t="e">
        <v>#N/A</v>
        <stp/>
        <stp>BDH|788828006432345323</stp>
        <tr r="AN88" s="2"/>
      </tp>
      <tp t="e">
        <v>#N/A</v>
        <stp/>
        <stp>BDH|231812423807242414</stp>
        <tr r="AG71" s="2"/>
      </tp>
      <tp t="e">
        <v>#N/A</v>
        <stp/>
        <stp>BDH|816015620328732214</stp>
        <tr r="Y44" s="2"/>
      </tp>
      <tp t="e">
        <v>#N/A</v>
        <stp/>
        <stp>BDH|851215557789030678</stp>
        <tr r="V15" s="2"/>
      </tp>
      <tp t="e">
        <v>#N/A</v>
        <stp/>
        <stp>BDH|148667545918472200</stp>
        <tr r="AG30" s="2"/>
      </tp>
      <tp t="e">
        <v>#N/A</v>
        <stp/>
        <stp>BDH|709268807838721213</stp>
        <tr r="M36" s="2"/>
      </tp>
      <tp t="e">
        <v>#N/A</v>
        <stp/>
        <stp>BDH|897020804018780090</stp>
        <tr r="E81" s="2"/>
      </tp>
      <tp t="e">
        <v>#N/A</v>
        <stp/>
        <stp>BDH|866873533966515611</stp>
        <tr r="AI76" s="2"/>
      </tp>
      <tp t="e">
        <v>#N/A</v>
        <stp/>
        <stp>BDH|645327421519570381</stp>
        <tr r="J60" s="2"/>
      </tp>
      <tp t="e">
        <v>#N/A</v>
        <stp/>
        <stp>BDH|539903232510736195</stp>
        <tr r="Q71" s="2"/>
      </tp>
      <tp t="e">
        <v>#N/A</v>
        <stp/>
        <stp>BDH|610188642729688714</stp>
        <tr r="I7" s="2"/>
      </tp>
      <tp t="e">
        <v>#N/A</v>
        <stp/>
        <stp>BDH|748453665669847047</stp>
        <tr r="S35" s="2"/>
      </tp>
      <tp t="e">
        <v>#N/A</v>
        <stp/>
        <stp>BDH|481980863484074098</stp>
        <tr r="AK92" s="2"/>
      </tp>
      <tp t="e">
        <v>#N/A</v>
        <stp/>
        <stp>BDH|957408483327972022</stp>
        <tr r="AK35" s="2"/>
      </tp>
      <tp t="e">
        <v>#N/A</v>
        <stp/>
        <stp>BDH|171071251739651677</stp>
        <tr r="V31" s="2"/>
      </tp>
      <tp t="e">
        <v>#N/A</v>
        <stp/>
        <stp>BDH|737474108777894979</stp>
        <tr r="T67" s="2"/>
      </tp>
      <tp t="e">
        <v>#N/A</v>
        <stp/>
        <stp>BDH|384623791936054370</stp>
        <tr r="R36" s="2"/>
      </tp>
      <tp t="e">
        <v>#N/A</v>
        <stp/>
        <stp>BDH|656608180664154071</stp>
        <tr r="AE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"/>
  <sheetViews>
    <sheetView tabSelected="1" workbookViewId="0">
      <selection activeCell="A9" sqref="A1:XFD1048576"/>
    </sheetView>
  </sheetViews>
  <sheetFormatPr defaultRowHeight="14.4" x14ac:dyDescent="0.3"/>
  <cols>
    <col min="1" max="1" width="35.21875" customWidth="1"/>
    <col min="2" max="2" width="0" hidden="1" customWidth="1"/>
    <col min="3" max="42" width="11.77734375" customWidth="1"/>
  </cols>
  <sheetData>
    <row r="1" spans="1:4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21" x14ac:dyDescent="0.3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3">
      <c r="A4" s="3" t="s">
        <v>2</v>
      </c>
      <c r="B4" s="3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  <c r="AL4" s="4" t="s">
        <v>38</v>
      </c>
      <c r="AM4" s="4" t="s">
        <v>39</v>
      </c>
      <c r="AN4" s="4" t="s">
        <v>40</v>
      </c>
      <c r="AO4" s="4" t="s">
        <v>41</v>
      </c>
      <c r="AP4" s="4" t="s">
        <v>42</v>
      </c>
    </row>
    <row r="5" spans="1:42" x14ac:dyDescent="0.3">
      <c r="A5" s="9" t="s">
        <v>43</v>
      </c>
      <c r="B5" s="9"/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 t="s">
        <v>58</v>
      </c>
      <c r="R5" s="5" t="s">
        <v>59</v>
      </c>
      <c r="S5" s="5" t="s">
        <v>60</v>
      </c>
      <c r="T5" s="5" t="s">
        <v>61</v>
      </c>
      <c r="U5" s="5" t="s">
        <v>62</v>
      </c>
      <c r="V5" s="5" t="s">
        <v>63</v>
      </c>
      <c r="W5" s="5" t="s">
        <v>64</v>
      </c>
      <c r="X5" s="5" t="s">
        <v>65</v>
      </c>
      <c r="Y5" s="5" t="s">
        <v>66</v>
      </c>
      <c r="Z5" s="5" t="s">
        <v>67</v>
      </c>
      <c r="AA5" s="5" t="s">
        <v>68</v>
      </c>
      <c r="AB5" s="5" t="s">
        <v>69</v>
      </c>
      <c r="AC5" s="5" t="s">
        <v>70</v>
      </c>
      <c r="AD5" s="5" t="s">
        <v>71</v>
      </c>
      <c r="AE5" s="5" t="s">
        <v>72</v>
      </c>
      <c r="AF5" s="5" t="s">
        <v>73</v>
      </c>
      <c r="AG5" s="5" t="s">
        <v>74</v>
      </c>
      <c r="AH5" s="5" t="s">
        <v>75</v>
      </c>
      <c r="AI5" s="5" t="s">
        <v>76</v>
      </c>
      <c r="AJ5" s="5" t="s">
        <v>77</v>
      </c>
      <c r="AK5" s="5" t="s">
        <v>78</v>
      </c>
      <c r="AL5" s="5" t="s">
        <v>79</v>
      </c>
      <c r="AM5" s="5" t="s">
        <v>80</v>
      </c>
      <c r="AN5" s="5" t="s">
        <v>81</v>
      </c>
      <c r="AO5" s="5" t="s">
        <v>82</v>
      </c>
      <c r="AP5" s="5" t="s">
        <v>83</v>
      </c>
    </row>
    <row r="6" spans="1:42" x14ac:dyDescent="0.3">
      <c r="A6" s="6" t="s">
        <v>84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x14ac:dyDescent="0.3">
      <c r="A7" s="10" t="s">
        <v>190</v>
      </c>
      <c r="B7" s="10" t="s">
        <v>85</v>
      </c>
      <c r="C7" s="13">
        <f>_xll.BDH("WMT US Equity","CASH_CASH_EQTY_STI_DETAILED","FQ3 2016","FQ3 2016","Currency=USD","Period=FQ","BEST_FPERIOD_OVERRIDE=FQ","FILING_STATUS=MR","SCALING_FORMAT=MLN","Sort=A","Dates=H","DateFormat=P","Fill=—","Direction=H","UseDPDF=Y")</f>
        <v>6990</v>
      </c>
      <c r="D7" s="13">
        <f>_xll.BDH("WMT US Equity","CASH_CASH_EQTY_STI_DETAILED","FQ4 2016","FQ4 2016","Currency=USD","Period=FQ","BEST_FPERIOD_OVERRIDE=FQ","FILING_STATUS=MR","SCALING_FORMAT=MLN","Sort=A","Dates=H","DateFormat=P","Fill=—","Direction=H","UseDPDF=Y")</f>
        <v>8705</v>
      </c>
      <c r="E7" s="13">
        <f>_xll.BDH("WMT US Equity","CASH_CASH_EQTY_STI_DETAILED","FQ1 2017","FQ1 2017","Currency=USD","Period=FQ","BEST_FPERIOD_OVERRIDE=FQ","FILING_STATUS=MR","SCALING_FORMAT=MLN","Sort=A","Dates=H","DateFormat=P","Fill=—","Direction=H","UseDPDF=Y")</f>
        <v>7597</v>
      </c>
      <c r="F7" s="13">
        <f>_xll.BDH("WMT US Equity","CASH_CASH_EQTY_STI_DETAILED","FQ2 2017","FQ2 2017","Currency=USD","Period=FQ","BEST_FPERIOD_OVERRIDE=FQ","FILING_STATUS=MR","SCALING_FORMAT=MLN","Sort=A","Dates=H","DateFormat=P","Fill=—","Direction=H","UseDPDF=Y")</f>
        <v>7676</v>
      </c>
      <c r="G7" s="13">
        <f>_xll.BDH("WMT US Equity","CASH_CASH_EQTY_STI_DETAILED","FQ3 2017","FQ3 2017","Currency=USD","Period=FQ","BEST_FPERIOD_OVERRIDE=FQ","FILING_STATUS=MR","SCALING_FORMAT=MLN","Sort=A","Dates=H","DateFormat=P","Fill=—","Direction=H","UseDPDF=Y")</f>
        <v>5939</v>
      </c>
      <c r="H7" s="13">
        <f>_xll.BDH("WMT US Equity","CASH_CASH_EQTY_STI_DETAILED","FQ4 2017","FQ4 2017","Currency=USD","Period=FQ","BEST_FPERIOD_OVERRIDE=FQ","FILING_STATUS=MR","SCALING_FORMAT=MLN","Sort=A","Dates=H","DateFormat=P","Fill=—","Direction=H","UseDPDF=Y")</f>
        <v>6867</v>
      </c>
      <c r="I7" s="13">
        <f>_xll.BDH("WMT US Equity","CASH_CASH_EQTY_STI_DETAILED","FQ1 2018","FQ1 2018","Currency=USD","Period=FQ","BEST_FPERIOD_OVERRIDE=FQ","FILING_STATUS=MR","SCALING_FORMAT=MLN","Sort=A","Dates=H","DateFormat=P","Fill=—","Direction=H","UseDPDF=Y")</f>
        <v>6545</v>
      </c>
      <c r="J7" s="13">
        <f>_xll.BDH("WMT US Equity","CASH_CASH_EQTY_STI_DETAILED","FQ2 2018","FQ2 2018","Currency=USD","Period=FQ","BEST_FPERIOD_OVERRIDE=FQ","FILING_STATUS=MR","SCALING_FORMAT=MLN","Sort=A","Dates=H","DateFormat=P","Fill=—","Direction=H","UseDPDF=Y")</f>
        <v>6469</v>
      </c>
      <c r="K7" s="13">
        <f>_xll.BDH("WMT US Equity","CASH_CASH_EQTY_STI_DETAILED","FQ3 2018","FQ3 2018","Currency=USD","Period=FQ","BEST_FPERIOD_OVERRIDE=FQ","FILING_STATUS=MR","SCALING_FORMAT=MLN","Sort=A","Dates=H","DateFormat=P","Fill=—","Direction=H","UseDPDF=Y")</f>
        <v>7026</v>
      </c>
      <c r="L7" s="13">
        <f>_xll.BDH("WMT US Equity","CASH_CASH_EQTY_STI_DETAILED","FQ4 2018","FQ4 2018","Currency=USD","Period=FQ","BEST_FPERIOD_OVERRIDE=FQ","FILING_STATUS=MR","SCALING_FORMAT=MLN","Sort=A","Dates=H","DateFormat=P","Fill=—","Direction=H","UseDPDF=Y")</f>
        <v>6756</v>
      </c>
      <c r="M7" s="13">
        <f>_xll.BDH("WMT US Equity","CASH_CASH_EQTY_STI_DETAILED","FQ1 2019","FQ1 2019","Currency=USD","Period=FQ","BEST_FPERIOD_OVERRIDE=FQ","FILING_STATUS=MR","SCALING_FORMAT=MLN","Sort=A","Dates=H","DateFormat=P","Fill=—","Direction=H","UseDPDF=Y")</f>
        <v>7885</v>
      </c>
      <c r="N7" s="13">
        <f>_xll.BDH("WMT US Equity","CASH_CASH_EQTY_STI_DETAILED","FQ2 2019","FQ2 2019","Currency=USD","Period=FQ","BEST_FPERIOD_OVERRIDE=FQ","FILING_STATUS=MR","SCALING_FORMAT=MLN","Sort=A","Dates=H","DateFormat=P","Fill=—","Direction=H","UseDPDF=Y")</f>
        <v>15840</v>
      </c>
      <c r="O7" s="13">
        <f>_xll.BDH("WMT US Equity","CASH_CASH_EQTY_STI_DETAILED","FQ3 2019","FQ3 2019","Currency=USD","Period=FQ","BEST_FPERIOD_OVERRIDE=FQ","FILING_STATUS=MR","SCALING_FORMAT=MLN","Sort=A","Dates=H","DateFormat=P","Fill=—","Direction=H","UseDPDF=Y")</f>
        <v>9174</v>
      </c>
      <c r="P7" s="13">
        <f>_xll.BDH("WMT US Equity","CASH_CASH_EQTY_STI_DETAILED","FQ4 2019","FQ4 2019","Currency=USD","Period=FQ","BEST_FPERIOD_OVERRIDE=FQ","FILING_STATUS=MR","SCALING_FORMAT=MLN","Sort=A","Dates=H","DateFormat=P","Fill=—","Direction=H","UseDPDF=Y")</f>
        <v>7722</v>
      </c>
      <c r="Q7" s="13">
        <f>_xll.BDH("WMT US Equity","CASH_CASH_EQTY_STI_DETAILED","FQ1 2020","FQ1 2020","Currency=USD","Period=FQ","BEST_FPERIOD_OVERRIDE=FQ","FILING_STATUS=MR","SCALING_FORMAT=MLN","Sort=A","Dates=H","DateFormat=P","Fill=—","Direction=H","UseDPDF=Y")</f>
        <v>9255</v>
      </c>
      <c r="R7" s="13">
        <f>_xll.BDH("WMT US Equity","CASH_CASH_EQTY_STI_DETAILED","FQ2 2020","FQ2 2020","Currency=USD","Period=FQ","BEST_FPERIOD_OVERRIDE=FQ","FILING_STATUS=MR","SCALING_FORMAT=MLN","Sort=A","Dates=H","DateFormat=P","Fill=—","Direction=H","UseDPDF=Y")</f>
        <v>9283</v>
      </c>
      <c r="S7" s="13">
        <f>_xll.BDH("WMT US Equity","CASH_CASH_EQTY_STI_DETAILED","FQ3 2020","FQ3 2020","Currency=USD","Period=FQ","BEST_FPERIOD_OVERRIDE=FQ","FILING_STATUS=MR","SCALING_FORMAT=MLN","Sort=A","Dates=H","DateFormat=P","Fill=—","Direction=H","UseDPDF=Y")</f>
        <v>8606</v>
      </c>
      <c r="T7" s="13">
        <f>_xll.BDH("WMT US Equity","CASH_CASH_EQTY_STI_DETAILED","FQ4 2020","FQ4 2020","Currency=USD","Period=FQ","BEST_FPERIOD_OVERRIDE=FQ","FILING_STATUS=MR","SCALING_FORMAT=MLN","Sort=A","Dates=H","DateFormat=P","Fill=—","Direction=H","UseDPDF=Y")</f>
        <v>9465</v>
      </c>
      <c r="U7" s="13">
        <f>_xll.BDH("WMT US Equity","CASH_CASH_EQTY_STI_DETAILED","FQ1 2021","FQ1 2021","Currency=USD","Period=FQ","BEST_FPERIOD_OVERRIDE=FQ","FILING_STATUS=MR","SCALING_FORMAT=MLN","Sort=A","Dates=H","DateFormat=P","Fill=—","Direction=H","UseDPDF=Y")</f>
        <v>14930</v>
      </c>
      <c r="V7" s="13">
        <f>_xll.BDH("WMT US Equity","CASH_CASH_EQTY_STI_DETAILED","FQ2 2021","FQ2 2021","Currency=USD","Period=FQ","BEST_FPERIOD_OVERRIDE=FQ","FILING_STATUS=MR","SCALING_FORMAT=MLN","Sort=A","Dates=H","DateFormat=P","Fill=—","Direction=H","UseDPDF=Y")</f>
        <v>16906</v>
      </c>
      <c r="W7" s="13">
        <f>_xll.BDH("WMT US Equity","CASH_CASH_EQTY_STI_DETAILED","FQ3 2021","FQ3 2021","Currency=USD","Period=FQ","BEST_FPERIOD_OVERRIDE=FQ","FILING_STATUS=MR","SCALING_FORMAT=MLN","Sort=A","Dates=H","DateFormat=P","Fill=—","Direction=H","UseDPDF=Y")</f>
        <v>14325</v>
      </c>
      <c r="X7" s="13">
        <f>_xll.BDH("WMT US Equity","CASH_CASH_EQTY_STI_DETAILED","FQ4 2021","FQ4 2021","Currency=USD","Period=FQ","BEST_FPERIOD_OVERRIDE=FQ","FILING_STATUS=MR","SCALING_FORMAT=MLN","Sort=A","Dates=H","DateFormat=P","Fill=—","Direction=H","UseDPDF=Y")</f>
        <v>17741</v>
      </c>
      <c r="Y7" s="13">
        <f>_xll.BDH("WMT US Equity","CASH_CASH_EQTY_STI_DETAILED","FQ1 2022","FQ1 2022","Currency=USD","Period=FQ","BEST_FPERIOD_OVERRIDE=FQ","FILING_STATUS=MR","SCALING_FORMAT=MLN","Sort=A","Dates=H","DateFormat=P","Fill=—","Direction=H","UseDPDF=Y")</f>
        <v>22846</v>
      </c>
      <c r="Z7" s="13">
        <f>_xll.BDH("WMT US Equity","CASH_CASH_EQTY_STI_DETAILED","FQ2 2022","FQ2 2022","Currency=USD","Period=FQ","BEST_FPERIOD_OVERRIDE=FQ","FILING_STATUS=MR","SCALING_FORMAT=MLN","Sort=A","Dates=H","DateFormat=P","Fill=—","Direction=H","UseDPDF=Y")</f>
        <v>22831</v>
      </c>
      <c r="AA7" s="13">
        <f>_xll.BDH("WMT US Equity","CASH_CASH_EQTY_STI_DETAILED","FQ3 2022","FQ3 2022","Currency=USD","Period=FQ","BEST_FPERIOD_OVERRIDE=FQ","FILING_STATUS=MR","SCALING_FORMAT=MLN","Sort=A","Dates=H","DateFormat=P","Fill=—","Direction=H","UseDPDF=Y")</f>
        <v>16111</v>
      </c>
      <c r="AB7" s="13">
        <f>_xll.BDH("WMT US Equity","CASH_CASH_EQTY_STI_DETAILED","FQ4 2022","FQ4 2022","Currency=USD","Period=FQ","BEST_FPERIOD_OVERRIDE=FQ","FILING_STATUS=MR","SCALING_FORMAT=MLN","Sort=A","Dates=H","DateFormat=P","Fill=—","Direction=H","UseDPDF=Y")</f>
        <v>14760</v>
      </c>
      <c r="AC7" s="13">
        <f>_xll.BDH("WMT US Equity","CASH_CASH_EQTY_STI_DETAILED","FQ1 2023","FQ1 2023","Currency=USD","Period=FQ","BEST_FPERIOD_OVERRIDE=FQ","FILING_STATUS=MR","SCALING_FORMAT=MLN","Sort=A","Dates=H","DateFormat=P","Fill=—","Direction=H","UseDPDF=Y")</f>
        <v>11817</v>
      </c>
      <c r="AD7" s="13">
        <f>_xll.BDH("WMT US Equity","CASH_CASH_EQTY_STI_DETAILED","FQ2 2023","FQ2 2023","Currency=USD","Period=FQ","BEST_FPERIOD_OVERRIDE=FQ","FILING_STATUS=MR","SCALING_FORMAT=MLN","Sort=A","Dates=H","DateFormat=P","Fill=—","Direction=H","UseDPDF=Y")</f>
        <v>13923</v>
      </c>
      <c r="AE7" s="13">
        <f>_xll.BDH("WMT US Equity","CASH_CASH_EQTY_STI_DETAILED","FQ3 2023","FQ3 2023","Currency=USD","Period=FQ","BEST_FPERIOD_OVERRIDE=FQ","FILING_STATUS=MR","SCALING_FORMAT=MLN","Sort=A","Dates=H","DateFormat=P","Fill=—","Direction=H","UseDPDF=Y")</f>
        <v>11587</v>
      </c>
      <c r="AF7" s="13">
        <f>_xll.BDH("WMT US Equity","CASH_CASH_EQTY_STI_DETAILED","FQ4 2023","FQ4 2023","Currency=USD","Period=FQ","BEST_FPERIOD_OVERRIDE=FQ","FILING_STATUS=MR","SCALING_FORMAT=MLN","Sort=A","Dates=H","DateFormat=P","Fill=—","Direction=H","UseDPDF=Y")</f>
        <v>8625</v>
      </c>
      <c r="AG7" s="13">
        <f>_xll.BDH("WMT US Equity","CASH_CASH_EQTY_STI_DETAILED","FQ1 2024","FQ1 2024","Currency=USD","Period=FQ","BEST_FPERIOD_OVERRIDE=FQ","FILING_STATUS=MR","SCALING_FORMAT=MLN","Sort=A","Dates=H","DateFormat=P","Fill=—","Direction=H","UseDPDF=Y")</f>
        <v>10575</v>
      </c>
      <c r="AH7" s="13">
        <f>_xll.BDH("WMT US Equity","CASH_CASH_EQTY_STI_DETAILED","FQ2 2024","FQ2 2024","Currency=USD","Period=FQ","BEST_FPERIOD_OVERRIDE=FQ","FILING_STATUS=MR","SCALING_FORMAT=MLN","Sort=A","Dates=H","DateFormat=P","Fill=—","Direction=H","UseDPDF=Y")</f>
        <v>13888</v>
      </c>
      <c r="AI7" s="13">
        <f>_xll.BDH("WMT US Equity","CASH_CASH_EQTY_STI_DETAILED","FQ3 2024","FQ3 2024","Currency=USD","Period=FQ","BEST_FPERIOD_OVERRIDE=FQ","FILING_STATUS=MR","SCALING_FORMAT=MLN","Sort=A","Dates=H","DateFormat=P","Fill=—","Direction=H","UseDPDF=Y")</f>
        <v>12154</v>
      </c>
      <c r="AJ7" s="13">
        <f>_xll.BDH("WMT US Equity","CASH_CASH_EQTY_STI_DETAILED","FQ4 2024","FQ4 2024","Currency=USD","Period=FQ","BEST_FPERIOD_OVERRIDE=FQ","FILING_STATUS=MR","SCALING_FORMAT=MLN","Sort=A","Dates=H","DateFormat=P","Fill=—","Direction=H","UseDPDF=Y")</f>
        <v>9867</v>
      </c>
      <c r="AK7" s="13">
        <f>_xll.BDH("WMT US Equity","CASH_CASH_EQTY_STI_DETAILED","FQ1 2025","FQ1 2025","Currency=USD","Period=FQ","BEST_FPERIOD_OVERRIDE=FQ","FILING_STATUS=MR","SCALING_FORMAT=MLN","Sort=A","Dates=H","DateFormat=P","Fill=—","Direction=H","UseDPDF=Y")</f>
        <v>9405</v>
      </c>
      <c r="AL7" s="13">
        <f>_xll.BDH("WMT US Equity","CASH_CASH_EQTY_STI_DETAILED","FQ2 2025","FQ2 2025","Currency=USD","Period=FQ","BEST_FPERIOD_OVERRIDE=FQ","FILING_STATUS=MR","SCALING_FORMAT=MLN","Sort=A","Dates=H","DateFormat=P","Fill=—","Direction=H","UseDPDF=Y")</f>
        <v>8811</v>
      </c>
      <c r="AM7" s="13">
        <f>_xll.BDH("WMT US Equity","CASH_CASH_EQTY_STI_DETAILED","FQ3 2025","FQ3 2025","Currency=USD","Period=FQ","BEST_FPERIOD_OVERRIDE=FQ","FILING_STATUS=MR","SCALING_FORMAT=MLN","Sort=A","Dates=H","DateFormat=P","Fill=—","Direction=H","UseDPDF=Y")</f>
        <v>10049</v>
      </c>
      <c r="AN7" s="13">
        <f>_xll.BDH("WMT US Equity","CASH_CASH_EQTY_STI_DETAILED","FQ4 2025","FQ4 2025","Currency=USD","Period=FQ","BEST_FPERIOD_OVERRIDE=FQ","FILING_STATUS=MR","SCALING_FORMAT=MLN","Sort=A","Dates=H","DateFormat=P","Fill=—","Direction=H","UseDPDF=Y")</f>
        <v>9037</v>
      </c>
      <c r="AO7" s="13">
        <f>_xll.BDH("WMT US Equity","CASH_CASH_EQTY_STI_DETAILED","FQ1 2026","FQ1 2026","Currency=USD","Period=FQ","BEST_FPERIOD_OVERRIDE=FQ","FILING_STATUS=MR","SCALING_FORMAT=MLN","Sort=A","Dates=H","DateFormat=P","Fill=—","Direction=H","UseDPDF=Y")</f>
        <v>9311</v>
      </c>
      <c r="AP7" s="13">
        <f>_xll.BDH("WMT US Equity","CASH_CASH_EQTY_STI_DETAILED","FQ2 2026","FQ2 2026","Currency=USD","Period=FQ","BEST_FPERIOD_OVERRIDE=FQ","FILING_STATUS=MR","SCALING_FORMAT=MLN","Sort=A","Dates=H","DateFormat=P","Fill=—","Direction=H","UseDPDF=Y")</f>
        <v>9431</v>
      </c>
    </row>
    <row r="8" spans="1:42" x14ac:dyDescent="0.3">
      <c r="A8" s="10" t="s">
        <v>191</v>
      </c>
      <c r="B8" s="10" t="s">
        <v>86</v>
      </c>
      <c r="C8" s="13">
        <f>_xll.BDH("WMT US Equity","BS_CASH_NEAR_CASH_ITEM","FQ3 2016","FQ3 2016","Currency=USD","Period=FQ","BEST_FPERIOD_OVERRIDE=FQ","FILING_STATUS=MR","SCALING_FORMAT=MLN","Sort=A","Dates=H","DateFormat=P","Fill=—","Direction=H","UseDPDF=Y")</f>
        <v>6990</v>
      </c>
      <c r="D8" s="13">
        <f>_xll.BDH("WMT US Equity","BS_CASH_NEAR_CASH_ITEM","FQ4 2016","FQ4 2016","Currency=USD","Period=FQ","BEST_FPERIOD_OVERRIDE=FQ","FILING_STATUS=MR","SCALING_FORMAT=MLN","Sort=A","Dates=H","DateFormat=P","Fill=—","Direction=H","UseDPDF=Y")</f>
        <v>8705</v>
      </c>
      <c r="E8" s="13">
        <f>_xll.BDH("WMT US Equity","BS_CASH_NEAR_CASH_ITEM","FQ1 2017","FQ1 2017","Currency=USD","Period=FQ","BEST_FPERIOD_OVERRIDE=FQ","FILING_STATUS=MR","SCALING_FORMAT=MLN","Sort=A","Dates=H","DateFormat=P","Fill=—","Direction=H","UseDPDF=Y")</f>
        <v>7597</v>
      </c>
      <c r="F8" s="13">
        <f>_xll.BDH("WMT US Equity","BS_CASH_NEAR_CASH_ITEM","FQ2 2017","FQ2 2017","Currency=USD","Period=FQ","BEST_FPERIOD_OVERRIDE=FQ","FILING_STATUS=MR","SCALING_FORMAT=MLN","Sort=A","Dates=H","DateFormat=P","Fill=—","Direction=H","UseDPDF=Y")</f>
        <v>7676</v>
      </c>
      <c r="G8" s="13">
        <f>_xll.BDH("WMT US Equity","BS_CASH_NEAR_CASH_ITEM","FQ3 2017","FQ3 2017","Currency=USD","Period=FQ","BEST_FPERIOD_OVERRIDE=FQ","FILING_STATUS=MR","SCALING_FORMAT=MLN","Sort=A","Dates=H","DateFormat=P","Fill=—","Direction=H","UseDPDF=Y")</f>
        <v>5939</v>
      </c>
      <c r="H8" s="13">
        <f>_xll.BDH("WMT US Equity","BS_CASH_NEAR_CASH_ITEM","FQ4 2017","FQ4 2017","Currency=USD","Period=FQ","BEST_FPERIOD_OVERRIDE=FQ","FILING_STATUS=MR","SCALING_FORMAT=MLN","Sort=A","Dates=H","DateFormat=P","Fill=—","Direction=H","UseDPDF=Y")</f>
        <v>6867</v>
      </c>
      <c r="I8" s="13">
        <f>_xll.BDH("WMT US Equity","BS_CASH_NEAR_CASH_ITEM","FQ1 2018","FQ1 2018","Currency=USD","Period=FQ","BEST_FPERIOD_OVERRIDE=FQ","FILING_STATUS=MR","SCALING_FORMAT=MLN","Sort=A","Dates=H","DateFormat=P","Fill=—","Direction=H","UseDPDF=Y")</f>
        <v>6545</v>
      </c>
      <c r="J8" s="13">
        <f>_xll.BDH("WMT US Equity","BS_CASH_NEAR_CASH_ITEM","FQ2 2018","FQ2 2018","Currency=USD","Period=FQ","BEST_FPERIOD_OVERRIDE=FQ","FILING_STATUS=MR","SCALING_FORMAT=MLN","Sort=A","Dates=H","DateFormat=P","Fill=—","Direction=H","UseDPDF=Y")</f>
        <v>6469</v>
      </c>
      <c r="K8" s="13">
        <f>_xll.BDH("WMT US Equity","BS_CASH_NEAR_CASH_ITEM","FQ3 2018","FQ3 2018","Currency=USD","Period=FQ","BEST_FPERIOD_OVERRIDE=FQ","FILING_STATUS=MR","SCALING_FORMAT=MLN","Sort=A","Dates=H","DateFormat=P","Fill=—","Direction=H","UseDPDF=Y")</f>
        <v>7026</v>
      </c>
      <c r="L8" s="13">
        <f>_xll.BDH("WMT US Equity","BS_CASH_NEAR_CASH_ITEM","FQ4 2018","FQ4 2018","Currency=USD","Period=FQ","BEST_FPERIOD_OVERRIDE=FQ","FILING_STATUS=MR","SCALING_FORMAT=MLN","Sort=A","Dates=H","DateFormat=P","Fill=—","Direction=H","UseDPDF=Y")</f>
        <v>6756</v>
      </c>
      <c r="M8" s="13">
        <f>_xll.BDH("WMT US Equity","BS_CASH_NEAR_CASH_ITEM","FQ1 2019","FQ1 2019","Currency=USD","Period=FQ","BEST_FPERIOD_OVERRIDE=FQ","FILING_STATUS=MR","SCALING_FORMAT=MLN","Sort=A","Dates=H","DateFormat=P","Fill=—","Direction=H","UseDPDF=Y")</f>
        <v>7885</v>
      </c>
      <c r="N8" s="13">
        <f>_xll.BDH("WMT US Equity","BS_CASH_NEAR_CASH_ITEM","FQ2 2019","FQ2 2019","Currency=USD","Period=FQ","BEST_FPERIOD_OVERRIDE=FQ","FILING_STATUS=MR","SCALING_FORMAT=MLN","Sort=A","Dates=H","DateFormat=P","Fill=—","Direction=H","UseDPDF=Y")</f>
        <v>15840</v>
      </c>
      <c r="O8" s="13">
        <f>_xll.BDH("WMT US Equity","BS_CASH_NEAR_CASH_ITEM","FQ3 2019","FQ3 2019","Currency=USD","Period=FQ","BEST_FPERIOD_OVERRIDE=FQ","FILING_STATUS=MR","SCALING_FORMAT=MLN","Sort=A","Dates=H","DateFormat=P","Fill=—","Direction=H","UseDPDF=Y")</f>
        <v>9174</v>
      </c>
      <c r="P8" s="13">
        <f>_xll.BDH("WMT US Equity","BS_CASH_NEAR_CASH_ITEM","FQ4 2019","FQ4 2019","Currency=USD","Period=FQ","BEST_FPERIOD_OVERRIDE=FQ","FILING_STATUS=MR","SCALING_FORMAT=MLN","Sort=A","Dates=H","DateFormat=P","Fill=—","Direction=H","UseDPDF=Y")</f>
        <v>7722</v>
      </c>
      <c r="Q8" s="13">
        <f>_xll.BDH("WMT US Equity","BS_CASH_NEAR_CASH_ITEM","FQ1 2020","FQ1 2020","Currency=USD","Period=FQ","BEST_FPERIOD_OVERRIDE=FQ","FILING_STATUS=MR","SCALING_FORMAT=MLN","Sort=A","Dates=H","DateFormat=P","Fill=—","Direction=H","UseDPDF=Y")</f>
        <v>9255</v>
      </c>
      <c r="R8" s="13">
        <f>_xll.BDH("WMT US Equity","BS_CASH_NEAR_CASH_ITEM","FQ2 2020","FQ2 2020","Currency=USD","Period=FQ","BEST_FPERIOD_OVERRIDE=FQ","FILING_STATUS=MR","SCALING_FORMAT=MLN","Sort=A","Dates=H","DateFormat=P","Fill=—","Direction=H","UseDPDF=Y")</f>
        <v>9283</v>
      </c>
      <c r="S8" s="13">
        <f>_xll.BDH("WMT US Equity","BS_CASH_NEAR_CASH_ITEM","FQ3 2020","FQ3 2020","Currency=USD","Period=FQ","BEST_FPERIOD_OVERRIDE=FQ","FILING_STATUS=MR","SCALING_FORMAT=MLN","Sort=A","Dates=H","DateFormat=P","Fill=—","Direction=H","UseDPDF=Y")</f>
        <v>8606</v>
      </c>
      <c r="T8" s="13">
        <f>_xll.BDH("WMT US Equity","BS_CASH_NEAR_CASH_ITEM","FQ4 2020","FQ4 2020","Currency=USD","Period=FQ","BEST_FPERIOD_OVERRIDE=FQ","FILING_STATUS=MR","SCALING_FORMAT=MLN","Sort=A","Dates=H","DateFormat=P","Fill=—","Direction=H","UseDPDF=Y")</f>
        <v>9465</v>
      </c>
      <c r="U8" s="13">
        <f>_xll.BDH("WMT US Equity","BS_CASH_NEAR_CASH_ITEM","FQ1 2021","FQ1 2021","Currency=USD","Period=FQ","BEST_FPERIOD_OVERRIDE=FQ","FILING_STATUS=MR","SCALING_FORMAT=MLN","Sort=A","Dates=H","DateFormat=P","Fill=—","Direction=H","UseDPDF=Y")</f>
        <v>14930</v>
      </c>
      <c r="V8" s="13">
        <f>_xll.BDH("WMT US Equity","BS_CASH_NEAR_CASH_ITEM","FQ2 2021","FQ2 2021","Currency=USD","Period=FQ","BEST_FPERIOD_OVERRIDE=FQ","FILING_STATUS=MR","SCALING_FORMAT=MLN","Sort=A","Dates=H","DateFormat=P","Fill=—","Direction=H","UseDPDF=Y")</f>
        <v>16906</v>
      </c>
      <c r="W8" s="13">
        <f>_xll.BDH("WMT US Equity","BS_CASH_NEAR_CASH_ITEM","FQ3 2021","FQ3 2021","Currency=USD","Period=FQ","BEST_FPERIOD_OVERRIDE=FQ","FILING_STATUS=MR","SCALING_FORMAT=MLN","Sort=A","Dates=H","DateFormat=P","Fill=—","Direction=H","UseDPDF=Y")</f>
        <v>14325</v>
      </c>
      <c r="X8" s="13">
        <f>_xll.BDH("WMT US Equity","BS_CASH_NEAR_CASH_ITEM","FQ4 2021","FQ4 2021","Currency=USD","Period=FQ","BEST_FPERIOD_OVERRIDE=FQ","FILING_STATUS=MR","SCALING_FORMAT=MLN","Sort=A","Dates=H","DateFormat=P","Fill=—","Direction=H","UseDPDF=Y")</f>
        <v>17741</v>
      </c>
      <c r="Y8" s="13">
        <f>_xll.BDH("WMT US Equity","BS_CASH_NEAR_CASH_ITEM","FQ1 2022","FQ1 2022","Currency=USD","Period=FQ","BEST_FPERIOD_OVERRIDE=FQ","FILING_STATUS=MR","SCALING_FORMAT=MLN","Sort=A","Dates=H","DateFormat=P","Fill=—","Direction=H","UseDPDF=Y")</f>
        <v>22846</v>
      </c>
      <c r="Z8" s="13">
        <f>_xll.BDH("WMT US Equity","BS_CASH_NEAR_CASH_ITEM","FQ2 2022","FQ2 2022","Currency=USD","Period=FQ","BEST_FPERIOD_OVERRIDE=FQ","FILING_STATUS=MR","SCALING_FORMAT=MLN","Sort=A","Dates=H","DateFormat=P","Fill=—","Direction=H","UseDPDF=Y")</f>
        <v>22831</v>
      </c>
      <c r="AA8" s="13">
        <f>_xll.BDH("WMT US Equity","BS_CASH_NEAR_CASH_ITEM","FQ3 2022","FQ3 2022","Currency=USD","Period=FQ","BEST_FPERIOD_OVERRIDE=FQ","FILING_STATUS=MR","SCALING_FORMAT=MLN","Sort=A","Dates=H","DateFormat=P","Fill=—","Direction=H","UseDPDF=Y")</f>
        <v>16111</v>
      </c>
      <c r="AB8" s="13">
        <f>_xll.BDH("WMT US Equity","BS_CASH_NEAR_CASH_ITEM","FQ4 2022","FQ4 2022","Currency=USD","Period=FQ","BEST_FPERIOD_OVERRIDE=FQ","FILING_STATUS=MR","SCALING_FORMAT=MLN","Sort=A","Dates=H","DateFormat=P","Fill=—","Direction=H","UseDPDF=Y")</f>
        <v>14760</v>
      </c>
      <c r="AC8" s="13">
        <f>_xll.BDH("WMT US Equity","BS_CASH_NEAR_CASH_ITEM","FQ1 2023","FQ1 2023","Currency=USD","Period=FQ","BEST_FPERIOD_OVERRIDE=FQ","FILING_STATUS=MR","SCALING_FORMAT=MLN","Sort=A","Dates=H","DateFormat=P","Fill=—","Direction=H","UseDPDF=Y")</f>
        <v>11817</v>
      </c>
      <c r="AD8" s="13">
        <f>_xll.BDH("WMT US Equity","BS_CASH_NEAR_CASH_ITEM","FQ2 2023","FQ2 2023","Currency=USD","Period=FQ","BEST_FPERIOD_OVERRIDE=FQ","FILING_STATUS=MR","SCALING_FORMAT=MLN","Sort=A","Dates=H","DateFormat=P","Fill=—","Direction=H","UseDPDF=Y")</f>
        <v>13923</v>
      </c>
      <c r="AE8" s="13">
        <f>_xll.BDH("WMT US Equity","BS_CASH_NEAR_CASH_ITEM","FQ3 2023","FQ3 2023","Currency=USD","Period=FQ","BEST_FPERIOD_OVERRIDE=FQ","FILING_STATUS=MR","SCALING_FORMAT=MLN","Sort=A","Dates=H","DateFormat=P","Fill=—","Direction=H","UseDPDF=Y")</f>
        <v>11587</v>
      </c>
      <c r="AF8" s="13">
        <f>_xll.BDH("WMT US Equity","BS_CASH_NEAR_CASH_ITEM","FQ4 2023","FQ4 2023","Currency=USD","Period=FQ","BEST_FPERIOD_OVERRIDE=FQ","FILING_STATUS=MR","SCALING_FORMAT=MLN","Sort=A","Dates=H","DateFormat=P","Fill=—","Direction=H","UseDPDF=Y")</f>
        <v>8625</v>
      </c>
      <c r="AG8" s="13">
        <f>_xll.BDH("WMT US Equity","BS_CASH_NEAR_CASH_ITEM","FQ1 2024","FQ1 2024","Currency=USD","Period=FQ","BEST_FPERIOD_OVERRIDE=FQ","FILING_STATUS=MR","SCALING_FORMAT=MLN","Sort=A","Dates=H","DateFormat=P","Fill=—","Direction=H","UseDPDF=Y")</f>
        <v>10575</v>
      </c>
      <c r="AH8" s="13">
        <f>_xll.BDH("WMT US Equity","BS_CASH_NEAR_CASH_ITEM","FQ2 2024","FQ2 2024","Currency=USD","Period=FQ","BEST_FPERIOD_OVERRIDE=FQ","FILING_STATUS=MR","SCALING_FORMAT=MLN","Sort=A","Dates=H","DateFormat=P","Fill=—","Direction=H","UseDPDF=Y")</f>
        <v>13888</v>
      </c>
      <c r="AI8" s="13">
        <f>_xll.BDH("WMT US Equity","BS_CASH_NEAR_CASH_ITEM","FQ3 2024","FQ3 2024","Currency=USD","Period=FQ","BEST_FPERIOD_OVERRIDE=FQ","FILING_STATUS=MR","SCALING_FORMAT=MLN","Sort=A","Dates=H","DateFormat=P","Fill=—","Direction=H","UseDPDF=Y")</f>
        <v>12154</v>
      </c>
      <c r="AJ8" s="13">
        <f>_xll.BDH("WMT US Equity","BS_CASH_NEAR_CASH_ITEM","FQ4 2024","FQ4 2024","Currency=USD","Period=FQ","BEST_FPERIOD_OVERRIDE=FQ","FILING_STATUS=MR","SCALING_FORMAT=MLN","Sort=A","Dates=H","DateFormat=P","Fill=—","Direction=H","UseDPDF=Y")</f>
        <v>9867</v>
      </c>
      <c r="AK8" s="13">
        <f>_xll.BDH("WMT US Equity","BS_CASH_NEAR_CASH_ITEM","FQ1 2025","FQ1 2025","Currency=USD","Period=FQ","BEST_FPERIOD_OVERRIDE=FQ","FILING_STATUS=MR","SCALING_FORMAT=MLN","Sort=A","Dates=H","DateFormat=P","Fill=—","Direction=H","UseDPDF=Y")</f>
        <v>9405</v>
      </c>
      <c r="AL8" s="13">
        <f>_xll.BDH("WMT US Equity","BS_CASH_NEAR_CASH_ITEM","FQ2 2025","FQ2 2025","Currency=USD","Period=FQ","BEST_FPERIOD_OVERRIDE=FQ","FILING_STATUS=MR","SCALING_FORMAT=MLN","Sort=A","Dates=H","DateFormat=P","Fill=—","Direction=H","UseDPDF=Y")</f>
        <v>8811</v>
      </c>
      <c r="AM8" s="13">
        <f>_xll.BDH("WMT US Equity","BS_CASH_NEAR_CASH_ITEM","FQ3 2025","FQ3 2025","Currency=USD","Period=FQ","BEST_FPERIOD_OVERRIDE=FQ","FILING_STATUS=MR","SCALING_FORMAT=MLN","Sort=A","Dates=H","DateFormat=P","Fill=—","Direction=H","UseDPDF=Y")</f>
        <v>10049</v>
      </c>
      <c r="AN8" s="13">
        <f>_xll.BDH("WMT US Equity","BS_CASH_NEAR_CASH_ITEM","FQ4 2025","FQ4 2025","Currency=USD","Period=FQ","BEST_FPERIOD_OVERRIDE=FQ","FILING_STATUS=MR","SCALING_FORMAT=MLN","Sort=A","Dates=H","DateFormat=P","Fill=—","Direction=H","UseDPDF=Y")</f>
        <v>9037</v>
      </c>
      <c r="AO8" s="13">
        <f>_xll.BDH("WMT US Equity","BS_CASH_NEAR_CASH_ITEM","FQ1 2026","FQ1 2026","Currency=USD","Period=FQ","BEST_FPERIOD_OVERRIDE=FQ","FILING_STATUS=MR","SCALING_FORMAT=MLN","Sort=A","Dates=H","DateFormat=P","Fill=—","Direction=H","UseDPDF=Y")</f>
        <v>9311</v>
      </c>
      <c r="AP8" s="13">
        <f>_xll.BDH("WMT US Equity","BS_CASH_NEAR_CASH_ITEM","FQ2 2026","FQ2 2026","Currency=USD","Period=FQ","BEST_FPERIOD_OVERRIDE=FQ","FILING_STATUS=MR","SCALING_FORMAT=MLN","Sort=A","Dates=H","DateFormat=P","Fill=—","Direction=H","UseDPDF=Y")</f>
        <v>9431</v>
      </c>
    </row>
    <row r="9" spans="1:42" x14ac:dyDescent="0.3">
      <c r="A9" s="10" t="s">
        <v>192</v>
      </c>
      <c r="B9" s="10" t="s">
        <v>87</v>
      </c>
      <c r="C9" s="13">
        <f>_xll.BDH("WMT US Equity","BS_MKT_SEC_OTHER_ST_INVEST","FQ3 2016","FQ3 2016","Currency=USD","Period=FQ","BEST_FPERIOD_OVERRIDE=FQ","FILING_STATUS=MR","SCALING_FORMAT=MLN","Sort=A","Dates=H","DateFormat=P","Fill=—","Direction=H","UseDPDF=Y")</f>
        <v>0</v>
      </c>
      <c r="D9" s="13">
        <f>_xll.BDH("WMT US Equity","BS_MKT_SEC_OTHER_ST_INVEST","FQ4 2016","FQ4 2016","Currency=USD","Period=FQ","BEST_FPERIOD_OVERRIDE=FQ","FILING_STATUS=MR","SCALING_FORMAT=MLN","Sort=A","Dates=H","DateFormat=P","Fill=—","Direction=H","UseDPDF=Y")</f>
        <v>0</v>
      </c>
      <c r="E9" s="13">
        <f>_xll.BDH("WMT US Equity","BS_MKT_SEC_OTHER_ST_INVEST","FQ1 2017","FQ1 2017","Currency=USD","Period=FQ","BEST_FPERIOD_OVERRIDE=FQ","FILING_STATUS=MR","SCALING_FORMAT=MLN","Sort=A","Dates=H","DateFormat=P","Fill=—","Direction=H","UseDPDF=Y")</f>
        <v>0</v>
      </c>
      <c r="F9" s="13">
        <f>_xll.BDH("WMT US Equity","BS_MKT_SEC_OTHER_ST_INVEST","FQ2 2017","FQ2 2017","Currency=USD","Period=FQ","BEST_FPERIOD_OVERRIDE=FQ","FILING_STATUS=MR","SCALING_FORMAT=MLN","Sort=A","Dates=H","DateFormat=P","Fill=—","Direction=H","UseDPDF=Y")</f>
        <v>0</v>
      </c>
      <c r="G9" s="13">
        <f>_xll.BDH("WMT US Equity","BS_MKT_SEC_OTHER_ST_INVEST","FQ3 2017","FQ3 2017","Currency=USD","Period=FQ","BEST_FPERIOD_OVERRIDE=FQ","FILING_STATUS=MR","SCALING_FORMAT=MLN","Sort=A","Dates=H","DateFormat=P","Fill=—","Direction=H","UseDPDF=Y")</f>
        <v>0</v>
      </c>
      <c r="H9" s="13">
        <f>_xll.BDH("WMT US Equity","BS_MKT_SEC_OTHER_ST_INVEST","FQ4 2017","FQ4 2017","Currency=USD","Period=FQ","BEST_FPERIOD_OVERRIDE=FQ","FILING_STATUS=MR","SCALING_FORMAT=MLN","Sort=A","Dates=H","DateFormat=P","Fill=—","Direction=H","UseDPDF=Y")</f>
        <v>0</v>
      </c>
      <c r="I9" s="13">
        <f>_xll.BDH("WMT US Equity","BS_MKT_SEC_OTHER_ST_INVEST","FQ1 2018","FQ1 2018","Currency=USD","Period=FQ","BEST_FPERIOD_OVERRIDE=FQ","FILING_STATUS=MR","SCALING_FORMAT=MLN","Sort=A","Dates=H","DateFormat=P","Fill=—","Direction=H","UseDPDF=Y")</f>
        <v>0</v>
      </c>
      <c r="J9" s="13">
        <f>_xll.BDH("WMT US Equity","BS_MKT_SEC_OTHER_ST_INVEST","FQ2 2018","FQ2 2018","Currency=USD","Period=FQ","BEST_FPERIOD_OVERRIDE=FQ","FILING_STATUS=MR","SCALING_FORMAT=MLN","Sort=A","Dates=H","DateFormat=P","Fill=—","Direction=H","UseDPDF=Y")</f>
        <v>0</v>
      </c>
      <c r="K9" s="13">
        <f>_xll.BDH("WMT US Equity","BS_MKT_SEC_OTHER_ST_INVEST","FQ3 2018","FQ3 2018","Currency=USD","Period=FQ","BEST_FPERIOD_OVERRIDE=FQ","FILING_STATUS=MR","SCALING_FORMAT=MLN","Sort=A","Dates=H","DateFormat=P","Fill=—","Direction=H","UseDPDF=Y")</f>
        <v>0</v>
      </c>
      <c r="L9" s="13">
        <f>_xll.BDH("WMT US Equity","BS_MKT_SEC_OTHER_ST_INVEST","FQ4 2018","FQ4 2018","Currency=USD","Period=FQ","BEST_FPERIOD_OVERRIDE=FQ","FILING_STATUS=MR","SCALING_FORMAT=MLN","Sort=A","Dates=H","DateFormat=P","Fill=—","Direction=H","UseDPDF=Y")</f>
        <v>0</v>
      </c>
      <c r="M9" s="13">
        <f>_xll.BDH("WMT US Equity","BS_MKT_SEC_OTHER_ST_INVEST","FQ1 2019","FQ1 2019","Currency=USD","Period=FQ","BEST_FPERIOD_OVERRIDE=FQ","FILING_STATUS=MR","SCALING_FORMAT=MLN","Sort=A","Dates=H","DateFormat=P","Fill=—","Direction=H","UseDPDF=Y")</f>
        <v>0</v>
      </c>
      <c r="N9" s="13">
        <f>_xll.BDH("WMT US Equity","BS_MKT_SEC_OTHER_ST_INVEST","FQ2 2019","FQ2 2019","Currency=USD","Period=FQ","BEST_FPERIOD_OVERRIDE=FQ","FILING_STATUS=MR","SCALING_FORMAT=MLN","Sort=A","Dates=H","DateFormat=P","Fill=—","Direction=H","UseDPDF=Y")</f>
        <v>0</v>
      </c>
      <c r="O9" s="13">
        <f>_xll.BDH("WMT US Equity","BS_MKT_SEC_OTHER_ST_INVEST","FQ3 2019","FQ3 2019","Currency=USD","Period=FQ","BEST_FPERIOD_OVERRIDE=FQ","FILING_STATUS=MR","SCALING_FORMAT=MLN","Sort=A","Dates=H","DateFormat=P","Fill=—","Direction=H","UseDPDF=Y")</f>
        <v>0</v>
      </c>
      <c r="P9" s="13">
        <f>_xll.BDH("WMT US Equity","BS_MKT_SEC_OTHER_ST_INVEST","FQ4 2019","FQ4 2019","Currency=USD","Period=FQ","BEST_FPERIOD_OVERRIDE=FQ","FILING_STATUS=MR","SCALING_FORMAT=MLN","Sort=A","Dates=H","DateFormat=P","Fill=—","Direction=H","UseDPDF=Y")</f>
        <v>0</v>
      </c>
      <c r="Q9" s="13">
        <f>_xll.BDH("WMT US Equity","BS_MKT_SEC_OTHER_ST_INVEST","FQ1 2020","FQ1 2020","Currency=USD","Period=FQ","BEST_FPERIOD_OVERRIDE=FQ","FILING_STATUS=MR","SCALING_FORMAT=MLN","Sort=A","Dates=H","DateFormat=P","Fill=—","Direction=H","UseDPDF=Y")</f>
        <v>0</v>
      </c>
      <c r="R9" s="13">
        <f>_xll.BDH("WMT US Equity","BS_MKT_SEC_OTHER_ST_INVEST","FQ2 2020","FQ2 2020","Currency=USD","Period=FQ","BEST_FPERIOD_OVERRIDE=FQ","FILING_STATUS=MR","SCALING_FORMAT=MLN","Sort=A","Dates=H","DateFormat=P","Fill=—","Direction=H","UseDPDF=Y")</f>
        <v>0</v>
      </c>
      <c r="S9" s="13">
        <f>_xll.BDH("WMT US Equity","BS_MKT_SEC_OTHER_ST_INVEST","FQ3 2020","FQ3 2020","Currency=USD","Period=FQ","BEST_FPERIOD_OVERRIDE=FQ","FILING_STATUS=MR","SCALING_FORMAT=MLN","Sort=A","Dates=H","DateFormat=P","Fill=—","Direction=H","UseDPDF=Y")</f>
        <v>0</v>
      </c>
      <c r="T9" s="13">
        <f>_xll.BDH("WMT US Equity","BS_MKT_SEC_OTHER_ST_INVEST","FQ4 2020","FQ4 2020","Currency=USD","Period=FQ","BEST_FPERIOD_OVERRIDE=FQ","FILING_STATUS=MR","SCALING_FORMAT=MLN","Sort=A","Dates=H","DateFormat=P","Fill=—","Direction=H","UseDPDF=Y")</f>
        <v>0</v>
      </c>
      <c r="U9" s="13">
        <f>_xll.BDH("WMT US Equity","BS_MKT_SEC_OTHER_ST_INVEST","FQ1 2021","FQ1 2021","Currency=USD","Period=FQ","BEST_FPERIOD_OVERRIDE=FQ","FILING_STATUS=MR","SCALING_FORMAT=MLN","Sort=A","Dates=H","DateFormat=P","Fill=—","Direction=H","UseDPDF=Y")</f>
        <v>0</v>
      </c>
      <c r="V9" s="13">
        <f>_xll.BDH("WMT US Equity","BS_MKT_SEC_OTHER_ST_INVEST","FQ2 2021","FQ2 2021","Currency=USD","Period=FQ","BEST_FPERIOD_OVERRIDE=FQ","FILING_STATUS=MR","SCALING_FORMAT=MLN","Sort=A","Dates=H","DateFormat=P","Fill=—","Direction=H","UseDPDF=Y")</f>
        <v>0</v>
      </c>
      <c r="W9" s="13">
        <f>_xll.BDH("WMT US Equity","BS_MKT_SEC_OTHER_ST_INVEST","FQ3 2021","FQ3 2021","Currency=USD","Period=FQ","BEST_FPERIOD_OVERRIDE=FQ","FILING_STATUS=MR","SCALING_FORMAT=MLN","Sort=A","Dates=H","DateFormat=P","Fill=—","Direction=H","UseDPDF=Y")</f>
        <v>0</v>
      </c>
      <c r="X9" s="13">
        <f>_xll.BDH("WMT US Equity","BS_MKT_SEC_OTHER_ST_INVEST","FQ4 2021","FQ4 2021","Currency=USD","Period=FQ","BEST_FPERIOD_OVERRIDE=FQ","FILING_STATUS=MR","SCALING_FORMAT=MLN","Sort=A","Dates=H","DateFormat=P","Fill=—","Direction=H","UseDPDF=Y")</f>
        <v>0</v>
      </c>
      <c r="Y9" s="13">
        <f>_xll.BDH("WMT US Equity","BS_MKT_SEC_OTHER_ST_INVEST","FQ1 2022","FQ1 2022","Currency=USD","Period=FQ","BEST_FPERIOD_OVERRIDE=FQ","FILING_STATUS=MR","SCALING_FORMAT=MLN","Sort=A","Dates=H","DateFormat=P","Fill=—","Direction=H","UseDPDF=Y")</f>
        <v>0</v>
      </c>
      <c r="Z9" s="13">
        <f>_xll.BDH("WMT US Equity","BS_MKT_SEC_OTHER_ST_INVEST","FQ2 2022","FQ2 2022","Currency=USD","Period=FQ","BEST_FPERIOD_OVERRIDE=FQ","FILING_STATUS=MR","SCALING_FORMAT=MLN","Sort=A","Dates=H","DateFormat=P","Fill=—","Direction=H","UseDPDF=Y")</f>
        <v>0</v>
      </c>
      <c r="AA9" s="13">
        <f>_xll.BDH("WMT US Equity","BS_MKT_SEC_OTHER_ST_INVEST","FQ3 2022","FQ3 2022","Currency=USD","Period=FQ","BEST_FPERIOD_OVERRIDE=FQ","FILING_STATUS=MR","SCALING_FORMAT=MLN","Sort=A","Dates=H","DateFormat=P","Fill=—","Direction=H","UseDPDF=Y")</f>
        <v>0</v>
      </c>
      <c r="AB9" s="13">
        <f>_xll.BDH("WMT US Equity","BS_MKT_SEC_OTHER_ST_INVEST","FQ4 2022","FQ4 2022","Currency=USD","Period=FQ","BEST_FPERIOD_OVERRIDE=FQ","FILING_STATUS=MR","SCALING_FORMAT=MLN","Sort=A","Dates=H","DateFormat=P","Fill=—","Direction=H","UseDPDF=Y")</f>
        <v>0</v>
      </c>
      <c r="AC9" s="13">
        <f>_xll.BDH("WMT US Equity","BS_MKT_SEC_OTHER_ST_INVEST","FQ1 2023","FQ1 2023","Currency=USD","Period=FQ","BEST_FPERIOD_OVERRIDE=FQ","FILING_STATUS=MR","SCALING_FORMAT=MLN","Sort=A","Dates=H","DateFormat=P","Fill=—","Direction=H","UseDPDF=Y")</f>
        <v>0</v>
      </c>
      <c r="AD9" s="13">
        <f>_xll.BDH("WMT US Equity","BS_MKT_SEC_OTHER_ST_INVEST","FQ2 2023","FQ2 2023","Currency=USD","Period=FQ","BEST_FPERIOD_OVERRIDE=FQ","FILING_STATUS=MR","SCALING_FORMAT=MLN","Sort=A","Dates=H","DateFormat=P","Fill=—","Direction=H","UseDPDF=Y")</f>
        <v>0</v>
      </c>
      <c r="AE9" s="13">
        <f>_xll.BDH("WMT US Equity","BS_MKT_SEC_OTHER_ST_INVEST","FQ3 2023","FQ3 2023","Currency=USD","Period=FQ","BEST_FPERIOD_OVERRIDE=FQ","FILING_STATUS=MR","SCALING_FORMAT=MLN","Sort=A","Dates=H","DateFormat=P","Fill=—","Direction=H","UseDPDF=Y")</f>
        <v>0</v>
      </c>
      <c r="AF9" s="13">
        <f>_xll.BDH("WMT US Equity","BS_MKT_SEC_OTHER_ST_INVEST","FQ4 2023","FQ4 2023","Currency=USD","Period=FQ","BEST_FPERIOD_OVERRIDE=FQ","FILING_STATUS=MR","SCALING_FORMAT=MLN","Sort=A","Dates=H","DateFormat=P","Fill=—","Direction=H","UseDPDF=Y")</f>
        <v>0</v>
      </c>
      <c r="AG9" s="13">
        <f>_xll.BDH("WMT US Equity","BS_MKT_SEC_OTHER_ST_INVEST","FQ1 2024","FQ1 2024","Currency=USD","Period=FQ","BEST_FPERIOD_OVERRIDE=FQ","FILING_STATUS=MR","SCALING_FORMAT=MLN","Sort=A","Dates=H","DateFormat=P","Fill=—","Direction=H","UseDPDF=Y")</f>
        <v>0</v>
      </c>
      <c r="AH9" s="13">
        <f>_xll.BDH("WMT US Equity","BS_MKT_SEC_OTHER_ST_INVEST","FQ2 2024","FQ2 2024","Currency=USD","Period=FQ","BEST_FPERIOD_OVERRIDE=FQ","FILING_STATUS=MR","SCALING_FORMAT=MLN","Sort=A","Dates=H","DateFormat=P","Fill=—","Direction=H","UseDPDF=Y")</f>
        <v>0</v>
      </c>
      <c r="AI9" s="13">
        <f>_xll.BDH("WMT US Equity","BS_MKT_SEC_OTHER_ST_INVEST","FQ3 2024","FQ3 2024","Currency=USD","Period=FQ","BEST_FPERIOD_OVERRIDE=FQ","FILING_STATUS=MR","SCALING_FORMAT=MLN","Sort=A","Dates=H","DateFormat=P","Fill=—","Direction=H","UseDPDF=Y")</f>
        <v>0</v>
      </c>
      <c r="AJ9" s="13">
        <f>_xll.BDH("WMT US Equity","BS_MKT_SEC_OTHER_ST_INVEST","FQ4 2024","FQ4 2024","Currency=USD","Period=FQ","BEST_FPERIOD_OVERRIDE=FQ","FILING_STATUS=MR","SCALING_FORMAT=MLN","Sort=A","Dates=H","DateFormat=P","Fill=—","Direction=H","UseDPDF=Y")</f>
        <v>0</v>
      </c>
      <c r="AK9" s="13">
        <f>_xll.BDH("WMT US Equity","BS_MKT_SEC_OTHER_ST_INVEST","FQ1 2025","FQ1 2025","Currency=USD","Period=FQ","BEST_FPERIOD_OVERRIDE=FQ","FILING_STATUS=MR","SCALING_FORMAT=MLN","Sort=A","Dates=H","DateFormat=P","Fill=—","Direction=H","UseDPDF=Y")</f>
        <v>0</v>
      </c>
      <c r="AL9" s="13">
        <f>_xll.BDH("WMT US Equity","BS_MKT_SEC_OTHER_ST_INVEST","FQ2 2025","FQ2 2025","Currency=USD","Period=FQ","BEST_FPERIOD_OVERRIDE=FQ","FILING_STATUS=MR","SCALING_FORMAT=MLN","Sort=A","Dates=H","DateFormat=P","Fill=—","Direction=H","UseDPDF=Y")</f>
        <v>0</v>
      </c>
      <c r="AM9" s="13">
        <f>_xll.BDH("WMT US Equity","BS_MKT_SEC_OTHER_ST_INVEST","FQ3 2025","FQ3 2025","Currency=USD","Period=FQ","BEST_FPERIOD_OVERRIDE=FQ","FILING_STATUS=MR","SCALING_FORMAT=MLN","Sort=A","Dates=H","DateFormat=P","Fill=—","Direction=H","UseDPDF=Y")</f>
        <v>0</v>
      </c>
      <c r="AN9" s="13">
        <f>_xll.BDH("WMT US Equity","BS_MKT_SEC_OTHER_ST_INVEST","FQ4 2025","FQ4 2025","Currency=USD","Period=FQ","BEST_FPERIOD_OVERRIDE=FQ","FILING_STATUS=MR","SCALING_FORMAT=MLN","Sort=A","Dates=H","DateFormat=P","Fill=—","Direction=H","UseDPDF=Y")</f>
        <v>0</v>
      </c>
      <c r="AO9" s="13">
        <f>_xll.BDH("WMT US Equity","BS_MKT_SEC_OTHER_ST_INVEST","FQ1 2026","FQ1 2026","Currency=USD","Period=FQ","BEST_FPERIOD_OVERRIDE=FQ","FILING_STATUS=MR","SCALING_FORMAT=MLN","Sort=A","Dates=H","DateFormat=P","Fill=—","Direction=H","UseDPDF=Y")</f>
        <v>0</v>
      </c>
      <c r="AP9" s="13">
        <f>_xll.BDH("WMT US Equity","BS_MKT_SEC_OTHER_ST_INVEST","FQ2 2026","FQ2 2026","Currency=USD","Period=FQ","BEST_FPERIOD_OVERRIDE=FQ","FILING_STATUS=MR","SCALING_FORMAT=MLN","Sort=A","Dates=H","DateFormat=P","Fill=—","Direction=H","UseDPDF=Y")</f>
        <v>0</v>
      </c>
    </row>
    <row r="10" spans="1:42" x14ac:dyDescent="0.3">
      <c r="A10" s="10" t="s">
        <v>193</v>
      </c>
      <c r="B10" s="10" t="s">
        <v>88</v>
      </c>
      <c r="C10" s="13">
        <f>_xll.BDH("WMT US Equity","BS_ACCT_NOTE_RCV","FQ3 2016","FQ3 2016","Currency=USD","Period=FQ","BEST_FPERIOD_OVERRIDE=FQ","FILING_STATUS=MR","SCALING_FORMAT=MLN","Sort=A","Dates=H","DateFormat=P","Fill=—","Direction=H","UseDPDF=Y")</f>
        <v>5012</v>
      </c>
      <c r="D10" s="13">
        <f>_xll.BDH("WMT US Equity","BS_ACCT_NOTE_RCV","FQ4 2016","FQ4 2016","Currency=USD","Period=FQ","BEST_FPERIOD_OVERRIDE=FQ","FILING_STATUS=MR","SCALING_FORMAT=MLN","Sort=A","Dates=H","DateFormat=P","Fill=—","Direction=H","UseDPDF=Y")</f>
        <v>5624</v>
      </c>
      <c r="E10" s="13">
        <f>_xll.BDH("WMT US Equity","BS_ACCT_NOTE_RCV","FQ1 2017","FQ1 2017","Currency=USD","Period=FQ","BEST_FPERIOD_OVERRIDE=FQ","FILING_STATUS=MR","SCALING_FORMAT=MLN","Sort=A","Dates=H","DateFormat=P","Fill=—","Direction=H","UseDPDF=Y")</f>
        <v>5187</v>
      </c>
      <c r="F10" s="13">
        <f>_xll.BDH("WMT US Equity","BS_ACCT_NOTE_RCV","FQ2 2017","FQ2 2017","Currency=USD","Period=FQ","BEST_FPERIOD_OVERRIDE=FQ","FILING_STATUS=MR","SCALING_FORMAT=MLN","Sort=A","Dates=H","DateFormat=P","Fill=—","Direction=H","UseDPDF=Y")</f>
        <v>5275</v>
      </c>
      <c r="G10" s="13">
        <f>_xll.BDH("WMT US Equity","BS_ACCT_NOTE_RCV","FQ3 2017","FQ3 2017","Currency=USD","Period=FQ","BEST_FPERIOD_OVERRIDE=FQ","FILING_STATUS=MR","SCALING_FORMAT=MLN","Sort=A","Dates=H","DateFormat=P","Fill=—","Direction=H","UseDPDF=Y")</f>
        <v>5344</v>
      </c>
      <c r="H10" s="13">
        <f>_xll.BDH("WMT US Equity","BS_ACCT_NOTE_RCV","FQ4 2017","FQ4 2017","Currency=USD","Period=FQ","BEST_FPERIOD_OVERRIDE=FQ","FILING_STATUS=MR","SCALING_FORMAT=MLN","Sort=A","Dates=H","DateFormat=P","Fill=—","Direction=H","UseDPDF=Y")</f>
        <v>5835</v>
      </c>
      <c r="I10" s="13">
        <f>_xll.BDH("WMT US Equity","BS_ACCT_NOTE_RCV","FQ1 2018","FQ1 2018","Currency=USD","Period=FQ","BEST_FPERIOD_OVERRIDE=FQ","FILING_STATUS=MR","SCALING_FORMAT=MLN","Sort=A","Dates=H","DateFormat=P","Fill=—","Direction=H","UseDPDF=Y")</f>
        <v>5252</v>
      </c>
      <c r="J10" s="13">
        <f>_xll.BDH("WMT US Equity","BS_ACCT_NOTE_RCV","FQ2 2018","FQ2 2018","Currency=USD","Period=FQ","BEST_FPERIOD_OVERRIDE=FQ","FILING_STATUS=MR","SCALING_FORMAT=MLN","Sort=A","Dates=H","DateFormat=P","Fill=—","Direction=H","UseDPDF=Y")</f>
        <v>5395</v>
      </c>
      <c r="K10" s="13">
        <f>_xll.BDH("WMT US Equity","BS_ACCT_NOTE_RCV","FQ3 2018","FQ3 2018","Currency=USD","Period=FQ","BEST_FPERIOD_OVERRIDE=FQ","FILING_STATUS=MR","SCALING_FORMAT=MLN","Sort=A","Dates=H","DateFormat=P","Fill=—","Direction=H","UseDPDF=Y")</f>
        <v>5865</v>
      </c>
      <c r="L10" s="13">
        <f>_xll.BDH("WMT US Equity","BS_ACCT_NOTE_RCV","FQ4 2018","FQ4 2018","Currency=USD","Period=FQ","BEST_FPERIOD_OVERRIDE=FQ","FILING_STATUS=MR","SCALING_FORMAT=MLN","Sort=A","Dates=H","DateFormat=P","Fill=—","Direction=H","UseDPDF=Y")</f>
        <v>5614</v>
      </c>
      <c r="M10" s="13">
        <f>_xll.BDH("WMT US Equity","BS_ACCT_NOTE_RCV","FQ1 2019","FQ1 2019","Currency=USD","Period=FQ","BEST_FPERIOD_OVERRIDE=FQ","FILING_STATUS=MR","SCALING_FORMAT=MLN","Sort=A","Dates=H","DateFormat=P","Fill=—","Direction=H","UseDPDF=Y")</f>
        <v>4568</v>
      </c>
      <c r="N10" s="13">
        <f>_xll.BDH("WMT US Equity","BS_ACCT_NOTE_RCV","FQ2 2019","FQ2 2019","Currency=USD","Period=FQ","BEST_FPERIOD_OVERRIDE=FQ","FILING_STATUS=MR","SCALING_FORMAT=MLN","Sort=A","Dates=H","DateFormat=P","Fill=—","Direction=H","UseDPDF=Y")</f>
        <v>5002</v>
      </c>
      <c r="O10" s="13">
        <f>_xll.BDH("WMT US Equity","BS_ACCT_NOTE_RCV","FQ3 2019","FQ3 2019","Currency=USD","Period=FQ","BEST_FPERIOD_OVERRIDE=FQ","FILING_STATUS=MR","SCALING_FORMAT=MLN","Sort=A","Dates=H","DateFormat=P","Fill=—","Direction=H","UseDPDF=Y")</f>
        <v>5785</v>
      </c>
      <c r="P10" s="13">
        <f>_xll.BDH("WMT US Equity","BS_ACCT_NOTE_RCV","FQ4 2019","FQ4 2019","Currency=USD","Period=FQ","BEST_FPERIOD_OVERRIDE=FQ","FILING_STATUS=MR","SCALING_FORMAT=MLN","Sort=A","Dates=H","DateFormat=P","Fill=—","Direction=H","UseDPDF=Y")</f>
        <v>6283</v>
      </c>
      <c r="Q10" s="13">
        <f>_xll.BDH("WMT US Equity","BS_ACCT_NOTE_RCV","FQ1 2020","FQ1 2020","Currency=USD","Period=FQ","BEST_FPERIOD_OVERRIDE=FQ","FILING_STATUS=MR","SCALING_FORMAT=MLN","Sort=A","Dates=H","DateFormat=P","Fill=—","Direction=H","UseDPDF=Y")</f>
        <v>5342</v>
      </c>
      <c r="R10" s="13">
        <f>_xll.BDH("WMT US Equity","BS_ACCT_NOTE_RCV","FQ2 2020","FQ2 2020","Currency=USD","Period=FQ","BEST_FPERIOD_OVERRIDE=FQ","FILING_STATUS=MR","SCALING_FORMAT=MLN","Sort=A","Dates=H","DateFormat=P","Fill=—","Direction=H","UseDPDF=Y")</f>
        <v>5382</v>
      </c>
      <c r="S10" s="13">
        <f>_xll.BDH("WMT US Equity","BS_ACCT_NOTE_RCV","FQ3 2020","FQ3 2020","Currency=USD","Period=FQ","BEST_FPERIOD_OVERRIDE=FQ","FILING_STATUS=MR","SCALING_FORMAT=MLN","Sort=A","Dates=H","DateFormat=P","Fill=—","Direction=H","UseDPDF=Y")</f>
        <v>5612</v>
      </c>
      <c r="T10" s="13">
        <f>_xll.BDH("WMT US Equity","BS_ACCT_NOTE_RCV","FQ4 2020","FQ4 2020","Currency=USD","Period=FQ","BEST_FPERIOD_OVERRIDE=FQ","FILING_STATUS=MR","SCALING_FORMAT=MLN","Sort=A","Dates=H","DateFormat=P","Fill=—","Direction=H","UseDPDF=Y")</f>
        <v>6284</v>
      </c>
      <c r="U10" s="13">
        <f>_xll.BDH("WMT US Equity","BS_ACCT_NOTE_RCV","FQ1 2021","FQ1 2021","Currency=USD","Period=FQ","BEST_FPERIOD_OVERRIDE=FQ","FILING_STATUS=MR","SCALING_FORMAT=MLN","Sort=A","Dates=H","DateFormat=P","Fill=—","Direction=H","UseDPDF=Y")</f>
        <v>5029</v>
      </c>
      <c r="V10" s="13">
        <f>_xll.BDH("WMT US Equity","BS_ACCT_NOTE_RCV","FQ2 2021","FQ2 2021","Currency=USD","Period=FQ","BEST_FPERIOD_OVERRIDE=FQ","FILING_STATUS=MR","SCALING_FORMAT=MLN","Sort=A","Dates=H","DateFormat=P","Fill=—","Direction=H","UseDPDF=Y")</f>
        <v>5111</v>
      </c>
      <c r="W10" s="13">
        <f>_xll.BDH("WMT US Equity","BS_ACCT_NOTE_RCV","FQ3 2021","FQ3 2021","Currency=USD","Period=FQ","BEST_FPERIOD_OVERRIDE=FQ","FILING_STATUS=MR","SCALING_FORMAT=MLN","Sort=A","Dates=H","DateFormat=P","Fill=—","Direction=H","UseDPDF=Y")</f>
        <v>5770</v>
      </c>
      <c r="X10" s="13">
        <f>_xll.BDH("WMT US Equity","BS_ACCT_NOTE_RCV","FQ4 2021","FQ4 2021","Currency=USD","Period=FQ","BEST_FPERIOD_OVERRIDE=FQ","FILING_STATUS=MR","SCALING_FORMAT=MLN","Sort=A","Dates=H","DateFormat=P","Fill=—","Direction=H","UseDPDF=Y")</f>
        <v>6516</v>
      </c>
      <c r="Y10" s="13">
        <f>_xll.BDH("WMT US Equity","BS_ACCT_NOTE_RCV","FQ1 2022","FQ1 2022","Currency=USD","Period=FQ","BEST_FPERIOD_OVERRIDE=FQ","FILING_STATUS=MR","SCALING_FORMAT=MLN","Sort=A","Dates=H","DateFormat=P","Fill=—","Direction=H","UseDPDF=Y")</f>
        <v>5797</v>
      </c>
      <c r="Z10" s="13">
        <f>_xll.BDH("WMT US Equity","BS_ACCT_NOTE_RCV","FQ2 2022","FQ2 2022","Currency=USD","Period=FQ","BEST_FPERIOD_OVERRIDE=FQ","FILING_STATUS=MR","SCALING_FORMAT=MLN","Sort=A","Dates=H","DateFormat=P","Fill=—","Direction=H","UseDPDF=Y")</f>
        <v>6103</v>
      </c>
      <c r="AA10" s="13">
        <f>_xll.BDH("WMT US Equity","BS_ACCT_NOTE_RCV","FQ3 2022","FQ3 2022","Currency=USD","Period=FQ","BEST_FPERIOD_OVERRIDE=FQ","FILING_STATUS=MR","SCALING_FORMAT=MLN","Sort=A","Dates=H","DateFormat=P","Fill=—","Direction=H","UseDPDF=Y")</f>
        <v>7349</v>
      </c>
      <c r="AB10" s="13">
        <f>_xll.BDH("WMT US Equity","BS_ACCT_NOTE_RCV","FQ4 2022","FQ4 2022","Currency=USD","Period=FQ","BEST_FPERIOD_OVERRIDE=FQ","FILING_STATUS=MR","SCALING_FORMAT=MLN","Sort=A","Dates=H","DateFormat=P","Fill=—","Direction=H","UseDPDF=Y")</f>
        <v>8280</v>
      </c>
      <c r="AC10" s="13">
        <f>_xll.BDH("WMT US Equity","BS_ACCT_NOTE_RCV","FQ1 2023","FQ1 2023","Currency=USD","Period=FQ","BEST_FPERIOD_OVERRIDE=FQ","FILING_STATUS=MR","SCALING_FORMAT=MLN","Sort=A","Dates=H","DateFormat=P","Fill=—","Direction=H","UseDPDF=Y")</f>
        <v>7674</v>
      </c>
      <c r="AD10" s="13">
        <f>_xll.BDH("WMT US Equity","BS_ACCT_NOTE_RCV","FQ2 2023","FQ2 2023","Currency=USD","Period=FQ","BEST_FPERIOD_OVERRIDE=FQ","FILING_STATUS=MR","SCALING_FORMAT=MLN","Sort=A","Dates=H","DateFormat=P","Fill=—","Direction=H","UseDPDF=Y")</f>
        <v>7522</v>
      </c>
      <c r="AE10" s="13">
        <f>_xll.BDH("WMT US Equity","BS_ACCT_NOTE_RCV","FQ3 2023","FQ3 2023","Currency=USD","Period=FQ","BEST_FPERIOD_OVERRIDE=FQ","FILING_STATUS=MR","SCALING_FORMAT=MLN","Sort=A","Dates=H","DateFormat=P","Fill=—","Direction=H","UseDPDF=Y")</f>
        <v>8218</v>
      </c>
      <c r="AF10" s="13">
        <f>_xll.BDH("WMT US Equity","BS_ACCT_NOTE_RCV","FQ4 2023","FQ4 2023","Currency=USD","Period=FQ","BEST_FPERIOD_OVERRIDE=FQ","FILING_STATUS=MR","SCALING_FORMAT=MLN","Sort=A","Dates=H","DateFormat=P","Fill=—","Direction=H","UseDPDF=Y")</f>
        <v>7933</v>
      </c>
      <c r="AG10" s="13">
        <f>_xll.BDH("WMT US Equity","BS_ACCT_NOTE_RCV","FQ1 2024","FQ1 2024","Currency=USD","Period=FQ","BEST_FPERIOD_OVERRIDE=FQ","FILING_STATUS=MR","SCALING_FORMAT=MLN","Sort=A","Dates=H","DateFormat=P","Fill=—","Direction=H","UseDPDF=Y")</f>
        <v>7647</v>
      </c>
      <c r="AH10" s="13">
        <f>_xll.BDH("WMT US Equity","BS_ACCT_NOTE_RCV","FQ2 2024","FQ2 2024","Currency=USD","Period=FQ","BEST_FPERIOD_OVERRIDE=FQ","FILING_STATUS=MR","SCALING_FORMAT=MLN","Sort=A","Dates=H","DateFormat=P","Fill=—","Direction=H","UseDPDF=Y")</f>
        <v>7891</v>
      </c>
      <c r="AI10" s="13">
        <f>_xll.BDH("WMT US Equity","BS_ACCT_NOTE_RCV","FQ3 2024","FQ3 2024","Currency=USD","Period=FQ","BEST_FPERIOD_OVERRIDE=FQ","FILING_STATUS=MR","SCALING_FORMAT=MLN","Sort=A","Dates=H","DateFormat=P","Fill=—","Direction=H","UseDPDF=Y")</f>
        <v>8625</v>
      </c>
      <c r="AJ10" s="13">
        <f>_xll.BDH("WMT US Equity","BS_ACCT_NOTE_RCV","FQ4 2024","FQ4 2024","Currency=USD","Period=FQ","BEST_FPERIOD_OVERRIDE=FQ","FILING_STATUS=MR","SCALING_FORMAT=MLN","Sort=A","Dates=H","DateFormat=P","Fill=—","Direction=H","UseDPDF=Y")</f>
        <v>8796</v>
      </c>
      <c r="AK10" s="13">
        <f>_xll.BDH("WMT US Equity","BS_ACCT_NOTE_RCV","FQ1 2025","FQ1 2025","Currency=USD","Period=FQ","BEST_FPERIOD_OVERRIDE=FQ","FILING_STATUS=MR","SCALING_FORMAT=MLN","Sort=A","Dates=H","DateFormat=P","Fill=—","Direction=H","UseDPDF=Y")</f>
        <v>9075</v>
      </c>
      <c r="AL10" s="13">
        <f>_xll.BDH("WMT US Equity","BS_ACCT_NOTE_RCV","FQ2 2025","FQ2 2025","Currency=USD","Period=FQ","BEST_FPERIOD_OVERRIDE=FQ","FILING_STATUS=MR","SCALING_FORMAT=MLN","Sort=A","Dates=H","DateFormat=P","Fill=—","Direction=H","UseDPDF=Y")</f>
        <v>8650</v>
      </c>
      <c r="AM10" s="13">
        <f>_xll.BDH("WMT US Equity","BS_ACCT_NOTE_RCV","FQ3 2025","FQ3 2025","Currency=USD","Period=FQ","BEST_FPERIOD_OVERRIDE=FQ","FILING_STATUS=MR","SCALING_FORMAT=MLN","Sort=A","Dates=H","DateFormat=P","Fill=—","Direction=H","UseDPDF=Y")</f>
        <v>10039</v>
      </c>
      <c r="AN10" s="13">
        <f>_xll.BDH("WMT US Equity","BS_ACCT_NOTE_RCV","FQ4 2025","FQ4 2025","Currency=USD","Period=FQ","BEST_FPERIOD_OVERRIDE=FQ","FILING_STATUS=MR","SCALING_FORMAT=MLN","Sort=A","Dates=H","DateFormat=P","Fill=—","Direction=H","UseDPDF=Y")</f>
        <v>9975</v>
      </c>
      <c r="AO10" s="13">
        <f>_xll.BDH("WMT US Equity","BS_ACCT_NOTE_RCV","FQ1 2026","FQ1 2026","Currency=USD","Period=FQ","BEST_FPERIOD_OVERRIDE=FQ","FILING_STATUS=MR","SCALING_FORMAT=MLN","Sort=A","Dates=H","DateFormat=P","Fill=—","Direction=H","UseDPDF=Y")</f>
        <v>9686</v>
      </c>
      <c r="AP10" s="13">
        <f>_xll.BDH("WMT US Equity","BS_ACCT_NOTE_RCV","FQ2 2026","FQ2 2026","Currency=USD","Period=FQ","BEST_FPERIOD_OVERRIDE=FQ","FILING_STATUS=MR","SCALING_FORMAT=MLN","Sort=A","Dates=H","DateFormat=P","Fill=—","Direction=H","UseDPDF=Y")</f>
        <v>10518</v>
      </c>
    </row>
    <row r="11" spans="1:42" x14ac:dyDescent="0.3">
      <c r="A11" s="10" t="s">
        <v>194</v>
      </c>
      <c r="B11" s="10" t="s">
        <v>89</v>
      </c>
      <c r="C11" s="13">
        <f>_xll.BDH("WMT US Equity","BS_ACCTS_REC_EXCL_NOTES_REC","FQ3 2016","FQ3 2016","Currency=USD","Period=FQ","BEST_FPERIOD_OVERRIDE=FQ","FILING_STATUS=MR","SCALING_FORMAT=MLN","Sort=A","Dates=H","DateFormat=P","Fill=—","Direction=H","UseDPDF=Y")</f>
        <v>5012</v>
      </c>
      <c r="D11" s="13">
        <f>_xll.BDH("WMT US Equity","BS_ACCTS_REC_EXCL_NOTES_REC","FQ4 2016","FQ4 2016","Currency=USD","Period=FQ","BEST_FPERIOD_OVERRIDE=FQ","FILING_STATUS=MR","SCALING_FORMAT=MLN","Sort=A","Dates=H","DateFormat=P","Fill=—","Direction=H","UseDPDF=Y")</f>
        <v>5624</v>
      </c>
      <c r="E11" s="13">
        <f>_xll.BDH("WMT US Equity","BS_ACCTS_REC_EXCL_NOTES_REC","FQ1 2017","FQ1 2017","Currency=USD","Period=FQ","BEST_FPERIOD_OVERRIDE=FQ","FILING_STATUS=MR","SCALING_FORMAT=MLN","Sort=A","Dates=H","DateFormat=P","Fill=—","Direction=H","UseDPDF=Y")</f>
        <v>5187</v>
      </c>
      <c r="F11" s="13">
        <f>_xll.BDH("WMT US Equity","BS_ACCTS_REC_EXCL_NOTES_REC","FQ2 2017","FQ2 2017","Currency=USD","Period=FQ","BEST_FPERIOD_OVERRIDE=FQ","FILING_STATUS=MR","SCALING_FORMAT=MLN","Sort=A","Dates=H","DateFormat=P","Fill=—","Direction=H","UseDPDF=Y")</f>
        <v>5275</v>
      </c>
      <c r="G11" s="13">
        <f>_xll.BDH("WMT US Equity","BS_ACCTS_REC_EXCL_NOTES_REC","FQ3 2017","FQ3 2017","Currency=USD","Period=FQ","BEST_FPERIOD_OVERRIDE=FQ","FILING_STATUS=MR","SCALING_FORMAT=MLN","Sort=A","Dates=H","DateFormat=P","Fill=—","Direction=H","UseDPDF=Y")</f>
        <v>5344</v>
      </c>
      <c r="H11" s="13">
        <f>_xll.BDH("WMT US Equity","BS_ACCTS_REC_EXCL_NOTES_REC","FQ4 2017","FQ4 2017","Currency=USD","Period=FQ","BEST_FPERIOD_OVERRIDE=FQ","FILING_STATUS=MR","SCALING_FORMAT=MLN","Sort=A","Dates=H","DateFormat=P","Fill=—","Direction=H","UseDPDF=Y")</f>
        <v>5835</v>
      </c>
      <c r="I11" s="13">
        <f>_xll.BDH("WMT US Equity","BS_ACCTS_REC_EXCL_NOTES_REC","FQ1 2018","FQ1 2018","Currency=USD","Period=FQ","BEST_FPERIOD_OVERRIDE=FQ","FILING_STATUS=MR","SCALING_FORMAT=MLN","Sort=A","Dates=H","DateFormat=P","Fill=—","Direction=H","UseDPDF=Y")</f>
        <v>5252</v>
      </c>
      <c r="J11" s="13">
        <f>_xll.BDH("WMT US Equity","BS_ACCTS_REC_EXCL_NOTES_REC","FQ2 2018","FQ2 2018","Currency=USD","Period=FQ","BEST_FPERIOD_OVERRIDE=FQ","FILING_STATUS=MR","SCALING_FORMAT=MLN","Sort=A","Dates=H","DateFormat=P","Fill=—","Direction=H","UseDPDF=Y")</f>
        <v>5395</v>
      </c>
      <c r="K11" s="13">
        <f>_xll.BDH("WMT US Equity","BS_ACCTS_REC_EXCL_NOTES_REC","FQ3 2018","FQ3 2018","Currency=USD","Period=FQ","BEST_FPERIOD_OVERRIDE=FQ","FILING_STATUS=MR","SCALING_FORMAT=MLN","Sort=A","Dates=H","DateFormat=P","Fill=—","Direction=H","UseDPDF=Y")</f>
        <v>5865</v>
      </c>
      <c r="L11" s="13">
        <f>_xll.BDH("WMT US Equity","BS_ACCTS_REC_EXCL_NOTES_REC","FQ4 2018","FQ4 2018","Currency=USD","Period=FQ","BEST_FPERIOD_OVERRIDE=FQ","FILING_STATUS=MR","SCALING_FORMAT=MLN","Sort=A","Dates=H","DateFormat=P","Fill=—","Direction=H","UseDPDF=Y")</f>
        <v>5614</v>
      </c>
      <c r="M11" s="13">
        <f>_xll.BDH("WMT US Equity","BS_ACCTS_REC_EXCL_NOTES_REC","FQ1 2019","FQ1 2019","Currency=USD","Period=FQ","BEST_FPERIOD_OVERRIDE=FQ","FILING_STATUS=MR","SCALING_FORMAT=MLN","Sort=A","Dates=H","DateFormat=P","Fill=—","Direction=H","UseDPDF=Y")</f>
        <v>4568</v>
      </c>
      <c r="N11" s="13">
        <f>_xll.BDH("WMT US Equity","BS_ACCTS_REC_EXCL_NOTES_REC","FQ2 2019","FQ2 2019","Currency=USD","Period=FQ","BEST_FPERIOD_OVERRIDE=FQ","FILING_STATUS=MR","SCALING_FORMAT=MLN","Sort=A","Dates=H","DateFormat=P","Fill=—","Direction=H","UseDPDF=Y")</f>
        <v>5002</v>
      </c>
      <c r="O11" s="13">
        <f>_xll.BDH("WMT US Equity","BS_ACCTS_REC_EXCL_NOTES_REC","FQ3 2019","FQ3 2019","Currency=USD","Period=FQ","BEST_FPERIOD_OVERRIDE=FQ","FILING_STATUS=MR","SCALING_FORMAT=MLN","Sort=A","Dates=H","DateFormat=P","Fill=—","Direction=H","UseDPDF=Y")</f>
        <v>5785</v>
      </c>
      <c r="P11" s="13">
        <f>_xll.BDH("WMT US Equity","BS_ACCTS_REC_EXCL_NOTES_REC","FQ4 2019","FQ4 2019","Currency=USD","Period=FQ","BEST_FPERIOD_OVERRIDE=FQ","FILING_STATUS=MR","SCALING_FORMAT=MLN","Sort=A","Dates=H","DateFormat=P","Fill=—","Direction=H","UseDPDF=Y")</f>
        <v>6283</v>
      </c>
      <c r="Q11" s="13">
        <f>_xll.BDH("WMT US Equity","BS_ACCTS_REC_EXCL_NOTES_REC","FQ1 2020","FQ1 2020","Currency=USD","Period=FQ","BEST_FPERIOD_OVERRIDE=FQ","FILING_STATUS=MR","SCALING_FORMAT=MLN","Sort=A","Dates=H","DateFormat=P","Fill=—","Direction=H","UseDPDF=Y")</f>
        <v>5342</v>
      </c>
      <c r="R11" s="13">
        <f>_xll.BDH("WMT US Equity","BS_ACCTS_REC_EXCL_NOTES_REC","FQ2 2020","FQ2 2020","Currency=USD","Period=FQ","BEST_FPERIOD_OVERRIDE=FQ","FILING_STATUS=MR","SCALING_FORMAT=MLN","Sort=A","Dates=H","DateFormat=P","Fill=—","Direction=H","UseDPDF=Y")</f>
        <v>5382</v>
      </c>
      <c r="S11" s="13">
        <f>_xll.BDH("WMT US Equity","BS_ACCTS_REC_EXCL_NOTES_REC","FQ3 2020","FQ3 2020","Currency=USD","Period=FQ","BEST_FPERIOD_OVERRIDE=FQ","FILING_STATUS=MR","SCALING_FORMAT=MLN","Sort=A","Dates=H","DateFormat=P","Fill=—","Direction=H","UseDPDF=Y")</f>
        <v>5612</v>
      </c>
      <c r="T11" s="13">
        <f>_xll.BDH("WMT US Equity","BS_ACCTS_REC_EXCL_NOTES_REC","FQ4 2020","FQ4 2020","Currency=USD","Period=FQ","BEST_FPERIOD_OVERRIDE=FQ","FILING_STATUS=MR","SCALING_FORMAT=MLN","Sort=A","Dates=H","DateFormat=P","Fill=—","Direction=H","UseDPDF=Y")</f>
        <v>6284</v>
      </c>
      <c r="U11" s="13">
        <f>_xll.BDH("WMT US Equity","BS_ACCTS_REC_EXCL_NOTES_REC","FQ1 2021","FQ1 2021","Currency=USD","Period=FQ","BEST_FPERIOD_OVERRIDE=FQ","FILING_STATUS=MR","SCALING_FORMAT=MLN","Sort=A","Dates=H","DateFormat=P","Fill=—","Direction=H","UseDPDF=Y")</f>
        <v>5029</v>
      </c>
      <c r="V11" s="13">
        <f>_xll.BDH("WMT US Equity","BS_ACCTS_REC_EXCL_NOTES_REC","FQ2 2021","FQ2 2021","Currency=USD","Period=FQ","BEST_FPERIOD_OVERRIDE=FQ","FILING_STATUS=MR","SCALING_FORMAT=MLN","Sort=A","Dates=H","DateFormat=P","Fill=—","Direction=H","UseDPDF=Y")</f>
        <v>5111</v>
      </c>
      <c r="W11" s="13">
        <f>_xll.BDH("WMT US Equity","BS_ACCTS_REC_EXCL_NOTES_REC","FQ3 2021","FQ3 2021","Currency=USD","Period=FQ","BEST_FPERIOD_OVERRIDE=FQ","FILING_STATUS=MR","SCALING_FORMAT=MLN","Sort=A","Dates=H","DateFormat=P","Fill=—","Direction=H","UseDPDF=Y")</f>
        <v>5770</v>
      </c>
      <c r="X11" s="13">
        <f>_xll.BDH("WMT US Equity","BS_ACCTS_REC_EXCL_NOTES_REC","FQ4 2021","FQ4 2021","Currency=USD","Period=FQ","BEST_FPERIOD_OVERRIDE=FQ","FILING_STATUS=MR","SCALING_FORMAT=MLN","Sort=A","Dates=H","DateFormat=P","Fill=—","Direction=H","UseDPDF=Y")</f>
        <v>6516</v>
      </c>
      <c r="Y11" s="13">
        <f>_xll.BDH("WMT US Equity","BS_ACCTS_REC_EXCL_NOTES_REC","FQ1 2022","FQ1 2022","Currency=USD","Period=FQ","BEST_FPERIOD_OVERRIDE=FQ","FILING_STATUS=MR","SCALING_FORMAT=MLN","Sort=A","Dates=H","DateFormat=P","Fill=—","Direction=H","UseDPDF=Y")</f>
        <v>5797</v>
      </c>
      <c r="Z11" s="13">
        <f>_xll.BDH("WMT US Equity","BS_ACCTS_REC_EXCL_NOTES_REC","FQ2 2022","FQ2 2022","Currency=USD","Period=FQ","BEST_FPERIOD_OVERRIDE=FQ","FILING_STATUS=MR","SCALING_FORMAT=MLN","Sort=A","Dates=H","DateFormat=P","Fill=—","Direction=H","UseDPDF=Y")</f>
        <v>6103</v>
      </c>
      <c r="AA11" s="13">
        <f>_xll.BDH("WMT US Equity","BS_ACCTS_REC_EXCL_NOTES_REC","FQ3 2022","FQ3 2022","Currency=USD","Period=FQ","BEST_FPERIOD_OVERRIDE=FQ","FILING_STATUS=MR","SCALING_FORMAT=MLN","Sort=A","Dates=H","DateFormat=P","Fill=—","Direction=H","UseDPDF=Y")</f>
        <v>7349</v>
      </c>
      <c r="AB11" s="13">
        <f>_xll.BDH("WMT US Equity","BS_ACCTS_REC_EXCL_NOTES_REC","FQ4 2022","FQ4 2022","Currency=USD","Period=FQ","BEST_FPERIOD_OVERRIDE=FQ","FILING_STATUS=MR","SCALING_FORMAT=MLN","Sort=A","Dates=H","DateFormat=P","Fill=—","Direction=H","UseDPDF=Y")</f>
        <v>8280</v>
      </c>
      <c r="AC11" s="13">
        <f>_xll.BDH("WMT US Equity","BS_ACCTS_REC_EXCL_NOTES_REC","FQ1 2023","FQ1 2023","Currency=USD","Period=FQ","BEST_FPERIOD_OVERRIDE=FQ","FILING_STATUS=MR","SCALING_FORMAT=MLN","Sort=A","Dates=H","DateFormat=P","Fill=—","Direction=H","UseDPDF=Y")</f>
        <v>7674</v>
      </c>
      <c r="AD11" s="13">
        <f>_xll.BDH("WMT US Equity","BS_ACCTS_REC_EXCL_NOTES_REC","FQ2 2023","FQ2 2023","Currency=USD","Period=FQ","BEST_FPERIOD_OVERRIDE=FQ","FILING_STATUS=MR","SCALING_FORMAT=MLN","Sort=A","Dates=H","DateFormat=P","Fill=—","Direction=H","UseDPDF=Y")</f>
        <v>7522</v>
      </c>
      <c r="AE11" s="13">
        <f>_xll.BDH("WMT US Equity","BS_ACCTS_REC_EXCL_NOTES_REC","FQ3 2023","FQ3 2023","Currency=USD","Period=FQ","BEST_FPERIOD_OVERRIDE=FQ","FILING_STATUS=MR","SCALING_FORMAT=MLN","Sort=A","Dates=H","DateFormat=P","Fill=—","Direction=H","UseDPDF=Y")</f>
        <v>8218</v>
      </c>
      <c r="AF11" s="13">
        <f>_xll.BDH("WMT US Equity","BS_ACCTS_REC_EXCL_NOTES_REC","FQ4 2023","FQ4 2023","Currency=USD","Period=FQ","BEST_FPERIOD_OVERRIDE=FQ","FILING_STATUS=MR","SCALING_FORMAT=MLN","Sort=A","Dates=H","DateFormat=P","Fill=—","Direction=H","UseDPDF=Y")</f>
        <v>7933</v>
      </c>
      <c r="AG11" s="13">
        <f>_xll.BDH("WMT US Equity","BS_ACCTS_REC_EXCL_NOTES_REC","FQ1 2024","FQ1 2024","Currency=USD","Period=FQ","BEST_FPERIOD_OVERRIDE=FQ","FILING_STATUS=MR","SCALING_FORMAT=MLN","Sort=A","Dates=H","DateFormat=P","Fill=—","Direction=H","UseDPDF=Y")</f>
        <v>7647</v>
      </c>
      <c r="AH11" s="13">
        <f>_xll.BDH("WMT US Equity","BS_ACCTS_REC_EXCL_NOTES_REC","FQ2 2024","FQ2 2024","Currency=USD","Period=FQ","BEST_FPERIOD_OVERRIDE=FQ","FILING_STATUS=MR","SCALING_FORMAT=MLN","Sort=A","Dates=H","DateFormat=P","Fill=—","Direction=H","UseDPDF=Y")</f>
        <v>7891</v>
      </c>
      <c r="AI11" s="13">
        <f>_xll.BDH("WMT US Equity","BS_ACCTS_REC_EXCL_NOTES_REC","FQ3 2024","FQ3 2024","Currency=USD","Period=FQ","BEST_FPERIOD_OVERRIDE=FQ","FILING_STATUS=MR","SCALING_FORMAT=MLN","Sort=A","Dates=H","DateFormat=P","Fill=—","Direction=H","UseDPDF=Y")</f>
        <v>8625</v>
      </c>
      <c r="AJ11" s="13">
        <f>_xll.BDH("WMT US Equity","BS_ACCTS_REC_EXCL_NOTES_REC","FQ4 2024","FQ4 2024","Currency=USD","Period=FQ","BEST_FPERIOD_OVERRIDE=FQ","FILING_STATUS=MR","SCALING_FORMAT=MLN","Sort=A","Dates=H","DateFormat=P","Fill=—","Direction=H","UseDPDF=Y")</f>
        <v>8796</v>
      </c>
      <c r="AK11" s="13">
        <f>_xll.BDH("WMT US Equity","BS_ACCTS_REC_EXCL_NOTES_REC","FQ1 2025","FQ1 2025","Currency=USD","Period=FQ","BEST_FPERIOD_OVERRIDE=FQ","FILING_STATUS=MR","SCALING_FORMAT=MLN","Sort=A","Dates=H","DateFormat=P","Fill=—","Direction=H","UseDPDF=Y")</f>
        <v>9075</v>
      </c>
      <c r="AL11" s="13">
        <f>_xll.BDH("WMT US Equity","BS_ACCTS_REC_EXCL_NOTES_REC","FQ2 2025","FQ2 2025","Currency=USD","Period=FQ","BEST_FPERIOD_OVERRIDE=FQ","FILING_STATUS=MR","SCALING_FORMAT=MLN","Sort=A","Dates=H","DateFormat=P","Fill=—","Direction=H","UseDPDF=Y")</f>
        <v>8650</v>
      </c>
      <c r="AM11" s="13">
        <f>_xll.BDH("WMT US Equity","BS_ACCTS_REC_EXCL_NOTES_REC","FQ3 2025","FQ3 2025","Currency=USD","Period=FQ","BEST_FPERIOD_OVERRIDE=FQ","FILING_STATUS=MR","SCALING_FORMAT=MLN","Sort=A","Dates=H","DateFormat=P","Fill=—","Direction=H","UseDPDF=Y")</f>
        <v>10039</v>
      </c>
      <c r="AN11" s="13">
        <f>_xll.BDH("WMT US Equity","BS_ACCTS_REC_EXCL_NOTES_REC","FQ4 2025","FQ4 2025","Currency=USD","Period=FQ","BEST_FPERIOD_OVERRIDE=FQ","FILING_STATUS=MR","SCALING_FORMAT=MLN","Sort=A","Dates=H","DateFormat=P","Fill=—","Direction=H","UseDPDF=Y")</f>
        <v>9975</v>
      </c>
      <c r="AO11" s="13">
        <f>_xll.BDH("WMT US Equity","BS_ACCTS_REC_EXCL_NOTES_REC","FQ1 2026","FQ1 2026","Currency=USD","Period=FQ","BEST_FPERIOD_OVERRIDE=FQ","FILING_STATUS=MR","SCALING_FORMAT=MLN","Sort=A","Dates=H","DateFormat=P","Fill=—","Direction=H","UseDPDF=Y")</f>
        <v>9686</v>
      </c>
      <c r="AP11" s="13">
        <f>_xll.BDH("WMT US Equity","BS_ACCTS_REC_EXCL_NOTES_REC","FQ2 2026","FQ2 2026","Currency=USD","Period=FQ","BEST_FPERIOD_OVERRIDE=FQ","FILING_STATUS=MR","SCALING_FORMAT=MLN","Sort=A","Dates=H","DateFormat=P","Fill=—","Direction=H","UseDPDF=Y")</f>
        <v>10518</v>
      </c>
    </row>
    <row r="12" spans="1:42" x14ac:dyDescent="0.3">
      <c r="A12" s="10" t="s">
        <v>195</v>
      </c>
      <c r="B12" s="10" t="s">
        <v>90</v>
      </c>
      <c r="C12" s="13">
        <f>_xll.BDH("WMT US Equity","NOTES_RECEIVABLE","FQ3 2016","FQ3 2016","Currency=USD","Period=FQ","BEST_FPERIOD_OVERRIDE=FQ","FILING_STATUS=MR","SCALING_FORMAT=MLN","Sort=A","Dates=H","DateFormat=P","Fill=—","Direction=H","UseDPDF=Y")</f>
        <v>0</v>
      </c>
      <c r="D12" s="13">
        <f>_xll.BDH("WMT US Equity","NOTES_RECEIVABLE","FQ4 2016","FQ4 2016","Currency=USD","Period=FQ","BEST_FPERIOD_OVERRIDE=FQ","FILING_STATUS=MR","SCALING_FORMAT=MLN","Sort=A","Dates=H","DateFormat=P","Fill=—","Direction=H","UseDPDF=Y")</f>
        <v>0</v>
      </c>
      <c r="E12" s="13">
        <f>_xll.BDH("WMT US Equity","NOTES_RECEIVABLE","FQ1 2017","FQ1 2017","Currency=USD","Period=FQ","BEST_FPERIOD_OVERRIDE=FQ","FILING_STATUS=MR","SCALING_FORMAT=MLN","Sort=A","Dates=H","DateFormat=P","Fill=—","Direction=H","UseDPDF=Y")</f>
        <v>0</v>
      </c>
      <c r="F12" s="13">
        <f>_xll.BDH("WMT US Equity","NOTES_RECEIVABLE","FQ2 2017","FQ2 2017","Currency=USD","Period=FQ","BEST_FPERIOD_OVERRIDE=FQ","FILING_STATUS=MR","SCALING_FORMAT=MLN","Sort=A","Dates=H","DateFormat=P","Fill=—","Direction=H","UseDPDF=Y")</f>
        <v>0</v>
      </c>
      <c r="G12" s="13">
        <f>_xll.BDH("WMT US Equity","NOTES_RECEIVABLE","FQ3 2017","FQ3 2017","Currency=USD","Period=FQ","BEST_FPERIOD_OVERRIDE=FQ","FILING_STATUS=MR","SCALING_FORMAT=MLN","Sort=A","Dates=H","DateFormat=P","Fill=—","Direction=H","UseDPDF=Y")</f>
        <v>0</v>
      </c>
      <c r="H12" s="13">
        <f>_xll.BDH("WMT US Equity","NOTES_RECEIVABLE","FQ4 2017","FQ4 2017","Currency=USD","Period=FQ","BEST_FPERIOD_OVERRIDE=FQ","FILING_STATUS=MR","SCALING_FORMAT=MLN","Sort=A","Dates=H","DateFormat=P","Fill=—","Direction=H","UseDPDF=Y")</f>
        <v>0</v>
      </c>
      <c r="I12" s="13">
        <f>_xll.BDH("WMT US Equity","NOTES_RECEIVABLE","FQ1 2018","FQ1 2018","Currency=USD","Period=FQ","BEST_FPERIOD_OVERRIDE=FQ","FILING_STATUS=MR","SCALING_FORMAT=MLN","Sort=A","Dates=H","DateFormat=P","Fill=—","Direction=H","UseDPDF=Y")</f>
        <v>0</v>
      </c>
      <c r="J12" s="13">
        <f>_xll.BDH("WMT US Equity","NOTES_RECEIVABLE","FQ2 2018","FQ2 2018","Currency=USD","Period=FQ","BEST_FPERIOD_OVERRIDE=FQ","FILING_STATUS=MR","SCALING_FORMAT=MLN","Sort=A","Dates=H","DateFormat=P","Fill=—","Direction=H","UseDPDF=Y")</f>
        <v>0</v>
      </c>
      <c r="K12" s="13">
        <f>_xll.BDH("WMT US Equity","NOTES_RECEIVABLE","FQ3 2018","FQ3 2018","Currency=USD","Period=FQ","BEST_FPERIOD_OVERRIDE=FQ","FILING_STATUS=MR","SCALING_FORMAT=MLN","Sort=A","Dates=H","DateFormat=P","Fill=—","Direction=H","UseDPDF=Y")</f>
        <v>0</v>
      </c>
      <c r="L12" s="13">
        <f>_xll.BDH("WMT US Equity","NOTES_RECEIVABLE","FQ4 2018","FQ4 2018","Currency=USD","Period=FQ","BEST_FPERIOD_OVERRIDE=FQ","FILING_STATUS=MR","SCALING_FORMAT=MLN","Sort=A","Dates=H","DateFormat=P","Fill=—","Direction=H","UseDPDF=Y")</f>
        <v>0</v>
      </c>
      <c r="M12" s="13">
        <f>_xll.BDH("WMT US Equity","NOTES_RECEIVABLE","FQ1 2019","FQ1 2019","Currency=USD","Period=FQ","BEST_FPERIOD_OVERRIDE=FQ","FILING_STATUS=MR","SCALING_FORMAT=MLN","Sort=A","Dates=H","DateFormat=P","Fill=—","Direction=H","UseDPDF=Y")</f>
        <v>0</v>
      </c>
      <c r="N12" s="13">
        <f>_xll.BDH("WMT US Equity","NOTES_RECEIVABLE","FQ2 2019","FQ2 2019","Currency=USD","Period=FQ","BEST_FPERIOD_OVERRIDE=FQ","FILING_STATUS=MR","SCALING_FORMAT=MLN","Sort=A","Dates=H","DateFormat=P","Fill=—","Direction=H","UseDPDF=Y")</f>
        <v>0</v>
      </c>
      <c r="O12" s="13">
        <f>_xll.BDH("WMT US Equity","NOTES_RECEIVABLE","FQ3 2019","FQ3 2019","Currency=USD","Period=FQ","BEST_FPERIOD_OVERRIDE=FQ","FILING_STATUS=MR","SCALING_FORMAT=MLN","Sort=A","Dates=H","DateFormat=P","Fill=—","Direction=H","UseDPDF=Y")</f>
        <v>0</v>
      </c>
      <c r="P12" s="13">
        <f>_xll.BDH("WMT US Equity","NOTES_RECEIVABLE","FQ4 2019","FQ4 2019","Currency=USD","Period=FQ","BEST_FPERIOD_OVERRIDE=FQ","FILING_STATUS=MR","SCALING_FORMAT=MLN","Sort=A","Dates=H","DateFormat=P","Fill=—","Direction=H","UseDPDF=Y")</f>
        <v>0</v>
      </c>
      <c r="Q12" s="13">
        <f>_xll.BDH("WMT US Equity","NOTES_RECEIVABLE","FQ1 2020","FQ1 2020","Currency=USD","Period=FQ","BEST_FPERIOD_OVERRIDE=FQ","FILING_STATUS=MR","SCALING_FORMAT=MLN","Sort=A","Dates=H","DateFormat=P","Fill=—","Direction=H","UseDPDF=Y")</f>
        <v>0</v>
      </c>
      <c r="R12" s="13">
        <f>_xll.BDH("WMT US Equity","NOTES_RECEIVABLE","FQ2 2020","FQ2 2020","Currency=USD","Period=FQ","BEST_FPERIOD_OVERRIDE=FQ","FILING_STATUS=MR","SCALING_FORMAT=MLN","Sort=A","Dates=H","DateFormat=P","Fill=—","Direction=H","UseDPDF=Y")</f>
        <v>0</v>
      </c>
      <c r="S12" s="13">
        <f>_xll.BDH("WMT US Equity","NOTES_RECEIVABLE","FQ3 2020","FQ3 2020","Currency=USD","Period=FQ","BEST_FPERIOD_OVERRIDE=FQ","FILING_STATUS=MR","SCALING_FORMAT=MLN","Sort=A","Dates=H","DateFormat=P","Fill=—","Direction=H","UseDPDF=Y")</f>
        <v>0</v>
      </c>
      <c r="T12" s="13">
        <f>_xll.BDH("WMT US Equity","NOTES_RECEIVABLE","FQ4 2020","FQ4 2020","Currency=USD","Period=FQ","BEST_FPERIOD_OVERRIDE=FQ","FILING_STATUS=MR","SCALING_FORMAT=MLN","Sort=A","Dates=H","DateFormat=P","Fill=—","Direction=H","UseDPDF=Y")</f>
        <v>0</v>
      </c>
      <c r="U12" s="13">
        <f>_xll.BDH("WMT US Equity","NOTES_RECEIVABLE","FQ1 2021","FQ1 2021","Currency=USD","Period=FQ","BEST_FPERIOD_OVERRIDE=FQ","FILING_STATUS=MR","SCALING_FORMAT=MLN","Sort=A","Dates=H","DateFormat=P","Fill=—","Direction=H","UseDPDF=Y")</f>
        <v>0</v>
      </c>
      <c r="V12" s="13">
        <f>_xll.BDH("WMT US Equity","NOTES_RECEIVABLE","FQ2 2021","FQ2 2021","Currency=USD","Period=FQ","BEST_FPERIOD_OVERRIDE=FQ","FILING_STATUS=MR","SCALING_FORMAT=MLN","Sort=A","Dates=H","DateFormat=P","Fill=—","Direction=H","UseDPDF=Y")</f>
        <v>0</v>
      </c>
      <c r="W12" s="13">
        <f>_xll.BDH("WMT US Equity","NOTES_RECEIVABLE","FQ3 2021","FQ3 2021","Currency=USD","Period=FQ","BEST_FPERIOD_OVERRIDE=FQ","FILING_STATUS=MR","SCALING_FORMAT=MLN","Sort=A","Dates=H","DateFormat=P","Fill=—","Direction=H","UseDPDF=Y")</f>
        <v>0</v>
      </c>
      <c r="X12" s="13">
        <f>_xll.BDH("WMT US Equity","NOTES_RECEIVABLE","FQ4 2021","FQ4 2021","Currency=USD","Period=FQ","BEST_FPERIOD_OVERRIDE=FQ","FILING_STATUS=MR","SCALING_FORMAT=MLN","Sort=A","Dates=H","DateFormat=P","Fill=—","Direction=H","UseDPDF=Y")</f>
        <v>0</v>
      </c>
      <c r="Y12" s="13">
        <f>_xll.BDH("WMT US Equity","NOTES_RECEIVABLE","FQ1 2022","FQ1 2022","Currency=USD","Period=FQ","BEST_FPERIOD_OVERRIDE=FQ","FILING_STATUS=MR","SCALING_FORMAT=MLN","Sort=A","Dates=H","DateFormat=P","Fill=—","Direction=H","UseDPDF=Y")</f>
        <v>0</v>
      </c>
      <c r="Z12" s="13">
        <f>_xll.BDH("WMT US Equity","NOTES_RECEIVABLE","FQ2 2022","FQ2 2022","Currency=USD","Period=FQ","BEST_FPERIOD_OVERRIDE=FQ","FILING_STATUS=MR","SCALING_FORMAT=MLN","Sort=A","Dates=H","DateFormat=P","Fill=—","Direction=H","UseDPDF=Y")</f>
        <v>0</v>
      </c>
      <c r="AA12" s="13">
        <f>_xll.BDH("WMT US Equity","NOTES_RECEIVABLE","FQ3 2022","FQ3 2022","Currency=USD","Period=FQ","BEST_FPERIOD_OVERRIDE=FQ","FILING_STATUS=MR","SCALING_FORMAT=MLN","Sort=A","Dates=H","DateFormat=P","Fill=—","Direction=H","UseDPDF=Y")</f>
        <v>0</v>
      </c>
      <c r="AB12" s="13">
        <f>_xll.BDH("WMT US Equity","NOTES_RECEIVABLE","FQ4 2022","FQ4 2022","Currency=USD","Period=FQ","BEST_FPERIOD_OVERRIDE=FQ","FILING_STATUS=MR","SCALING_FORMAT=MLN","Sort=A","Dates=H","DateFormat=P","Fill=—","Direction=H","UseDPDF=Y")</f>
        <v>0</v>
      </c>
      <c r="AC12" s="13">
        <f>_xll.BDH("WMT US Equity","NOTES_RECEIVABLE","FQ1 2023","FQ1 2023","Currency=USD","Period=FQ","BEST_FPERIOD_OVERRIDE=FQ","FILING_STATUS=MR","SCALING_FORMAT=MLN","Sort=A","Dates=H","DateFormat=P","Fill=—","Direction=H","UseDPDF=Y")</f>
        <v>0</v>
      </c>
      <c r="AD12" s="13">
        <f>_xll.BDH("WMT US Equity","NOTES_RECEIVABLE","FQ2 2023","FQ2 2023","Currency=USD","Period=FQ","BEST_FPERIOD_OVERRIDE=FQ","FILING_STATUS=MR","SCALING_FORMAT=MLN","Sort=A","Dates=H","DateFormat=P","Fill=—","Direction=H","UseDPDF=Y")</f>
        <v>0</v>
      </c>
      <c r="AE12" s="13">
        <f>_xll.BDH("WMT US Equity","NOTES_RECEIVABLE","FQ3 2023","FQ3 2023","Currency=USD","Period=FQ","BEST_FPERIOD_OVERRIDE=FQ","FILING_STATUS=MR","SCALING_FORMAT=MLN","Sort=A","Dates=H","DateFormat=P","Fill=—","Direction=H","UseDPDF=Y")</f>
        <v>0</v>
      </c>
      <c r="AF12" s="13">
        <f>_xll.BDH("WMT US Equity","NOTES_RECEIVABLE","FQ4 2023","FQ4 2023","Currency=USD","Period=FQ","BEST_FPERIOD_OVERRIDE=FQ","FILING_STATUS=MR","SCALING_FORMAT=MLN","Sort=A","Dates=H","DateFormat=P","Fill=—","Direction=H","UseDPDF=Y")</f>
        <v>0</v>
      </c>
      <c r="AG12" s="13">
        <f>_xll.BDH("WMT US Equity","NOTES_RECEIVABLE","FQ1 2024","FQ1 2024","Currency=USD","Period=FQ","BEST_FPERIOD_OVERRIDE=FQ","FILING_STATUS=MR","SCALING_FORMAT=MLN","Sort=A","Dates=H","DateFormat=P","Fill=—","Direction=H","UseDPDF=Y")</f>
        <v>0</v>
      </c>
      <c r="AH12" s="13">
        <f>_xll.BDH("WMT US Equity","NOTES_RECEIVABLE","FQ2 2024","FQ2 2024","Currency=USD","Period=FQ","BEST_FPERIOD_OVERRIDE=FQ","FILING_STATUS=MR","SCALING_FORMAT=MLN","Sort=A","Dates=H","DateFormat=P","Fill=—","Direction=H","UseDPDF=Y")</f>
        <v>0</v>
      </c>
      <c r="AI12" s="13">
        <f>_xll.BDH("WMT US Equity","NOTES_RECEIVABLE","FQ3 2024","FQ3 2024","Currency=USD","Period=FQ","BEST_FPERIOD_OVERRIDE=FQ","FILING_STATUS=MR","SCALING_FORMAT=MLN","Sort=A","Dates=H","DateFormat=P","Fill=—","Direction=H","UseDPDF=Y")</f>
        <v>0</v>
      </c>
      <c r="AJ12" s="13">
        <f>_xll.BDH("WMT US Equity","NOTES_RECEIVABLE","FQ4 2024","FQ4 2024","Currency=USD","Period=FQ","BEST_FPERIOD_OVERRIDE=FQ","FILING_STATUS=MR","SCALING_FORMAT=MLN","Sort=A","Dates=H","DateFormat=P","Fill=—","Direction=H","UseDPDF=Y")</f>
        <v>0</v>
      </c>
      <c r="AK12" s="13">
        <f>_xll.BDH("WMT US Equity","NOTES_RECEIVABLE","FQ1 2025","FQ1 2025","Currency=USD","Period=FQ","BEST_FPERIOD_OVERRIDE=FQ","FILING_STATUS=MR","SCALING_FORMAT=MLN","Sort=A","Dates=H","DateFormat=P","Fill=—","Direction=H","UseDPDF=Y")</f>
        <v>0</v>
      </c>
      <c r="AL12" s="13">
        <f>_xll.BDH("WMT US Equity","NOTES_RECEIVABLE","FQ2 2025","FQ2 2025","Currency=USD","Period=FQ","BEST_FPERIOD_OVERRIDE=FQ","FILING_STATUS=MR","SCALING_FORMAT=MLN","Sort=A","Dates=H","DateFormat=P","Fill=—","Direction=H","UseDPDF=Y")</f>
        <v>0</v>
      </c>
      <c r="AM12" s="13">
        <f>_xll.BDH("WMT US Equity","NOTES_RECEIVABLE","FQ3 2025","FQ3 2025","Currency=USD","Period=FQ","BEST_FPERIOD_OVERRIDE=FQ","FILING_STATUS=MR","SCALING_FORMAT=MLN","Sort=A","Dates=H","DateFormat=P","Fill=—","Direction=H","UseDPDF=Y")</f>
        <v>0</v>
      </c>
      <c r="AN12" s="13">
        <f>_xll.BDH("WMT US Equity","NOTES_RECEIVABLE","FQ4 2025","FQ4 2025","Currency=USD","Period=FQ","BEST_FPERIOD_OVERRIDE=FQ","FILING_STATUS=MR","SCALING_FORMAT=MLN","Sort=A","Dates=H","DateFormat=P","Fill=—","Direction=H","UseDPDF=Y")</f>
        <v>0</v>
      </c>
      <c r="AO12" s="13">
        <f>_xll.BDH("WMT US Equity","NOTES_RECEIVABLE","FQ1 2026","FQ1 2026","Currency=USD","Period=FQ","BEST_FPERIOD_OVERRIDE=FQ","FILING_STATUS=MR","SCALING_FORMAT=MLN","Sort=A","Dates=H","DateFormat=P","Fill=—","Direction=H","UseDPDF=Y")</f>
        <v>0</v>
      </c>
      <c r="AP12" s="13">
        <f>_xll.BDH("WMT US Equity","NOTES_RECEIVABLE","FQ2 2026","FQ2 2026","Currency=USD","Period=FQ","BEST_FPERIOD_OVERRIDE=FQ","FILING_STATUS=MR","SCALING_FORMAT=MLN","Sort=A","Dates=H","DateFormat=P","Fill=—","Direction=H","UseDPDF=Y")</f>
        <v>0</v>
      </c>
    </row>
    <row r="13" spans="1:42" x14ac:dyDescent="0.3">
      <c r="A13" s="10" t="s">
        <v>196</v>
      </c>
      <c r="B13" s="10" t="s">
        <v>91</v>
      </c>
      <c r="C13" s="13">
        <f>_xll.BDH("WMT US Equity","BS_INVENTORIES","FQ3 2016","FQ3 2016","Currency=USD","Period=FQ","BEST_FPERIOD_OVERRIDE=FQ","FILING_STATUS=MR","SCALING_FORMAT=MLN","Sort=A","Dates=H","DateFormat=P","Fill=—","Direction=H","UseDPDF=Y")</f>
        <v>50706</v>
      </c>
      <c r="D13" s="13">
        <f>_xll.BDH("WMT US Equity","BS_INVENTORIES","FQ4 2016","FQ4 2016","Currency=USD","Period=FQ","BEST_FPERIOD_OVERRIDE=FQ","FILING_STATUS=MR","SCALING_FORMAT=MLN","Sort=A","Dates=H","DateFormat=P","Fill=—","Direction=H","UseDPDF=Y")</f>
        <v>44469</v>
      </c>
      <c r="E13" s="13">
        <f>_xll.BDH("WMT US Equity","BS_INVENTORIES","FQ1 2017","FQ1 2017","Currency=USD","Period=FQ","BEST_FPERIOD_OVERRIDE=FQ","FILING_STATUS=MR","SCALING_FORMAT=MLN","Sort=A","Dates=H","DateFormat=P","Fill=—","Direction=H","UseDPDF=Y")</f>
        <v>44513</v>
      </c>
      <c r="F13" s="13">
        <f>_xll.BDH("WMT US Equity","BS_INVENTORIES","FQ2 2017","FQ2 2017","Currency=USD","Period=FQ","BEST_FPERIOD_OVERRIDE=FQ","FILING_STATUS=MR","SCALING_FORMAT=MLN","Sort=A","Dates=H","DateFormat=P","Fill=—","Direction=H","UseDPDF=Y")</f>
        <v>43453</v>
      </c>
      <c r="G13" s="13">
        <f>_xll.BDH("WMT US Equity","BS_INVENTORIES","FQ3 2017","FQ3 2017","Currency=USD","Period=FQ","BEST_FPERIOD_OVERRIDE=FQ","FILING_STATUS=MR","SCALING_FORMAT=MLN","Sort=A","Dates=H","DateFormat=P","Fill=—","Direction=H","UseDPDF=Y")</f>
        <v>49822</v>
      </c>
      <c r="H13" s="13">
        <f>_xll.BDH("WMT US Equity","BS_INVENTORIES","FQ4 2017","FQ4 2017","Currency=USD","Period=FQ","BEST_FPERIOD_OVERRIDE=FQ","FILING_STATUS=MR","SCALING_FORMAT=MLN","Sort=A","Dates=H","DateFormat=P","Fill=—","Direction=H","UseDPDF=Y")</f>
        <v>43046</v>
      </c>
      <c r="I13" s="13">
        <f>_xll.BDH("WMT US Equity","BS_INVENTORIES","FQ1 2018","FQ1 2018","Currency=USD","Period=FQ","BEST_FPERIOD_OVERRIDE=FQ","FILING_STATUS=MR","SCALING_FORMAT=MLN","Sort=A","Dates=H","DateFormat=P","Fill=—","Direction=H","UseDPDF=Y")</f>
        <v>43361</v>
      </c>
      <c r="J13" s="13">
        <f>_xll.BDH("WMT US Equity","BS_INVENTORIES","FQ2 2018","FQ2 2018","Currency=USD","Period=FQ","BEST_FPERIOD_OVERRIDE=FQ","FILING_STATUS=MR","SCALING_FORMAT=MLN","Sort=A","Dates=H","DateFormat=P","Fill=—","Direction=H","UseDPDF=Y")</f>
        <v>43442</v>
      </c>
      <c r="K13" s="13">
        <f>_xll.BDH("WMT US Equity","BS_INVENTORIES","FQ3 2018","FQ3 2018","Currency=USD","Period=FQ","BEST_FPERIOD_OVERRIDE=FQ","FILING_STATUS=MR","SCALING_FORMAT=MLN","Sort=A","Dates=H","DateFormat=P","Fill=—","Direction=H","UseDPDF=Y")</f>
        <v>50147</v>
      </c>
      <c r="L13" s="13">
        <f>_xll.BDH("WMT US Equity","BS_INVENTORIES","FQ4 2018","FQ4 2018","Currency=USD","Period=FQ","BEST_FPERIOD_OVERRIDE=FQ","FILING_STATUS=MR","SCALING_FORMAT=MLN","Sort=A","Dates=H","DateFormat=P","Fill=—","Direction=H","UseDPDF=Y")</f>
        <v>43783</v>
      </c>
      <c r="M13" s="13">
        <f>_xll.BDH("WMT US Equity","BS_INVENTORIES","FQ1 2019","FQ1 2019","Currency=USD","Period=FQ","BEST_FPERIOD_OVERRIDE=FQ","FILING_STATUS=MR","SCALING_FORMAT=MLN","Sort=A","Dates=H","DateFormat=P","Fill=—","Direction=H","UseDPDF=Y")</f>
        <v>43303</v>
      </c>
      <c r="N13" s="13">
        <f>_xll.BDH("WMT US Equity","BS_INVENTORIES","FQ2 2019","FQ2 2019","Currency=USD","Period=FQ","BEST_FPERIOD_OVERRIDE=FQ","FILING_STATUS=MR","SCALING_FORMAT=MLN","Sort=A","Dates=H","DateFormat=P","Fill=—","Direction=H","UseDPDF=Y")</f>
        <v>41985</v>
      </c>
      <c r="O13" s="13">
        <f>_xll.BDH("WMT US Equity","BS_INVENTORIES","FQ3 2019","FQ3 2019","Currency=USD","Period=FQ","BEST_FPERIOD_OVERRIDE=FQ","FILING_STATUS=MR","SCALING_FORMAT=MLN","Sort=A","Dates=H","DateFormat=P","Fill=—","Direction=H","UseDPDF=Y")</f>
        <v>50380</v>
      </c>
      <c r="P13" s="13">
        <f>_xll.BDH("WMT US Equity","BS_INVENTORIES","FQ4 2019","FQ4 2019","Currency=USD","Period=FQ","BEST_FPERIOD_OVERRIDE=FQ","FILING_STATUS=MR","SCALING_FORMAT=MLN","Sort=A","Dates=H","DateFormat=P","Fill=—","Direction=H","UseDPDF=Y")</f>
        <v>44269</v>
      </c>
      <c r="Q13" s="13">
        <f>_xll.BDH("WMT US Equity","BS_INVENTORIES","FQ1 2020","FQ1 2020","Currency=USD","Period=FQ","BEST_FPERIOD_OVERRIDE=FQ","FILING_STATUS=MR","SCALING_FORMAT=MLN","Sort=A","Dates=H","DateFormat=P","Fill=—","Direction=H","UseDPDF=Y")</f>
        <v>44751</v>
      </c>
      <c r="R13" s="13">
        <f>_xll.BDH("WMT US Equity","BS_INVENTORIES","FQ2 2020","FQ2 2020","Currency=USD","Period=FQ","BEST_FPERIOD_OVERRIDE=FQ","FILING_STATUS=MR","SCALING_FORMAT=MLN","Sort=A","Dates=H","DateFormat=P","Fill=—","Direction=H","UseDPDF=Y")</f>
        <v>44134</v>
      </c>
      <c r="S13" s="13">
        <f>_xll.BDH("WMT US Equity","BS_INVENTORIES","FQ3 2020","FQ3 2020","Currency=USD","Period=FQ","BEST_FPERIOD_OVERRIDE=FQ","FILING_STATUS=MR","SCALING_FORMAT=MLN","Sort=A","Dates=H","DateFormat=P","Fill=—","Direction=H","UseDPDF=Y")</f>
        <v>51546</v>
      </c>
      <c r="T13" s="13">
        <f>_xll.BDH("WMT US Equity","BS_INVENTORIES","FQ4 2020","FQ4 2020","Currency=USD","Period=FQ","BEST_FPERIOD_OVERRIDE=FQ","FILING_STATUS=MR","SCALING_FORMAT=MLN","Sort=A","Dates=H","DateFormat=P","Fill=—","Direction=H","UseDPDF=Y")</f>
        <v>44435</v>
      </c>
      <c r="U13" s="13">
        <f>_xll.BDH("WMT US Equity","BS_INVENTORIES","FQ1 2021","FQ1 2021","Currency=USD","Period=FQ","BEST_FPERIOD_OVERRIDE=FQ","FILING_STATUS=MR","SCALING_FORMAT=MLN","Sort=A","Dates=H","DateFormat=P","Fill=—","Direction=H","UseDPDF=Y")</f>
        <v>41217</v>
      </c>
      <c r="V13" s="13">
        <f>_xll.BDH("WMT US Equity","BS_INVENTORIES","FQ2 2021","FQ2 2021","Currency=USD","Period=FQ","BEST_FPERIOD_OVERRIDE=FQ","FILING_STATUS=MR","SCALING_FORMAT=MLN","Sort=A","Dates=H","DateFormat=P","Fill=—","Direction=H","UseDPDF=Y")</f>
        <v>41084</v>
      </c>
      <c r="W13" s="13">
        <f>_xll.BDH("WMT US Equity","BS_INVENTORIES","FQ3 2021","FQ3 2021","Currency=USD","Period=FQ","BEST_FPERIOD_OVERRIDE=FQ","FILING_STATUS=MR","SCALING_FORMAT=MLN","Sort=A","Dates=H","DateFormat=P","Fill=—","Direction=H","UseDPDF=Y")</f>
        <v>51842</v>
      </c>
      <c r="X13" s="13">
        <f>_xll.BDH("WMT US Equity","BS_INVENTORIES","FQ4 2021","FQ4 2021","Currency=USD","Period=FQ","BEST_FPERIOD_OVERRIDE=FQ","FILING_STATUS=MR","SCALING_FORMAT=MLN","Sort=A","Dates=H","DateFormat=P","Fill=—","Direction=H","UseDPDF=Y")</f>
        <v>44949</v>
      </c>
      <c r="Y13" s="13">
        <f>_xll.BDH("WMT US Equity","BS_INVENTORIES","FQ1 2022","FQ1 2022","Currency=USD","Period=FQ","BEST_FPERIOD_OVERRIDE=FQ","FILING_STATUS=MR","SCALING_FORMAT=MLN","Sort=A","Dates=H","DateFormat=P","Fill=—","Direction=H","UseDPDF=Y")</f>
        <v>46383</v>
      </c>
      <c r="Z13" s="13">
        <f>_xll.BDH("WMT US Equity","BS_INVENTORIES","FQ2 2022","FQ2 2022","Currency=USD","Period=FQ","BEST_FPERIOD_OVERRIDE=FQ","FILING_STATUS=MR","SCALING_FORMAT=MLN","Sort=A","Dates=H","DateFormat=P","Fill=—","Direction=H","UseDPDF=Y")</f>
        <v>47754</v>
      </c>
      <c r="AA13" s="13">
        <f>_xll.BDH("WMT US Equity","BS_INVENTORIES","FQ3 2022","FQ3 2022","Currency=USD","Period=FQ","BEST_FPERIOD_OVERRIDE=FQ","FILING_STATUS=MR","SCALING_FORMAT=MLN","Sort=A","Dates=H","DateFormat=P","Fill=—","Direction=H","UseDPDF=Y")</f>
        <v>57484</v>
      </c>
      <c r="AB13" s="13">
        <f>_xll.BDH("WMT US Equity","BS_INVENTORIES","FQ4 2022","FQ4 2022","Currency=USD","Period=FQ","BEST_FPERIOD_OVERRIDE=FQ","FILING_STATUS=MR","SCALING_FORMAT=MLN","Sort=A","Dates=H","DateFormat=P","Fill=—","Direction=H","UseDPDF=Y")</f>
        <v>56511</v>
      </c>
      <c r="AC13" s="13">
        <f>_xll.BDH("WMT US Equity","BS_INVENTORIES","FQ1 2023","FQ1 2023","Currency=USD","Period=FQ","BEST_FPERIOD_OVERRIDE=FQ","FILING_STATUS=MR","SCALING_FORMAT=MLN","Sort=A","Dates=H","DateFormat=P","Fill=—","Direction=H","UseDPDF=Y")</f>
        <v>61229</v>
      </c>
      <c r="AD13" s="13">
        <f>_xll.BDH("WMT US Equity","BS_INVENTORIES","FQ2 2023","FQ2 2023","Currency=USD","Period=FQ","BEST_FPERIOD_OVERRIDE=FQ","FILING_STATUS=MR","SCALING_FORMAT=MLN","Sort=A","Dates=H","DateFormat=P","Fill=—","Direction=H","UseDPDF=Y")</f>
        <v>59921</v>
      </c>
      <c r="AE13" s="13">
        <f>_xll.BDH("WMT US Equity","BS_INVENTORIES","FQ3 2023","FQ3 2023","Currency=USD","Period=FQ","BEST_FPERIOD_OVERRIDE=FQ","FILING_STATUS=MR","SCALING_FORMAT=MLN","Sort=A","Dates=H","DateFormat=P","Fill=—","Direction=H","UseDPDF=Y")</f>
        <v>64706</v>
      </c>
      <c r="AF13" s="13">
        <f>_xll.BDH("WMT US Equity","BS_INVENTORIES","FQ4 2023","FQ4 2023","Currency=USD","Period=FQ","BEST_FPERIOD_OVERRIDE=FQ","FILING_STATUS=MR","SCALING_FORMAT=MLN","Sort=A","Dates=H","DateFormat=P","Fill=—","Direction=H","UseDPDF=Y")</f>
        <v>56576</v>
      </c>
      <c r="AG13" s="13">
        <f>_xll.BDH("WMT US Equity","BS_INVENTORIES","FQ1 2024","FQ1 2024","Currency=USD","Period=FQ","BEST_FPERIOD_OVERRIDE=FQ","FILING_STATUS=MR","SCALING_FORMAT=MLN","Sort=A","Dates=H","DateFormat=P","Fill=—","Direction=H","UseDPDF=Y")</f>
        <v>56932</v>
      </c>
      <c r="AH13" s="13">
        <f>_xll.BDH("WMT US Equity","BS_INVENTORIES","FQ2 2024","FQ2 2024","Currency=USD","Period=FQ","BEST_FPERIOD_OVERRIDE=FQ","FILING_STATUS=MR","SCALING_FORMAT=MLN","Sort=A","Dates=H","DateFormat=P","Fill=—","Direction=H","UseDPDF=Y")</f>
        <v>56722</v>
      </c>
      <c r="AI13" s="13">
        <f>_xll.BDH("WMT US Equity","BS_INVENTORIES","FQ3 2024","FQ3 2024","Currency=USD","Period=FQ","BEST_FPERIOD_OVERRIDE=FQ","FILING_STATUS=MR","SCALING_FORMAT=MLN","Sort=A","Dates=H","DateFormat=P","Fill=—","Direction=H","UseDPDF=Y")</f>
        <v>63951</v>
      </c>
      <c r="AJ13" s="13">
        <f>_xll.BDH("WMT US Equity","BS_INVENTORIES","FQ4 2024","FQ4 2024","Currency=USD","Period=FQ","BEST_FPERIOD_OVERRIDE=FQ","FILING_STATUS=MR","SCALING_FORMAT=MLN","Sort=A","Dates=H","DateFormat=P","Fill=—","Direction=H","UseDPDF=Y")</f>
        <v>54892</v>
      </c>
      <c r="AK13" s="13">
        <f>_xll.BDH("WMT US Equity","BS_INVENTORIES","FQ1 2025","FQ1 2025","Currency=USD","Period=FQ","BEST_FPERIOD_OVERRIDE=FQ","FILING_STATUS=MR","SCALING_FORMAT=MLN","Sort=A","Dates=H","DateFormat=P","Fill=—","Direction=H","UseDPDF=Y")</f>
        <v>55382</v>
      </c>
      <c r="AL13" s="13">
        <f>_xll.BDH("WMT US Equity","BS_INVENTORIES","FQ2 2025","FQ2 2025","Currency=USD","Period=FQ","BEST_FPERIOD_OVERRIDE=FQ","FILING_STATUS=MR","SCALING_FORMAT=MLN","Sort=A","Dates=H","DateFormat=P","Fill=—","Direction=H","UseDPDF=Y")</f>
        <v>55611</v>
      </c>
      <c r="AM13" s="13">
        <f>_xll.BDH("WMT US Equity","BS_INVENTORIES","FQ3 2025","FQ3 2025","Currency=USD","Period=FQ","BEST_FPERIOD_OVERRIDE=FQ","FILING_STATUS=MR","SCALING_FORMAT=MLN","Sort=A","Dates=H","DateFormat=P","Fill=—","Direction=H","UseDPDF=Y")</f>
        <v>63302</v>
      </c>
      <c r="AN13" s="13">
        <f>_xll.BDH("WMT US Equity","BS_INVENTORIES","FQ4 2025","FQ4 2025","Currency=USD","Period=FQ","BEST_FPERIOD_OVERRIDE=FQ","FILING_STATUS=MR","SCALING_FORMAT=MLN","Sort=A","Dates=H","DateFormat=P","Fill=—","Direction=H","UseDPDF=Y")</f>
        <v>56435</v>
      </c>
      <c r="AO13" s="13">
        <f>_xll.BDH("WMT US Equity","BS_INVENTORIES","FQ1 2026","FQ1 2026","Currency=USD","Period=FQ","BEST_FPERIOD_OVERRIDE=FQ","FILING_STATUS=MR","SCALING_FORMAT=MLN","Sort=A","Dates=H","DateFormat=P","Fill=—","Direction=H","UseDPDF=Y")</f>
        <v>57467</v>
      </c>
      <c r="AP13" s="13">
        <f>_xll.BDH("WMT US Equity","BS_INVENTORIES","FQ2 2026","FQ2 2026","Currency=USD","Period=FQ","BEST_FPERIOD_OVERRIDE=FQ","FILING_STATUS=MR","SCALING_FORMAT=MLN","Sort=A","Dates=H","DateFormat=P","Fill=—","Direction=H","UseDPDF=Y")</f>
        <v>57729</v>
      </c>
    </row>
    <row r="14" spans="1:42" x14ac:dyDescent="0.3">
      <c r="A14" s="10" t="s">
        <v>197</v>
      </c>
      <c r="B14" s="10" t="s">
        <v>92</v>
      </c>
      <c r="C14" s="13">
        <f>_xll.BDH("WMT US Equity","OTHER_CURRENT_ASSETS_DETAILED","FQ3 2016","FQ3 2016","Currency=USD","Period=FQ","BEST_FPERIOD_OVERRIDE=FQ","FILING_STATUS=MR","SCALING_FORMAT=MLN","Sort=A","Dates=H","DateFormat=P","Fill=—","Direction=H","UseDPDF=Y")</f>
        <v>2404</v>
      </c>
      <c r="D14" s="13">
        <f>_xll.BDH("WMT US Equity","OTHER_CURRENT_ASSETS_DETAILED","FQ4 2016","FQ4 2016","Currency=USD","Period=FQ","BEST_FPERIOD_OVERRIDE=FQ","FILING_STATUS=MR","SCALING_FORMAT=MLN","Sort=A","Dates=H","DateFormat=P","Fill=—","Direction=H","UseDPDF=Y")</f>
        <v>1441</v>
      </c>
      <c r="E14" s="13">
        <f>_xll.BDH("WMT US Equity","OTHER_CURRENT_ASSETS_DETAILED","FQ1 2017","FQ1 2017","Currency=USD","Period=FQ","BEST_FPERIOD_OVERRIDE=FQ","FILING_STATUS=MR","SCALING_FORMAT=MLN","Sort=A","Dates=H","DateFormat=P","Fill=—","Direction=H","UseDPDF=Y")</f>
        <v>1800</v>
      </c>
      <c r="F14" s="13">
        <f>_xll.BDH("WMT US Equity","OTHER_CURRENT_ASSETS_DETAILED","FQ2 2017","FQ2 2017","Currency=USD","Period=FQ","BEST_FPERIOD_OVERRIDE=FQ","FILING_STATUS=MR","SCALING_FORMAT=MLN","Sort=A","Dates=H","DateFormat=P","Fill=—","Direction=H","UseDPDF=Y")</f>
        <v>1828</v>
      </c>
      <c r="G14" s="13">
        <f>_xll.BDH("WMT US Equity","OTHER_CURRENT_ASSETS_DETAILED","FQ3 2017","FQ3 2017","Currency=USD","Period=FQ","BEST_FPERIOD_OVERRIDE=FQ","FILING_STATUS=MR","SCALING_FORMAT=MLN","Sort=A","Dates=H","DateFormat=P","Fill=—","Direction=H","UseDPDF=Y")</f>
        <v>2296</v>
      </c>
      <c r="H14" s="13">
        <f>_xll.BDH("WMT US Equity","OTHER_CURRENT_ASSETS_DETAILED","FQ4 2017","FQ4 2017","Currency=USD","Period=FQ","BEST_FPERIOD_OVERRIDE=FQ","FILING_STATUS=MR","SCALING_FORMAT=MLN","Sort=A","Dates=H","DateFormat=P","Fill=—","Direction=H","UseDPDF=Y")</f>
        <v>1941</v>
      </c>
      <c r="I14" s="13">
        <f>_xll.BDH("WMT US Equity","OTHER_CURRENT_ASSETS_DETAILED","FQ1 2018","FQ1 2018","Currency=USD","Period=FQ","BEST_FPERIOD_OVERRIDE=FQ","FILING_STATUS=MR","SCALING_FORMAT=MLN","Sort=A","Dates=H","DateFormat=P","Fill=—","Direction=H","UseDPDF=Y")</f>
        <v>2178</v>
      </c>
      <c r="J14" s="13">
        <f>_xll.BDH("WMT US Equity","OTHER_CURRENT_ASSETS_DETAILED","FQ2 2018","FQ2 2018","Currency=USD","Period=FQ","BEST_FPERIOD_OVERRIDE=FQ","FILING_STATUS=MR","SCALING_FORMAT=MLN","Sort=A","Dates=H","DateFormat=P","Fill=—","Direction=H","UseDPDF=Y")</f>
        <v>1457</v>
      </c>
      <c r="K14" s="13">
        <f>_xll.BDH("WMT US Equity","OTHER_CURRENT_ASSETS_DETAILED","FQ3 2018","FQ3 2018","Currency=USD","Period=FQ","BEST_FPERIOD_OVERRIDE=FQ","FILING_STATUS=MR","SCALING_FORMAT=MLN","Sort=A","Dates=H","DateFormat=P","Fill=—","Direction=H","UseDPDF=Y")</f>
        <v>2330</v>
      </c>
      <c r="L14" s="13">
        <f>_xll.BDH("WMT US Equity","OTHER_CURRENT_ASSETS_DETAILED","FQ4 2018","FQ4 2018","Currency=USD","Period=FQ","BEST_FPERIOD_OVERRIDE=FQ","FILING_STATUS=MR","SCALING_FORMAT=MLN","Sort=A","Dates=H","DateFormat=P","Fill=—","Direction=H","UseDPDF=Y")</f>
        <v>3511</v>
      </c>
      <c r="M14" s="13">
        <f>_xll.BDH("WMT US Equity","OTHER_CURRENT_ASSETS_DETAILED","FQ1 2019","FQ1 2019","Currency=USD","Period=FQ","BEST_FPERIOD_OVERRIDE=FQ","FILING_STATUS=MR","SCALING_FORMAT=MLN","Sort=A","Dates=H","DateFormat=P","Fill=—","Direction=H","UseDPDF=Y")</f>
        <v>3486</v>
      </c>
      <c r="N14" s="13">
        <f>_xll.BDH("WMT US Equity","OTHER_CURRENT_ASSETS_DETAILED","FQ2 2019","FQ2 2019","Currency=USD","Period=FQ","BEST_FPERIOD_OVERRIDE=FQ","FILING_STATUS=MR","SCALING_FORMAT=MLN","Sort=A","Dates=H","DateFormat=P","Fill=—","Direction=H","UseDPDF=Y")</f>
        <v>3543</v>
      </c>
      <c r="O14" s="13">
        <f>_xll.BDH("WMT US Equity","OTHER_CURRENT_ASSETS_DETAILED","FQ3 2019","FQ3 2019","Currency=USD","Period=FQ","BEST_FPERIOD_OVERRIDE=FQ","FILING_STATUS=MR","SCALING_FORMAT=MLN","Sort=A","Dates=H","DateFormat=P","Fill=—","Direction=H","UseDPDF=Y")</f>
        <v>4107</v>
      </c>
      <c r="P14" s="13">
        <f>_xll.BDH("WMT US Equity","OTHER_CURRENT_ASSETS_DETAILED","FQ4 2019","FQ4 2019","Currency=USD","Period=FQ","BEST_FPERIOD_OVERRIDE=FQ","FILING_STATUS=MR","SCALING_FORMAT=MLN","Sort=A","Dates=H","DateFormat=P","Fill=—","Direction=H","UseDPDF=Y")</f>
        <v>3623</v>
      </c>
      <c r="Q14" s="13">
        <f>_xll.BDH("WMT US Equity","OTHER_CURRENT_ASSETS_DETAILED","FQ1 2020","FQ1 2020","Currency=USD","Period=FQ","BEST_FPERIOD_OVERRIDE=FQ","FILING_STATUS=MR","SCALING_FORMAT=MLN","Sort=A","Dates=H","DateFormat=P","Fill=—","Direction=H","UseDPDF=Y")</f>
        <v>2391</v>
      </c>
      <c r="R14" s="13">
        <f>_xll.BDH("WMT US Equity","OTHER_CURRENT_ASSETS_DETAILED","FQ2 2020","FQ2 2020","Currency=USD","Period=FQ","BEST_FPERIOD_OVERRIDE=FQ","FILING_STATUS=MR","SCALING_FORMAT=MLN","Sort=A","Dates=H","DateFormat=P","Fill=—","Direction=H","UseDPDF=Y")</f>
        <v>2572</v>
      </c>
      <c r="S14" s="13">
        <f>_xll.BDH("WMT US Equity","OTHER_CURRENT_ASSETS_DETAILED","FQ3 2020","FQ3 2020","Currency=USD","Period=FQ","BEST_FPERIOD_OVERRIDE=FQ","FILING_STATUS=MR","SCALING_FORMAT=MLN","Sort=A","Dates=H","DateFormat=P","Fill=—","Direction=H","UseDPDF=Y")</f>
        <v>2148</v>
      </c>
      <c r="T14" s="13">
        <f>_xll.BDH("WMT US Equity","OTHER_CURRENT_ASSETS_DETAILED","FQ4 2020","FQ4 2020","Currency=USD","Period=FQ","BEST_FPERIOD_OVERRIDE=FQ","FILING_STATUS=MR","SCALING_FORMAT=MLN","Sort=A","Dates=H","DateFormat=P","Fill=—","Direction=H","UseDPDF=Y")</f>
        <v>1622</v>
      </c>
      <c r="U14" s="13">
        <f>_xll.BDH("WMT US Equity","OTHER_CURRENT_ASSETS_DETAILED","FQ1 2021","FQ1 2021","Currency=USD","Period=FQ","BEST_FPERIOD_OVERRIDE=FQ","FILING_STATUS=MR","SCALING_FORMAT=MLN","Sort=A","Dates=H","DateFormat=P","Fill=—","Direction=H","UseDPDF=Y")</f>
        <v>2152</v>
      </c>
      <c r="V14" s="13">
        <f>_xll.BDH("WMT US Equity","OTHER_CURRENT_ASSETS_DETAILED","FQ2 2021","FQ2 2021","Currency=USD","Period=FQ","BEST_FPERIOD_OVERRIDE=FQ","FILING_STATUS=MR","SCALING_FORMAT=MLN","Sort=A","Dates=H","DateFormat=P","Fill=—","Direction=H","UseDPDF=Y")</f>
        <v>1895</v>
      </c>
      <c r="W14" s="13">
        <f>_xll.BDH("WMT US Equity","OTHER_CURRENT_ASSETS_DETAILED","FQ3 2021","FQ3 2021","Currency=USD","Period=FQ","BEST_FPERIOD_OVERRIDE=FQ","FILING_STATUS=MR","SCALING_FORMAT=MLN","Sort=A","Dates=H","DateFormat=P","Fill=—","Direction=H","UseDPDF=Y")</f>
        <v>1665</v>
      </c>
      <c r="X14" s="13">
        <f>_xll.BDH("WMT US Equity","OTHER_CURRENT_ASSETS_DETAILED","FQ4 2021","FQ4 2021","Currency=USD","Period=FQ","BEST_FPERIOD_OVERRIDE=FQ","FILING_STATUS=MR","SCALING_FORMAT=MLN","Sort=A","Dates=H","DateFormat=P","Fill=—","Direction=H","UseDPDF=Y")</f>
        <v>20861</v>
      </c>
      <c r="Y14" s="13">
        <f>_xll.BDH("WMT US Equity","OTHER_CURRENT_ASSETS_DETAILED","FQ1 2022","FQ1 2022","Currency=USD","Period=FQ","BEST_FPERIOD_OVERRIDE=FQ","FILING_STATUS=MR","SCALING_FORMAT=MLN","Sort=A","Dates=H","DateFormat=P","Fill=—","Direction=H","UseDPDF=Y")</f>
        <v>1565</v>
      </c>
      <c r="Z14" s="13">
        <f>_xll.BDH("WMT US Equity","OTHER_CURRENT_ASSETS_DETAILED","FQ2 2022","FQ2 2022","Currency=USD","Period=FQ","BEST_FPERIOD_OVERRIDE=FQ","FILING_STATUS=MR","SCALING_FORMAT=MLN","Sort=A","Dates=H","DateFormat=P","Fill=—","Direction=H","UseDPDF=Y")</f>
        <v>1555</v>
      </c>
      <c r="AA14" s="13">
        <f>_xll.BDH("WMT US Equity","OTHER_CURRENT_ASSETS_DETAILED","FQ3 2022","FQ3 2022","Currency=USD","Period=FQ","BEST_FPERIOD_OVERRIDE=FQ","FILING_STATUS=MR","SCALING_FORMAT=MLN","Sort=A","Dates=H","DateFormat=P","Fill=—","Direction=H","UseDPDF=Y")</f>
        <v>2020</v>
      </c>
      <c r="AB14" s="13">
        <f>_xll.BDH("WMT US Equity","OTHER_CURRENT_ASSETS_DETAILED","FQ4 2022","FQ4 2022","Currency=USD","Period=FQ","BEST_FPERIOD_OVERRIDE=FQ","FILING_STATUS=MR","SCALING_FORMAT=MLN","Sort=A","Dates=H","DateFormat=P","Fill=—","Direction=H","UseDPDF=Y")</f>
        <v>1519</v>
      </c>
      <c r="AC14" s="13">
        <f>_xll.BDH("WMT US Equity","OTHER_CURRENT_ASSETS_DETAILED","FQ1 2023","FQ1 2023","Currency=USD","Period=FQ","BEST_FPERIOD_OVERRIDE=FQ","FILING_STATUS=MR","SCALING_FORMAT=MLN","Sort=A","Dates=H","DateFormat=P","Fill=—","Direction=H","UseDPDF=Y")</f>
        <v>2500</v>
      </c>
      <c r="AD14" s="13">
        <f>_xll.BDH("WMT US Equity","OTHER_CURRENT_ASSETS_DETAILED","FQ2 2023","FQ2 2023","Currency=USD","Period=FQ","BEST_FPERIOD_OVERRIDE=FQ","FILING_STATUS=MR","SCALING_FORMAT=MLN","Sort=A","Dates=H","DateFormat=P","Fill=—","Direction=H","UseDPDF=Y")</f>
        <v>2798</v>
      </c>
      <c r="AE14" s="13">
        <f>_xll.BDH("WMT US Equity","OTHER_CURRENT_ASSETS_DETAILED","FQ3 2023","FQ3 2023","Currency=USD","Period=FQ","BEST_FPERIOD_OVERRIDE=FQ","FILING_STATUS=MR","SCALING_FORMAT=MLN","Sort=A","Dates=H","DateFormat=P","Fill=—","Direction=H","UseDPDF=Y")</f>
        <v>3169</v>
      </c>
      <c r="AF14" s="13">
        <f>_xll.BDH("WMT US Equity","OTHER_CURRENT_ASSETS_DETAILED","FQ4 2023","FQ4 2023","Currency=USD","Period=FQ","BEST_FPERIOD_OVERRIDE=FQ","FILING_STATUS=MR","SCALING_FORMAT=MLN","Sort=A","Dates=H","DateFormat=P","Fill=—","Direction=H","UseDPDF=Y")</f>
        <v>2521</v>
      </c>
      <c r="AG14" s="13">
        <f>_xll.BDH("WMT US Equity","OTHER_CURRENT_ASSETS_DETAILED","FQ1 2024","FQ1 2024","Currency=USD","Period=FQ","BEST_FPERIOD_OVERRIDE=FQ","FILING_STATUS=MR","SCALING_FORMAT=MLN","Sort=A","Dates=H","DateFormat=P","Fill=—","Direction=H","UseDPDF=Y")</f>
        <v>3357</v>
      </c>
      <c r="AH14" s="13">
        <f>_xll.BDH("WMT US Equity","OTHER_CURRENT_ASSETS_DETAILED","FQ2 2024","FQ2 2024","Currency=USD","Period=FQ","BEST_FPERIOD_OVERRIDE=FQ","FILING_STATUS=MR","SCALING_FORMAT=MLN","Sort=A","Dates=H","DateFormat=P","Fill=—","Direction=H","UseDPDF=Y")</f>
        <v>3531</v>
      </c>
      <c r="AI14" s="13">
        <f>_xll.BDH("WMT US Equity","OTHER_CURRENT_ASSETS_DETAILED","FQ3 2024","FQ3 2024","Currency=USD","Period=FQ","BEST_FPERIOD_OVERRIDE=FQ","FILING_STATUS=MR","SCALING_FORMAT=MLN","Sort=A","Dates=H","DateFormat=P","Fill=—","Direction=H","UseDPDF=Y")</f>
        <v>3661</v>
      </c>
      <c r="AJ14" s="13">
        <f>_xll.BDH("WMT US Equity","OTHER_CURRENT_ASSETS_DETAILED","FQ4 2024","FQ4 2024","Currency=USD","Period=FQ","BEST_FPERIOD_OVERRIDE=FQ","FILING_STATUS=MR","SCALING_FORMAT=MLN","Sort=A","Dates=H","DateFormat=P","Fill=—","Direction=H","UseDPDF=Y")</f>
        <v>3322</v>
      </c>
      <c r="AK14" s="13">
        <f>_xll.BDH("WMT US Equity","OTHER_CURRENT_ASSETS_DETAILED","FQ1 2025","FQ1 2025","Currency=USD","Period=FQ","BEST_FPERIOD_OVERRIDE=FQ","FILING_STATUS=MR","SCALING_FORMAT=MLN","Sort=A","Dates=H","DateFormat=P","Fill=—","Direction=H","UseDPDF=Y")</f>
        <v>3290</v>
      </c>
      <c r="AL14" s="13">
        <f>_xll.BDH("WMT US Equity","OTHER_CURRENT_ASSETS_DETAILED","FQ2 2025","FQ2 2025","Currency=USD","Period=FQ","BEST_FPERIOD_OVERRIDE=FQ","FILING_STATUS=MR","SCALING_FORMAT=MLN","Sort=A","Dates=H","DateFormat=P","Fill=—","Direction=H","UseDPDF=Y")</f>
        <v>3438</v>
      </c>
      <c r="AM14" s="13">
        <f>_xll.BDH("WMT US Equity","OTHER_CURRENT_ASSETS_DETAILED","FQ3 2025","FQ3 2025","Currency=USD","Period=FQ","BEST_FPERIOD_OVERRIDE=FQ","FILING_STATUS=MR","SCALING_FORMAT=MLN","Sort=A","Dates=H","DateFormat=P","Fill=—","Direction=H","UseDPDF=Y")</f>
        <v>3548</v>
      </c>
      <c r="AN14" s="13">
        <f>_xll.BDH("WMT US Equity","OTHER_CURRENT_ASSETS_DETAILED","FQ4 2025","FQ4 2025","Currency=USD","Period=FQ","BEST_FPERIOD_OVERRIDE=FQ","FILING_STATUS=MR","SCALING_FORMAT=MLN","Sort=A","Dates=H","DateFormat=P","Fill=—","Direction=H","UseDPDF=Y")</f>
        <v>4011</v>
      </c>
      <c r="AO14" s="13">
        <f>_xll.BDH("WMT US Equity","OTHER_CURRENT_ASSETS_DETAILED","FQ1 2026","FQ1 2026","Currency=USD","Period=FQ","BEST_FPERIOD_OVERRIDE=FQ","FILING_STATUS=MR","SCALING_FORMAT=MLN","Sort=A","Dates=H","DateFormat=P","Fill=—","Direction=H","UseDPDF=Y")</f>
        <v>3789</v>
      </c>
      <c r="AP14" s="13">
        <f>_xll.BDH("WMT US Equity","OTHER_CURRENT_ASSETS_DETAILED","FQ2 2026","FQ2 2026","Currency=USD","Period=FQ","BEST_FPERIOD_OVERRIDE=FQ","FILING_STATUS=MR","SCALING_FORMAT=MLN","Sort=A","Dates=H","DateFormat=P","Fill=—","Direction=H","UseDPDF=Y")</f>
        <v>4355</v>
      </c>
    </row>
    <row r="15" spans="1:42" x14ac:dyDescent="0.3">
      <c r="A15" s="10" t="s">
        <v>198</v>
      </c>
      <c r="B15" s="10" t="s">
        <v>93</v>
      </c>
      <c r="C15" s="13">
        <f>_xll.BDH("WMT US Equity","BS_DERIV_HEDGING_ASST_ST","FQ3 2016","FQ3 2016","Currency=USD","Period=FQ","BEST_FPERIOD_OVERRIDE=FQ","FILING_STATUS=MR","SCALING_FORMAT=MLN","Sort=A","Dates=H","DateFormat=P","Fill=—","Direction=H","UseDPDF=Y")</f>
        <v>0</v>
      </c>
      <c r="D15" s="13">
        <f>_xll.BDH("WMT US Equity","BS_DERIV_HEDGING_ASST_ST","FQ4 2016","FQ4 2016","Currency=USD","Period=FQ","BEST_FPERIOD_OVERRIDE=FQ","FILING_STATUS=MR","SCALING_FORMAT=MLN","Sort=A","Dates=H","DateFormat=P","Fill=—","Direction=H","UseDPDF=Y")</f>
        <v>0</v>
      </c>
      <c r="E15" s="13" t="str">
        <f>_xll.BDH("WMT US Equity","BS_DERIV_HEDGING_ASST_ST","FQ1 2017","FQ1 2017","Currency=USD","Period=FQ","BEST_FPERIOD_OVERRIDE=FQ","FILING_STATUS=MR","SCALING_FORMAT=MLN","Sort=A","Dates=H","DateFormat=P","Fill=—","Direction=H","UseDPDF=Y")</f>
        <v>—</v>
      </c>
      <c r="F15" s="13" t="str">
        <f>_xll.BDH("WMT US Equity","BS_DERIV_HEDGING_ASST_ST","FQ2 2017","FQ2 2017","Currency=USD","Period=FQ","BEST_FPERIOD_OVERRIDE=FQ","FILING_STATUS=MR","SCALING_FORMAT=MLN","Sort=A","Dates=H","DateFormat=P","Fill=—","Direction=H","UseDPDF=Y")</f>
        <v>—</v>
      </c>
      <c r="G15" s="13" t="str">
        <f>_xll.BDH("WMT US Equity","BS_DERIV_HEDGING_ASST_ST","FQ3 2017","FQ3 2017","Currency=USD","Period=FQ","BEST_FPERIOD_OVERRIDE=FQ","FILING_STATUS=MR","SCALING_FORMAT=MLN","Sort=A","Dates=H","DateFormat=P","Fill=—","Direction=H","UseDPDF=Y")</f>
        <v>—</v>
      </c>
      <c r="H15" s="13">
        <f>_xll.BDH("WMT US Equity","BS_DERIV_HEDGING_ASST_ST","FQ4 2017","FQ4 2017","Currency=USD","Period=FQ","BEST_FPERIOD_OVERRIDE=FQ","FILING_STATUS=MR","SCALING_FORMAT=MLN","Sort=A","Dates=H","DateFormat=P","Fill=—","Direction=H","UseDPDF=Y")</f>
        <v>0</v>
      </c>
      <c r="I15" s="13" t="str">
        <f>_xll.BDH("WMT US Equity","BS_DERIV_HEDGING_ASST_ST","FQ1 2018","FQ1 2018","Currency=USD","Period=FQ","BEST_FPERIOD_OVERRIDE=FQ","FILING_STATUS=MR","SCALING_FORMAT=MLN","Sort=A","Dates=H","DateFormat=P","Fill=—","Direction=H","UseDPDF=Y")</f>
        <v>—</v>
      </c>
      <c r="J15" s="13" t="str">
        <f>_xll.BDH("WMT US Equity","BS_DERIV_HEDGING_ASST_ST","FQ2 2018","FQ2 2018","Currency=USD","Period=FQ","BEST_FPERIOD_OVERRIDE=FQ","FILING_STATUS=MR","SCALING_FORMAT=MLN","Sort=A","Dates=H","DateFormat=P","Fill=—","Direction=H","UseDPDF=Y")</f>
        <v>—</v>
      </c>
      <c r="K15" s="13" t="str">
        <f>_xll.BDH("WMT US Equity","BS_DERIV_HEDGING_ASST_ST","FQ3 2018","FQ3 2018","Currency=USD","Period=FQ","BEST_FPERIOD_OVERRIDE=FQ","FILING_STATUS=MR","SCALING_FORMAT=MLN","Sort=A","Dates=H","DateFormat=P","Fill=—","Direction=H","UseDPDF=Y")</f>
        <v>—</v>
      </c>
      <c r="L15" s="13">
        <f>_xll.BDH("WMT US Equity","BS_DERIV_HEDGING_ASST_ST","FQ4 2018","FQ4 2018","Currency=USD","Period=FQ","BEST_FPERIOD_OVERRIDE=FQ","FILING_STATUS=MR","SCALING_FORMAT=MLN","Sort=A","Dates=H","DateFormat=P","Fill=—","Direction=H","UseDPDF=Y")</f>
        <v>0</v>
      </c>
      <c r="M15" s="13" t="str">
        <f>_xll.BDH("WMT US Equity","BS_DERIV_HEDGING_ASST_ST","FQ1 2019","FQ1 2019","Currency=USD","Period=FQ","BEST_FPERIOD_OVERRIDE=FQ","FILING_STATUS=MR","SCALING_FORMAT=MLN","Sort=A","Dates=H","DateFormat=P","Fill=—","Direction=H","UseDPDF=Y")</f>
        <v>—</v>
      </c>
      <c r="N15" s="13" t="str">
        <f>_xll.BDH("WMT US Equity","BS_DERIV_HEDGING_ASST_ST","FQ2 2019","FQ2 2019","Currency=USD","Period=FQ","BEST_FPERIOD_OVERRIDE=FQ","FILING_STATUS=MR","SCALING_FORMAT=MLN","Sort=A","Dates=H","DateFormat=P","Fill=—","Direction=H","UseDPDF=Y")</f>
        <v>—</v>
      </c>
      <c r="O15" s="13" t="str">
        <f>_xll.BDH("WMT US Equity","BS_DERIV_HEDGING_ASST_ST","FQ3 2019","FQ3 2019","Currency=USD","Period=FQ","BEST_FPERIOD_OVERRIDE=FQ","FILING_STATUS=MR","SCALING_FORMAT=MLN","Sort=A","Dates=H","DateFormat=P","Fill=—","Direction=H","UseDPDF=Y")</f>
        <v>—</v>
      </c>
      <c r="P15" s="13">
        <f>_xll.BDH("WMT US Equity","BS_DERIV_HEDGING_ASST_ST","FQ4 2019","FQ4 2019","Currency=USD","Period=FQ","BEST_FPERIOD_OVERRIDE=FQ","FILING_STATUS=MR","SCALING_FORMAT=MLN","Sort=A","Dates=H","DateFormat=P","Fill=—","Direction=H","UseDPDF=Y")</f>
        <v>0</v>
      </c>
      <c r="Q15" s="13" t="str">
        <f>_xll.BDH("WMT US Equity","BS_DERIV_HEDGING_ASST_ST","FQ1 2020","FQ1 2020","Currency=USD","Period=FQ","BEST_FPERIOD_OVERRIDE=FQ","FILING_STATUS=MR","SCALING_FORMAT=MLN","Sort=A","Dates=H","DateFormat=P","Fill=—","Direction=H","UseDPDF=Y")</f>
        <v>—</v>
      </c>
      <c r="R15" s="13" t="str">
        <f>_xll.BDH("WMT US Equity","BS_DERIV_HEDGING_ASST_ST","FQ2 2020","FQ2 2020","Currency=USD","Period=FQ","BEST_FPERIOD_OVERRIDE=FQ","FILING_STATUS=MR","SCALING_FORMAT=MLN","Sort=A","Dates=H","DateFormat=P","Fill=—","Direction=H","UseDPDF=Y")</f>
        <v>—</v>
      </c>
      <c r="S15" s="13" t="str">
        <f>_xll.BDH("WMT US Equity","BS_DERIV_HEDGING_ASST_ST","FQ3 2020","FQ3 2020","Currency=USD","Period=FQ","BEST_FPERIOD_OVERRIDE=FQ","FILING_STATUS=MR","SCALING_FORMAT=MLN","Sort=A","Dates=H","DateFormat=P","Fill=—","Direction=H","UseDPDF=Y")</f>
        <v>—</v>
      </c>
      <c r="T15" s="13" t="str">
        <f>_xll.BDH("WMT US Equity","BS_DERIV_HEDGING_ASST_ST","FQ4 2020","FQ4 2020","Currency=USD","Period=FQ","BEST_FPERIOD_OVERRIDE=FQ","FILING_STATUS=MR","SCALING_FORMAT=MLN","Sort=A","Dates=H","DateFormat=P","Fill=—","Direction=H","UseDPDF=Y")</f>
        <v>—</v>
      </c>
      <c r="U15" s="13" t="str">
        <f>_xll.BDH("WMT US Equity","BS_DERIV_HEDGING_ASST_ST","FQ1 2021","FQ1 2021","Currency=USD","Period=FQ","BEST_FPERIOD_OVERRIDE=FQ","FILING_STATUS=MR","SCALING_FORMAT=MLN","Sort=A","Dates=H","DateFormat=P","Fill=—","Direction=H","UseDPDF=Y")</f>
        <v>—</v>
      </c>
      <c r="V15" s="13" t="str">
        <f>_xll.BDH("WMT US Equity","BS_DERIV_HEDGING_ASST_ST","FQ2 2021","FQ2 2021","Currency=USD","Period=FQ","BEST_FPERIOD_OVERRIDE=FQ","FILING_STATUS=MR","SCALING_FORMAT=MLN","Sort=A","Dates=H","DateFormat=P","Fill=—","Direction=H","UseDPDF=Y")</f>
        <v>—</v>
      </c>
      <c r="W15" s="13" t="str">
        <f>_xll.BDH("WMT US Equity","BS_DERIV_HEDGING_ASST_ST","FQ3 2021","FQ3 2021","Currency=USD","Period=FQ","BEST_FPERIOD_OVERRIDE=FQ","FILING_STATUS=MR","SCALING_FORMAT=MLN","Sort=A","Dates=H","DateFormat=P","Fill=—","Direction=H","UseDPDF=Y")</f>
        <v>—</v>
      </c>
      <c r="X15" s="13" t="str">
        <f>_xll.BDH("WMT US Equity","BS_DERIV_HEDGING_ASST_ST","FQ4 2021","FQ4 2021","Currency=USD","Period=FQ","BEST_FPERIOD_OVERRIDE=FQ","FILING_STATUS=MR","SCALING_FORMAT=MLN","Sort=A","Dates=H","DateFormat=P","Fill=—","Direction=H","UseDPDF=Y")</f>
        <v>—</v>
      </c>
      <c r="Y15" s="13" t="str">
        <f>_xll.BDH("WMT US Equity","BS_DERIV_HEDGING_ASST_ST","FQ1 2022","FQ1 2022","Currency=USD","Period=FQ","BEST_FPERIOD_OVERRIDE=FQ","FILING_STATUS=MR","SCALING_FORMAT=MLN","Sort=A","Dates=H","DateFormat=P","Fill=—","Direction=H","UseDPDF=Y")</f>
        <v>—</v>
      </c>
      <c r="Z15" s="13" t="str">
        <f>_xll.BDH("WMT US Equity","BS_DERIV_HEDGING_ASST_ST","FQ2 2022","FQ2 2022","Currency=USD","Period=FQ","BEST_FPERIOD_OVERRIDE=FQ","FILING_STATUS=MR","SCALING_FORMAT=MLN","Sort=A","Dates=H","DateFormat=P","Fill=—","Direction=H","UseDPDF=Y")</f>
        <v>—</v>
      </c>
      <c r="AA15" s="13" t="str">
        <f>_xll.BDH("WMT US Equity","BS_DERIV_HEDGING_ASST_ST","FQ3 2022","FQ3 2022","Currency=USD","Period=FQ","BEST_FPERIOD_OVERRIDE=FQ","FILING_STATUS=MR","SCALING_FORMAT=MLN","Sort=A","Dates=H","DateFormat=P","Fill=—","Direction=H","UseDPDF=Y")</f>
        <v>—</v>
      </c>
      <c r="AB15" s="13" t="str">
        <f>_xll.BDH("WMT US Equity","BS_DERIV_HEDGING_ASST_ST","FQ4 2022","FQ4 2022","Currency=USD","Period=FQ","BEST_FPERIOD_OVERRIDE=FQ","FILING_STATUS=MR","SCALING_FORMAT=MLN","Sort=A","Dates=H","DateFormat=P","Fill=—","Direction=H","UseDPDF=Y")</f>
        <v>—</v>
      </c>
      <c r="AC15" s="13" t="str">
        <f>_xll.BDH("WMT US Equity","BS_DERIV_HEDGING_ASST_ST","FQ1 2023","FQ1 2023","Currency=USD","Period=FQ","BEST_FPERIOD_OVERRIDE=FQ","FILING_STATUS=MR","SCALING_FORMAT=MLN","Sort=A","Dates=H","DateFormat=P","Fill=—","Direction=H","UseDPDF=Y")</f>
        <v>—</v>
      </c>
      <c r="AD15" s="13" t="str">
        <f>_xll.BDH("WMT US Equity","BS_DERIV_HEDGING_ASST_ST","FQ2 2023","FQ2 2023","Currency=USD","Period=FQ","BEST_FPERIOD_OVERRIDE=FQ","FILING_STATUS=MR","SCALING_FORMAT=MLN","Sort=A","Dates=H","DateFormat=P","Fill=—","Direction=H","UseDPDF=Y")</f>
        <v>—</v>
      </c>
      <c r="AE15" s="13" t="str">
        <f>_xll.BDH("WMT US Equity","BS_DERIV_HEDGING_ASST_ST","FQ3 2023","FQ3 2023","Currency=USD","Period=FQ","BEST_FPERIOD_OVERRIDE=FQ","FILING_STATUS=MR","SCALING_FORMAT=MLN","Sort=A","Dates=H","DateFormat=P","Fill=—","Direction=H","UseDPDF=Y")</f>
        <v>—</v>
      </c>
      <c r="AF15" s="13" t="str">
        <f>_xll.BDH("WMT US Equity","BS_DERIV_HEDGING_ASST_ST","FQ4 2023","FQ4 2023","Currency=USD","Period=FQ","BEST_FPERIOD_OVERRIDE=FQ","FILING_STATUS=MR","SCALING_FORMAT=MLN","Sort=A","Dates=H","DateFormat=P","Fill=—","Direction=H","UseDPDF=Y")</f>
        <v>—</v>
      </c>
      <c r="AG15" s="13" t="str">
        <f>_xll.BDH("WMT US Equity","BS_DERIV_HEDGING_ASST_ST","FQ1 2024","FQ1 2024","Currency=USD","Period=FQ","BEST_FPERIOD_OVERRIDE=FQ","FILING_STATUS=MR","SCALING_FORMAT=MLN","Sort=A","Dates=H","DateFormat=P","Fill=—","Direction=H","UseDPDF=Y")</f>
        <v>—</v>
      </c>
      <c r="AH15" s="13" t="str">
        <f>_xll.BDH("WMT US Equity","BS_DERIV_HEDGING_ASST_ST","FQ2 2024","FQ2 2024","Currency=USD","Period=FQ","BEST_FPERIOD_OVERRIDE=FQ","FILING_STATUS=MR","SCALING_FORMAT=MLN","Sort=A","Dates=H","DateFormat=P","Fill=—","Direction=H","UseDPDF=Y")</f>
        <v>—</v>
      </c>
      <c r="AI15" s="13" t="str">
        <f>_xll.BDH("WMT US Equity","BS_DERIV_HEDGING_ASST_ST","FQ3 2024","FQ3 2024","Currency=USD","Period=FQ","BEST_FPERIOD_OVERRIDE=FQ","FILING_STATUS=MR","SCALING_FORMAT=MLN","Sort=A","Dates=H","DateFormat=P","Fill=—","Direction=H","UseDPDF=Y")</f>
        <v>—</v>
      </c>
      <c r="AJ15" s="13" t="str">
        <f>_xll.BDH("WMT US Equity","BS_DERIV_HEDGING_ASST_ST","FQ4 2024","FQ4 2024","Currency=USD","Period=FQ","BEST_FPERIOD_OVERRIDE=FQ","FILING_STATUS=MR","SCALING_FORMAT=MLN","Sort=A","Dates=H","DateFormat=P","Fill=—","Direction=H","UseDPDF=Y")</f>
        <v>—</v>
      </c>
      <c r="AK15" s="13" t="str">
        <f>_xll.BDH("WMT US Equity","BS_DERIV_HEDGING_ASST_ST","FQ1 2025","FQ1 2025","Currency=USD","Period=FQ","BEST_FPERIOD_OVERRIDE=FQ","FILING_STATUS=MR","SCALING_FORMAT=MLN","Sort=A","Dates=H","DateFormat=P","Fill=—","Direction=H","UseDPDF=Y")</f>
        <v>—</v>
      </c>
      <c r="AL15" s="13" t="str">
        <f>_xll.BDH("WMT US Equity","BS_DERIV_HEDGING_ASST_ST","FQ2 2025","FQ2 2025","Currency=USD","Period=FQ","BEST_FPERIOD_OVERRIDE=FQ","FILING_STATUS=MR","SCALING_FORMAT=MLN","Sort=A","Dates=H","DateFormat=P","Fill=—","Direction=H","UseDPDF=Y")</f>
        <v>—</v>
      </c>
      <c r="AM15" s="13" t="str">
        <f>_xll.BDH("WMT US Equity","BS_DERIV_HEDGING_ASST_ST","FQ3 2025","FQ3 2025","Currency=USD","Period=FQ","BEST_FPERIOD_OVERRIDE=FQ","FILING_STATUS=MR","SCALING_FORMAT=MLN","Sort=A","Dates=H","DateFormat=P","Fill=—","Direction=H","UseDPDF=Y")</f>
        <v>—</v>
      </c>
      <c r="AN15" s="13" t="str">
        <f>_xll.BDH("WMT US Equity","BS_DERIV_HEDGING_ASST_ST","FQ4 2025","FQ4 2025","Currency=USD","Period=FQ","BEST_FPERIOD_OVERRIDE=FQ","FILING_STATUS=MR","SCALING_FORMAT=MLN","Sort=A","Dates=H","DateFormat=P","Fill=—","Direction=H","UseDPDF=Y")</f>
        <v>—</v>
      </c>
      <c r="AO15" s="13" t="str">
        <f>_xll.BDH("WMT US Equity","BS_DERIV_HEDGING_ASST_ST","FQ1 2026","FQ1 2026","Currency=USD","Period=FQ","BEST_FPERIOD_OVERRIDE=FQ","FILING_STATUS=MR","SCALING_FORMAT=MLN","Sort=A","Dates=H","DateFormat=P","Fill=—","Direction=H","UseDPDF=Y")</f>
        <v>—</v>
      </c>
      <c r="AP15" s="13" t="str">
        <f>_xll.BDH("WMT US Equity","BS_DERIV_HEDGING_ASST_ST","FQ2 2026","FQ2 2026","Currency=USD","Period=FQ","BEST_FPERIOD_OVERRIDE=FQ","FILING_STATUS=MR","SCALING_FORMAT=MLN","Sort=A","Dates=H","DateFormat=P","Fill=—","Direction=H","UseDPDF=Y")</f>
        <v>—</v>
      </c>
    </row>
    <row r="16" spans="1:42" x14ac:dyDescent="0.3">
      <c r="A16" s="10" t="s">
        <v>199</v>
      </c>
      <c r="B16" s="10" t="s">
        <v>94</v>
      </c>
      <c r="C16" s="13" t="str">
        <f>_xll.BDH("WMT US Equity","BS_DEFERRED_TAX_ASSETS_ST","FQ3 2016","FQ3 2016","Currency=USD","Period=FQ","BEST_FPERIOD_OVERRIDE=FQ","FILING_STATUS=MR","SCALING_FORMAT=MLN","Sort=A","Dates=H","DateFormat=P","Fill=—","Direction=H","UseDPDF=Y")</f>
        <v>—</v>
      </c>
      <c r="D16" s="13">
        <f>_xll.BDH("WMT US Equity","BS_DEFERRED_TAX_ASSETS_ST","FQ4 2016","FQ4 2016","Currency=USD","Period=FQ","BEST_FPERIOD_OVERRIDE=FQ","FILING_STATUS=MR","SCALING_FORMAT=MLN","Sort=A","Dates=H","DateFormat=P","Fill=—","Direction=H","UseDPDF=Y")</f>
        <v>0</v>
      </c>
      <c r="E16" s="13" t="str">
        <f>_xll.BDH("WMT US Equity","BS_DEFERRED_TAX_ASSETS_ST","FQ1 2017","FQ1 2017","Currency=USD","Period=FQ","BEST_FPERIOD_OVERRIDE=FQ","FILING_STATUS=MR","SCALING_FORMAT=MLN","Sort=A","Dates=H","DateFormat=P","Fill=—","Direction=H","UseDPDF=Y")</f>
        <v>—</v>
      </c>
      <c r="F16" s="13" t="str">
        <f>_xll.BDH("WMT US Equity","BS_DEFERRED_TAX_ASSETS_ST","FQ2 2017","FQ2 2017","Currency=USD","Period=FQ","BEST_FPERIOD_OVERRIDE=FQ","FILING_STATUS=MR","SCALING_FORMAT=MLN","Sort=A","Dates=H","DateFormat=P","Fill=—","Direction=H","UseDPDF=Y")</f>
        <v>—</v>
      </c>
      <c r="G16" s="13" t="str">
        <f>_xll.BDH("WMT US Equity","BS_DEFERRED_TAX_ASSETS_ST","FQ3 2017","FQ3 2017","Currency=USD","Period=FQ","BEST_FPERIOD_OVERRIDE=FQ","FILING_STATUS=MR","SCALING_FORMAT=MLN","Sort=A","Dates=H","DateFormat=P","Fill=—","Direction=H","UseDPDF=Y")</f>
        <v>—</v>
      </c>
      <c r="H16" s="13">
        <f>_xll.BDH("WMT US Equity","BS_DEFERRED_TAX_ASSETS_ST","FQ4 2017","FQ4 2017","Currency=USD","Period=FQ","BEST_FPERIOD_OVERRIDE=FQ","FILING_STATUS=MR","SCALING_FORMAT=MLN","Sort=A","Dates=H","DateFormat=P","Fill=—","Direction=H","UseDPDF=Y")</f>
        <v>0</v>
      </c>
      <c r="I16" s="13" t="str">
        <f>_xll.BDH("WMT US Equity","BS_DEFERRED_TAX_ASSETS_ST","FQ1 2018","FQ1 2018","Currency=USD","Period=FQ","BEST_FPERIOD_OVERRIDE=FQ","FILING_STATUS=MR","SCALING_FORMAT=MLN","Sort=A","Dates=H","DateFormat=P","Fill=—","Direction=H","UseDPDF=Y")</f>
        <v>—</v>
      </c>
      <c r="J16" s="13" t="str">
        <f>_xll.BDH("WMT US Equity","BS_DEFERRED_TAX_ASSETS_ST","FQ2 2018","FQ2 2018","Currency=USD","Period=FQ","BEST_FPERIOD_OVERRIDE=FQ","FILING_STATUS=MR","SCALING_FORMAT=MLN","Sort=A","Dates=H","DateFormat=P","Fill=—","Direction=H","UseDPDF=Y")</f>
        <v>—</v>
      </c>
      <c r="K16" s="13" t="str">
        <f>_xll.BDH("WMT US Equity","BS_DEFERRED_TAX_ASSETS_ST","FQ3 2018","FQ3 2018","Currency=USD","Period=FQ","BEST_FPERIOD_OVERRIDE=FQ","FILING_STATUS=MR","SCALING_FORMAT=MLN","Sort=A","Dates=H","DateFormat=P","Fill=—","Direction=H","UseDPDF=Y")</f>
        <v>—</v>
      </c>
      <c r="L16" s="13" t="str">
        <f>_xll.BDH("WMT US Equity","BS_DEFERRED_TAX_ASSETS_ST","FQ4 2018","FQ4 2018","Currency=USD","Period=FQ","BEST_FPERIOD_OVERRIDE=FQ","FILING_STATUS=MR","SCALING_FORMAT=MLN","Sort=A","Dates=H","DateFormat=P","Fill=—","Direction=H","UseDPDF=Y")</f>
        <v>—</v>
      </c>
      <c r="M16" s="13" t="str">
        <f>_xll.BDH("WMT US Equity","BS_DEFERRED_TAX_ASSETS_ST","FQ1 2019","FQ1 2019","Currency=USD","Period=FQ","BEST_FPERIOD_OVERRIDE=FQ","FILING_STATUS=MR","SCALING_FORMAT=MLN","Sort=A","Dates=H","DateFormat=P","Fill=—","Direction=H","UseDPDF=Y")</f>
        <v>—</v>
      </c>
      <c r="N16" s="13" t="str">
        <f>_xll.BDH("WMT US Equity","BS_DEFERRED_TAX_ASSETS_ST","FQ2 2019","FQ2 2019","Currency=USD","Period=FQ","BEST_FPERIOD_OVERRIDE=FQ","FILING_STATUS=MR","SCALING_FORMAT=MLN","Sort=A","Dates=H","DateFormat=P","Fill=—","Direction=H","UseDPDF=Y")</f>
        <v>—</v>
      </c>
      <c r="O16" s="13" t="str">
        <f>_xll.BDH("WMT US Equity","BS_DEFERRED_TAX_ASSETS_ST","FQ3 2019","FQ3 2019","Currency=USD","Period=FQ","BEST_FPERIOD_OVERRIDE=FQ","FILING_STATUS=MR","SCALING_FORMAT=MLN","Sort=A","Dates=H","DateFormat=P","Fill=—","Direction=H","UseDPDF=Y")</f>
        <v>—</v>
      </c>
      <c r="P16" s="13" t="str">
        <f>_xll.BDH("WMT US Equity","BS_DEFERRED_TAX_ASSETS_ST","FQ4 2019","FQ4 2019","Currency=USD","Period=FQ","BEST_FPERIOD_OVERRIDE=FQ","FILING_STATUS=MR","SCALING_FORMAT=MLN","Sort=A","Dates=H","DateFormat=P","Fill=—","Direction=H","UseDPDF=Y")</f>
        <v>—</v>
      </c>
      <c r="Q16" s="13" t="str">
        <f>_xll.BDH("WMT US Equity","BS_DEFERRED_TAX_ASSETS_ST","FQ1 2020","FQ1 2020","Currency=USD","Period=FQ","BEST_FPERIOD_OVERRIDE=FQ","FILING_STATUS=MR","SCALING_FORMAT=MLN","Sort=A","Dates=H","DateFormat=P","Fill=—","Direction=H","UseDPDF=Y")</f>
        <v>—</v>
      </c>
      <c r="R16" s="13" t="str">
        <f>_xll.BDH("WMT US Equity","BS_DEFERRED_TAX_ASSETS_ST","FQ2 2020","FQ2 2020","Currency=USD","Period=FQ","BEST_FPERIOD_OVERRIDE=FQ","FILING_STATUS=MR","SCALING_FORMAT=MLN","Sort=A","Dates=H","DateFormat=P","Fill=—","Direction=H","UseDPDF=Y")</f>
        <v>—</v>
      </c>
      <c r="S16" s="13" t="str">
        <f>_xll.BDH("WMT US Equity","BS_DEFERRED_TAX_ASSETS_ST","FQ3 2020","FQ3 2020","Currency=USD","Period=FQ","BEST_FPERIOD_OVERRIDE=FQ","FILING_STATUS=MR","SCALING_FORMAT=MLN","Sort=A","Dates=H","DateFormat=P","Fill=—","Direction=H","UseDPDF=Y")</f>
        <v>—</v>
      </c>
      <c r="T16" s="13" t="str">
        <f>_xll.BDH("WMT US Equity","BS_DEFERRED_TAX_ASSETS_ST","FQ4 2020","FQ4 2020","Currency=USD","Period=FQ","BEST_FPERIOD_OVERRIDE=FQ","FILING_STATUS=MR","SCALING_FORMAT=MLN","Sort=A","Dates=H","DateFormat=P","Fill=—","Direction=H","UseDPDF=Y")</f>
        <v>—</v>
      </c>
      <c r="U16" s="13" t="str">
        <f>_xll.BDH("WMT US Equity","BS_DEFERRED_TAX_ASSETS_ST","FQ1 2021","FQ1 2021","Currency=USD","Period=FQ","BEST_FPERIOD_OVERRIDE=FQ","FILING_STATUS=MR","SCALING_FORMAT=MLN","Sort=A","Dates=H","DateFormat=P","Fill=—","Direction=H","UseDPDF=Y")</f>
        <v>—</v>
      </c>
      <c r="V16" s="13" t="str">
        <f>_xll.BDH("WMT US Equity","BS_DEFERRED_TAX_ASSETS_ST","FQ2 2021","FQ2 2021","Currency=USD","Period=FQ","BEST_FPERIOD_OVERRIDE=FQ","FILING_STATUS=MR","SCALING_FORMAT=MLN","Sort=A","Dates=H","DateFormat=P","Fill=—","Direction=H","UseDPDF=Y")</f>
        <v>—</v>
      </c>
      <c r="W16" s="13" t="str">
        <f>_xll.BDH("WMT US Equity","BS_DEFERRED_TAX_ASSETS_ST","FQ3 2021","FQ3 2021","Currency=USD","Period=FQ","BEST_FPERIOD_OVERRIDE=FQ","FILING_STATUS=MR","SCALING_FORMAT=MLN","Sort=A","Dates=H","DateFormat=P","Fill=—","Direction=H","UseDPDF=Y")</f>
        <v>—</v>
      </c>
      <c r="X16" s="13" t="str">
        <f>_xll.BDH("WMT US Equity","BS_DEFERRED_TAX_ASSETS_ST","FQ4 2021","FQ4 2021","Currency=USD","Period=FQ","BEST_FPERIOD_OVERRIDE=FQ","FILING_STATUS=MR","SCALING_FORMAT=MLN","Sort=A","Dates=H","DateFormat=P","Fill=—","Direction=H","UseDPDF=Y")</f>
        <v>—</v>
      </c>
      <c r="Y16" s="13" t="str">
        <f>_xll.BDH("WMT US Equity","BS_DEFERRED_TAX_ASSETS_ST","FQ1 2022","FQ1 2022","Currency=USD","Period=FQ","BEST_FPERIOD_OVERRIDE=FQ","FILING_STATUS=MR","SCALING_FORMAT=MLN","Sort=A","Dates=H","DateFormat=P","Fill=—","Direction=H","UseDPDF=Y")</f>
        <v>—</v>
      </c>
      <c r="Z16" s="13" t="str">
        <f>_xll.BDH("WMT US Equity","BS_DEFERRED_TAX_ASSETS_ST","FQ2 2022","FQ2 2022","Currency=USD","Period=FQ","BEST_FPERIOD_OVERRIDE=FQ","FILING_STATUS=MR","SCALING_FORMAT=MLN","Sort=A","Dates=H","DateFormat=P","Fill=—","Direction=H","UseDPDF=Y")</f>
        <v>—</v>
      </c>
      <c r="AA16" s="13" t="str">
        <f>_xll.BDH("WMT US Equity","BS_DEFERRED_TAX_ASSETS_ST","FQ3 2022","FQ3 2022","Currency=USD","Period=FQ","BEST_FPERIOD_OVERRIDE=FQ","FILING_STATUS=MR","SCALING_FORMAT=MLN","Sort=A","Dates=H","DateFormat=P","Fill=—","Direction=H","UseDPDF=Y")</f>
        <v>—</v>
      </c>
      <c r="AB16" s="13" t="str">
        <f>_xll.BDH("WMT US Equity","BS_DEFERRED_TAX_ASSETS_ST","FQ4 2022","FQ4 2022","Currency=USD","Period=FQ","BEST_FPERIOD_OVERRIDE=FQ","FILING_STATUS=MR","SCALING_FORMAT=MLN","Sort=A","Dates=H","DateFormat=P","Fill=—","Direction=H","UseDPDF=Y")</f>
        <v>—</v>
      </c>
      <c r="AC16" s="13" t="str">
        <f>_xll.BDH("WMT US Equity","BS_DEFERRED_TAX_ASSETS_ST","FQ1 2023","FQ1 2023","Currency=USD","Period=FQ","BEST_FPERIOD_OVERRIDE=FQ","FILING_STATUS=MR","SCALING_FORMAT=MLN","Sort=A","Dates=H","DateFormat=P","Fill=—","Direction=H","UseDPDF=Y")</f>
        <v>—</v>
      </c>
      <c r="AD16" s="13" t="str">
        <f>_xll.BDH("WMT US Equity","BS_DEFERRED_TAX_ASSETS_ST","FQ2 2023","FQ2 2023","Currency=USD","Period=FQ","BEST_FPERIOD_OVERRIDE=FQ","FILING_STATUS=MR","SCALING_FORMAT=MLN","Sort=A","Dates=H","DateFormat=P","Fill=—","Direction=H","UseDPDF=Y")</f>
        <v>—</v>
      </c>
      <c r="AE16" s="13" t="str">
        <f>_xll.BDH("WMT US Equity","BS_DEFERRED_TAX_ASSETS_ST","FQ3 2023","FQ3 2023","Currency=USD","Period=FQ","BEST_FPERIOD_OVERRIDE=FQ","FILING_STATUS=MR","SCALING_FORMAT=MLN","Sort=A","Dates=H","DateFormat=P","Fill=—","Direction=H","UseDPDF=Y")</f>
        <v>—</v>
      </c>
      <c r="AF16" s="13" t="str">
        <f>_xll.BDH("WMT US Equity","BS_DEFERRED_TAX_ASSETS_ST","FQ4 2023","FQ4 2023","Currency=USD","Period=FQ","BEST_FPERIOD_OVERRIDE=FQ","FILING_STATUS=MR","SCALING_FORMAT=MLN","Sort=A","Dates=H","DateFormat=P","Fill=—","Direction=H","UseDPDF=Y")</f>
        <v>—</v>
      </c>
      <c r="AG16" s="13" t="str">
        <f>_xll.BDH("WMT US Equity","BS_DEFERRED_TAX_ASSETS_ST","FQ1 2024","FQ1 2024","Currency=USD","Period=FQ","BEST_FPERIOD_OVERRIDE=FQ","FILING_STATUS=MR","SCALING_FORMAT=MLN","Sort=A","Dates=H","DateFormat=P","Fill=—","Direction=H","UseDPDF=Y")</f>
        <v>—</v>
      </c>
      <c r="AH16" s="13" t="str">
        <f>_xll.BDH("WMT US Equity","BS_DEFERRED_TAX_ASSETS_ST","FQ2 2024","FQ2 2024","Currency=USD","Period=FQ","BEST_FPERIOD_OVERRIDE=FQ","FILING_STATUS=MR","SCALING_FORMAT=MLN","Sort=A","Dates=H","DateFormat=P","Fill=—","Direction=H","UseDPDF=Y")</f>
        <v>—</v>
      </c>
      <c r="AI16" s="13" t="str">
        <f>_xll.BDH("WMT US Equity","BS_DEFERRED_TAX_ASSETS_ST","FQ3 2024","FQ3 2024","Currency=USD","Period=FQ","BEST_FPERIOD_OVERRIDE=FQ","FILING_STATUS=MR","SCALING_FORMAT=MLN","Sort=A","Dates=H","DateFormat=P","Fill=—","Direction=H","UseDPDF=Y")</f>
        <v>—</v>
      </c>
      <c r="AJ16" s="13" t="str">
        <f>_xll.BDH("WMT US Equity","BS_DEFERRED_TAX_ASSETS_ST","FQ4 2024","FQ4 2024","Currency=USD","Period=FQ","BEST_FPERIOD_OVERRIDE=FQ","FILING_STATUS=MR","SCALING_FORMAT=MLN","Sort=A","Dates=H","DateFormat=P","Fill=—","Direction=H","UseDPDF=Y")</f>
        <v>—</v>
      </c>
      <c r="AK16" s="13" t="str">
        <f>_xll.BDH("WMT US Equity","BS_DEFERRED_TAX_ASSETS_ST","FQ1 2025","FQ1 2025","Currency=USD","Period=FQ","BEST_FPERIOD_OVERRIDE=FQ","FILING_STATUS=MR","SCALING_FORMAT=MLN","Sort=A","Dates=H","DateFormat=P","Fill=—","Direction=H","UseDPDF=Y")</f>
        <v>—</v>
      </c>
      <c r="AL16" s="13" t="str">
        <f>_xll.BDH("WMT US Equity","BS_DEFERRED_TAX_ASSETS_ST","FQ2 2025","FQ2 2025","Currency=USD","Period=FQ","BEST_FPERIOD_OVERRIDE=FQ","FILING_STATUS=MR","SCALING_FORMAT=MLN","Sort=A","Dates=H","DateFormat=P","Fill=—","Direction=H","UseDPDF=Y")</f>
        <v>—</v>
      </c>
      <c r="AM16" s="13" t="str">
        <f>_xll.BDH("WMT US Equity","BS_DEFERRED_TAX_ASSETS_ST","FQ3 2025","FQ3 2025","Currency=USD","Period=FQ","BEST_FPERIOD_OVERRIDE=FQ","FILING_STATUS=MR","SCALING_FORMAT=MLN","Sort=A","Dates=H","DateFormat=P","Fill=—","Direction=H","UseDPDF=Y")</f>
        <v>—</v>
      </c>
      <c r="AN16" s="13" t="str">
        <f>_xll.BDH("WMT US Equity","BS_DEFERRED_TAX_ASSETS_ST","FQ4 2025","FQ4 2025","Currency=USD","Period=FQ","BEST_FPERIOD_OVERRIDE=FQ","FILING_STATUS=MR","SCALING_FORMAT=MLN","Sort=A","Dates=H","DateFormat=P","Fill=—","Direction=H","UseDPDF=Y")</f>
        <v>—</v>
      </c>
      <c r="AO16" s="13" t="str">
        <f>_xll.BDH("WMT US Equity","BS_DEFERRED_TAX_ASSETS_ST","FQ1 2026","FQ1 2026","Currency=USD","Period=FQ","BEST_FPERIOD_OVERRIDE=FQ","FILING_STATUS=MR","SCALING_FORMAT=MLN","Sort=A","Dates=H","DateFormat=P","Fill=—","Direction=H","UseDPDF=Y")</f>
        <v>—</v>
      </c>
      <c r="AP16" s="13" t="str">
        <f>_xll.BDH("WMT US Equity","BS_DEFERRED_TAX_ASSETS_ST","FQ2 2026","FQ2 2026","Currency=USD","Period=FQ","BEST_FPERIOD_OVERRIDE=FQ","FILING_STATUS=MR","SCALING_FORMAT=MLN","Sort=A","Dates=H","DateFormat=P","Fill=—","Direction=H","UseDPDF=Y")</f>
        <v>—</v>
      </c>
    </row>
    <row r="17" spans="1:42" x14ac:dyDescent="0.3">
      <c r="A17" s="10" t="s">
        <v>200</v>
      </c>
      <c r="B17" s="10" t="s">
        <v>95</v>
      </c>
      <c r="C17" s="13">
        <f>_xll.BDH("WMT US Equity","BS_OTHER_CUR_ASSET_LESS_PREPAY","FQ3 2016","FQ3 2016","Currency=USD","Period=FQ","BEST_FPERIOD_OVERRIDE=FQ","FILING_STATUS=MR","SCALING_FORMAT=MLN","Sort=A","Dates=H","DateFormat=P","Fill=—","Direction=H","UseDPDF=Y")</f>
        <v>2404</v>
      </c>
      <c r="D17" s="13">
        <f>_xll.BDH("WMT US Equity","BS_OTHER_CUR_ASSET_LESS_PREPAY","FQ4 2016","FQ4 2016","Currency=USD","Period=FQ","BEST_FPERIOD_OVERRIDE=FQ","FILING_STATUS=MR","SCALING_FORMAT=MLN","Sort=A","Dates=H","DateFormat=P","Fill=—","Direction=H","UseDPDF=Y")</f>
        <v>1441</v>
      </c>
      <c r="E17" s="13">
        <f>_xll.BDH("WMT US Equity","BS_OTHER_CUR_ASSET_LESS_PREPAY","FQ1 2017","FQ1 2017","Currency=USD","Period=FQ","BEST_FPERIOD_OVERRIDE=FQ","FILING_STATUS=MR","SCALING_FORMAT=MLN","Sort=A","Dates=H","DateFormat=P","Fill=—","Direction=H","UseDPDF=Y")</f>
        <v>1800</v>
      </c>
      <c r="F17" s="13">
        <f>_xll.BDH("WMT US Equity","BS_OTHER_CUR_ASSET_LESS_PREPAY","FQ2 2017","FQ2 2017","Currency=USD","Period=FQ","BEST_FPERIOD_OVERRIDE=FQ","FILING_STATUS=MR","SCALING_FORMAT=MLN","Sort=A","Dates=H","DateFormat=P","Fill=—","Direction=H","UseDPDF=Y")</f>
        <v>1828</v>
      </c>
      <c r="G17" s="13">
        <f>_xll.BDH("WMT US Equity","BS_OTHER_CUR_ASSET_LESS_PREPAY","FQ3 2017","FQ3 2017","Currency=USD","Period=FQ","BEST_FPERIOD_OVERRIDE=FQ","FILING_STATUS=MR","SCALING_FORMAT=MLN","Sort=A","Dates=H","DateFormat=P","Fill=—","Direction=H","UseDPDF=Y")</f>
        <v>2296</v>
      </c>
      <c r="H17" s="13">
        <f>_xll.BDH("WMT US Equity","BS_OTHER_CUR_ASSET_LESS_PREPAY","FQ4 2017","FQ4 2017","Currency=USD","Period=FQ","BEST_FPERIOD_OVERRIDE=FQ","FILING_STATUS=MR","SCALING_FORMAT=MLN","Sort=A","Dates=H","DateFormat=P","Fill=—","Direction=H","UseDPDF=Y")</f>
        <v>1941</v>
      </c>
      <c r="I17" s="13">
        <f>_xll.BDH("WMT US Equity","BS_OTHER_CUR_ASSET_LESS_PREPAY","FQ1 2018","FQ1 2018","Currency=USD","Period=FQ","BEST_FPERIOD_OVERRIDE=FQ","FILING_STATUS=MR","SCALING_FORMAT=MLN","Sort=A","Dates=H","DateFormat=P","Fill=—","Direction=H","UseDPDF=Y")</f>
        <v>2178</v>
      </c>
      <c r="J17" s="13">
        <f>_xll.BDH("WMT US Equity","BS_OTHER_CUR_ASSET_LESS_PREPAY","FQ2 2018","FQ2 2018","Currency=USD","Period=FQ","BEST_FPERIOD_OVERRIDE=FQ","FILING_STATUS=MR","SCALING_FORMAT=MLN","Sort=A","Dates=H","DateFormat=P","Fill=—","Direction=H","UseDPDF=Y")</f>
        <v>1457</v>
      </c>
      <c r="K17" s="13">
        <f>_xll.BDH("WMT US Equity","BS_OTHER_CUR_ASSET_LESS_PREPAY","FQ3 2018","FQ3 2018","Currency=USD","Period=FQ","BEST_FPERIOD_OVERRIDE=FQ","FILING_STATUS=MR","SCALING_FORMAT=MLN","Sort=A","Dates=H","DateFormat=P","Fill=—","Direction=H","UseDPDF=Y")</f>
        <v>2330</v>
      </c>
      <c r="L17" s="13">
        <f>_xll.BDH("WMT US Equity","BS_OTHER_CUR_ASSET_LESS_PREPAY","FQ4 2018","FQ4 2018","Currency=USD","Period=FQ","BEST_FPERIOD_OVERRIDE=FQ","FILING_STATUS=MR","SCALING_FORMAT=MLN","Sort=A","Dates=H","DateFormat=P","Fill=—","Direction=H","UseDPDF=Y")</f>
        <v>3511</v>
      </c>
      <c r="M17" s="13">
        <f>_xll.BDH("WMT US Equity","BS_OTHER_CUR_ASSET_LESS_PREPAY","FQ1 2019","FQ1 2019","Currency=USD","Period=FQ","BEST_FPERIOD_OVERRIDE=FQ","FILING_STATUS=MR","SCALING_FORMAT=MLN","Sort=A","Dates=H","DateFormat=P","Fill=—","Direction=H","UseDPDF=Y")</f>
        <v>3486</v>
      </c>
      <c r="N17" s="13">
        <f>_xll.BDH("WMT US Equity","BS_OTHER_CUR_ASSET_LESS_PREPAY","FQ2 2019","FQ2 2019","Currency=USD","Period=FQ","BEST_FPERIOD_OVERRIDE=FQ","FILING_STATUS=MR","SCALING_FORMAT=MLN","Sort=A","Dates=H","DateFormat=P","Fill=—","Direction=H","UseDPDF=Y")</f>
        <v>3543</v>
      </c>
      <c r="O17" s="13">
        <f>_xll.BDH("WMT US Equity","BS_OTHER_CUR_ASSET_LESS_PREPAY","FQ3 2019","FQ3 2019","Currency=USD","Period=FQ","BEST_FPERIOD_OVERRIDE=FQ","FILING_STATUS=MR","SCALING_FORMAT=MLN","Sort=A","Dates=H","DateFormat=P","Fill=—","Direction=H","UseDPDF=Y")</f>
        <v>4107</v>
      </c>
      <c r="P17" s="13">
        <f>_xll.BDH("WMT US Equity","BS_OTHER_CUR_ASSET_LESS_PREPAY","FQ4 2019","FQ4 2019","Currency=USD","Period=FQ","BEST_FPERIOD_OVERRIDE=FQ","FILING_STATUS=MR","SCALING_FORMAT=MLN","Sort=A","Dates=H","DateFormat=P","Fill=—","Direction=H","UseDPDF=Y")</f>
        <v>3623</v>
      </c>
      <c r="Q17" s="13">
        <f>_xll.BDH("WMT US Equity","BS_OTHER_CUR_ASSET_LESS_PREPAY","FQ1 2020","FQ1 2020","Currency=USD","Period=FQ","BEST_FPERIOD_OVERRIDE=FQ","FILING_STATUS=MR","SCALING_FORMAT=MLN","Sort=A","Dates=H","DateFormat=P","Fill=—","Direction=H","UseDPDF=Y")</f>
        <v>2391</v>
      </c>
      <c r="R17" s="13">
        <f>_xll.BDH("WMT US Equity","BS_OTHER_CUR_ASSET_LESS_PREPAY","FQ2 2020","FQ2 2020","Currency=USD","Period=FQ","BEST_FPERIOD_OVERRIDE=FQ","FILING_STATUS=MR","SCALING_FORMAT=MLN","Sort=A","Dates=H","DateFormat=P","Fill=—","Direction=H","UseDPDF=Y")</f>
        <v>2572</v>
      </c>
      <c r="S17" s="13">
        <f>_xll.BDH("WMT US Equity","BS_OTHER_CUR_ASSET_LESS_PREPAY","FQ3 2020","FQ3 2020","Currency=USD","Period=FQ","BEST_FPERIOD_OVERRIDE=FQ","FILING_STATUS=MR","SCALING_FORMAT=MLN","Sort=A","Dates=H","DateFormat=P","Fill=—","Direction=H","UseDPDF=Y")</f>
        <v>2148</v>
      </c>
      <c r="T17" s="13">
        <f>_xll.BDH("WMT US Equity","BS_OTHER_CUR_ASSET_LESS_PREPAY","FQ4 2020","FQ4 2020","Currency=USD","Period=FQ","BEST_FPERIOD_OVERRIDE=FQ","FILING_STATUS=MR","SCALING_FORMAT=MLN","Sort=A","Dates=H","DateFormat=P","Fill=—","Direction=H","UseDPDF=Y")</f>
        <v>1622</v>
      </c>
      <c r="U17" s="13">
        <f>_xll.BDH("WMT US Equity","BS_OTHER_CUR_ASSET_LESS_PREPAY","FQ1 2021","FQ1 2021","Currency=USD","Period=FQ","BEST_FPERIOD_OVERRIDE=FQ","FILING_STATUS=MR","SCALING_FORMAT=MLN","Sort=A","Dates=H","DateFormat=P","Fill=—","Direction=H","UseDPDF=Y")</f>
        <v>2152</v>
      </c>
      <c r="V17" s="13">
        <f>_xll.BDH("WMT US Equity","BS_OTHER_CUR_ASSET_LESS_PREPAY","FQ2 2021","FQ2 2021","Currency=USD","Period=FQ","BEST_FPERIOD_OVERRIDE=FQ","FILING_STATUS=MR","SCALING_FORMAT=MLN","Sort=A","Dates=H","DateFormat=P","Fill=—","Direction=H","UseDPDF=Y")</f>
        <v>1895</v>
      </c>
      <c r="W17" s="13">
        <f>_xll.BDH("WMT US Equity","BS_OTHER_CUR_ASSET_LESS_PREPAY","FQ3 2021","FQ3 2021","Currency=USD","Period=FQ","BEST_FPERIOD_OVERRIDE=FQ","FILING_STATUS=MR","SCALING_FORMAT=MLN","Sort=A","Dates=H","DateFormat=P","Fill=—","Direction=H","UseDPDF=Y")</f>
        <v>1665</v>
      </c>
      <c r="X17" s="13">
        <f>_xll.BDH("WMT US Equity","BS_OTHER_CUR_ASSET_LESS_PREPAY","FQ4 2021","FQ4 2021","Currency=USD","Period=FQ","BEST_FPERIOD_OVERRIDE=FQ","FILING_STATUS=MR","SCALING_FORMAT=MLN","Sort=A","Dates=H","DateFormat=P","Fill=—","Direction=H","UseDPDF=Y")</f>
        <v>20861</v>
      </c>
      <c r="Y17" s="13">
        <f>_xll.BDH("WMT US Equity","BS_OTHER_CUR_ASSET_LESS_PREPAY","FQ1 2022","FQ1 2022","Currency=USD","Period=FQ","BEST_FPERIOD_OVERRIDE=FQ","FILING_STATUS=MR","SCALING_FORMAT=MLN","Sort=A","Dates=H","DateFormat=P","Fill=—","Direction=H","UseDPDF=Y")</f>
        <v>1565</v>
      </c>
      <c r="Z17" s="13">
        <f>_xll.BDH("WMT US Equity","BS_OTHER_CUR_ASSET_LESS_PREPAY","FQ2 2022","FQ2 2022","Currency=USD","Period=FQ","BEST_FPERIOD_OVERRIDE=FQ","FILING_STATUS=MR","SCALING_FORMAT=MLN","Sort=A","Dates=H","DateFormat=P","Fill=—","Direction=H","UseDPDF=Y")</f>
        <v>1555</v>
      </c>
      <c r="AA17" s="13">
        <f>_xll.BDH("WMT US Equity","BS_OTHER_CUR_ASSET_LESS_PREPAY","FQ3 2022","FQ3 2022","Currency=USD","Period=FQ","BEST_FPERIOD_OVERRIDE=FQ","FILING_STATUS=MR","SCALING_FORMAT=MLN","Sort=A","Dates=H","DateFormat=P","Fill=—","Direction=H","UseDPDF=Y")</f>
        <v>2020</v>
      </c>
      <c r="AB17" s="13">
        <f>_xll.BDH("WMT US Equity","BS_OTHER_CUR_ASSET_LESS_PREPAY","FQ4 2022","FQ4 2022","Currency=USD","Period=FQ","BEST_FPERIOD_OVERRIDE=FQ","FILING_STATUS=MR","SCALING_FORMAT=MLN","Sort=A","Dates=H","DateFormat=P","Fill=—","Direction=H","UseDPDF=Y")</f>
        <v>1519</v>
      </c>
      <c r="AC17" s="13">
        <f>_xll.BDH("WMT US Equity","BS_OTHER_CUR_ASSET_LESS_PREPAY","FQ1 2023","FQ1 2023","Currency=USD","Period=FQ","BEST_FPERIOD_OVERRIDE=FQ","FILING_STATUS=MR","SCALING_FORMAT=MLN","Sort=A","Dates=H","DateFormat=P","Fill=—","Direction=H","UseDPDF=Y")</f>
        <v>2500</v>
      </c>
      <c r="AD17" s="13">
        <f>_xll.BDH("WMT US Equity","BS_OTHER_CUR_ASSET_LESS_PREPAY","FQ2 2023","FQ2 2023","Currency=USD","Period=FQ","BEST_FPERIOD_OVERRIDE=FQ","FILING_STATUS=MR","SCALING_FORMAT=MLN","Sort=A","Dates=H","DateFormat=P","Fill=—","Direction=H","UseDPDF=Y")</f>
        <v>2798</v>
      </c>
      <c r="AE17" s="13">
        <f>_xll.BDH("WMT US Equity","BS_OTHER_CUR_ASSET_LESS_PREPAY","FQ3 2023","FQ3 2023","Currency=USD","Period=FQ","BEST_FPERIOD_OVERRIDE=FQ","FILING_STATUS=MR","SCALING_FORMAT=MLN","Sort=A","Dates=H","DateFormat=P","Fill=—","Direction=H","UseDPDF=Y")</f>
        <v>3169</v>
      </c>
      <c r="AF17" s="13">
        <f>_xll.BDH("WMT US Equity","BS_OTHER_CUR_ASSET_LESS_PREPAY","FQ4 2023","FQ4 2023","Currency=USD","Period=FQ","BEST_FPERIOD_OVERRIDE=FQ","FILING_STATUS=MR","SCALING_FORMAT=MLN","Sort=A","Dates=H","DateFormat=P","Fill=—","Direction=H","UseDPDF=Y")</f>
        <v>2521</v>
      </c>
      <c r="AG17" s="13">
        <f>_xll.BDH("WMT US Equity","BS_OTHER_CUR_ASSET_LESS_PREPAY","FQ1 2024","FQ1 2024","Currency=USD","Period=FQ","BEST_FPERIOD_OVERRIDE=FQ","FILING_STATUS=MR","SCALING_FORMAT=MLN","Sort=A","Dates=H","DateFormat=P","Fill=—","Direction=H","UseDPDF=Y")</f>
        <v>3357</v>
      </c>
      <c r="AH17" s="13">
        <f>_xll.BDH("WMT US Equity","BS_OTHER_CUR_ASSET_LESS_PREPAY","FQ2 2024","FQ2 2024","Currency=USD","Period=FQ","BEST_FPERIOD_OVERRIDE=FQ","FILING_STATUS=MR","SCALING_FORMAT=MLN","Sort=A","Dates=H","DateFormat=P","Fill=—","Direction=H","UseDPDF=Y")</f>
        <v>3531</v>
      </c>
      <c r="AI17" s="13">
        <f>_xll.BDH("WMT US Equity","BS_OTHER_CUR_ASSET_LESS_PREPAY","FQ3 2024","FQ3 2024","Currency=USD","Period=FQ","BEST_FPERIOD_OVERRIDE=FQ","FILING_STATUS=MR","SCALING_FORMAT=MLN","Sort=A","Dates=H","DateFormat=P","Fill=—","Direction=H","UseDPDF=Y")</f>
        <v>3661</v>
      </c>
      <c r="AJ17" s="13">
        <f>_xll.BDH("WMT US Equity","BS_OTHER_CUR_ASSET_LESS_PREPAY","FQ4 2024","FQ4 2024","Currency=USD","Period=FQ","BEST_FPERIOD_OVERRIDE=FQ","FILING_STATUS=MR","SCALING_FORMAT=MLN","Sort=A","Dates=H","DateFormat=P","Fill=—","Direction=H","UseDPDF=Y")</f>
        <v>3322</v>
      </c>
      <c r="AK17" s="13">
        <f>_xll.BDH("WMT US Equity","BS_OTHER_CUR_ASSET_LESS_PREPAY","FQ1 2025","FQ1 2025","Currency=USD","Period=FQ","BEST_FPERIOD_OVERRIDE=FQ","FILING_STATUS=MR","SCALING_FORMAT=MLN","Sort=A","Dates=H","DateFormat=P","Fill=—","Direction=H","UseDPDF=Y")</f>
        <v>3290</v>
      </c>
      <c r="AL17" s="13">
        <f>_xll.BDH("WMT US Equity","BS_OTHER_CUR_ASSET_LESS_PREPAY","FQ2 2025","FQ2 2025","Currency=USD","Period=FQ","BEST_FPERIOD_OVERRIDE=FQ","FILING_STATUS=MR","SCALING_FORMAT=MLN","Sort=A","Dates=H","DateFormat=P","Fill=—","Direction=H","UseDPDF=Y")</f>
        <v>3438</v>
      </c>
      <c r="AM17" s="13">
        <f>_xll.BDH("WMT US Equity","BS_OTHER_CUR_ASSET_LESS_PREPAY","FQ3 2025","FQ3 2025","Currency=USD","Period=FQ","BEST_FPERIOD_OVERRIDE=FQ","FILING_STATUS=MR","SCALING_FORMAT=MLN","Sort=A","Dates=H","DateFormat=P","Fill=—","Direction=H","UseDPDF=Y")</f>
        <v>3548</v>
      </c>
      <c r="AN17" s="13">
        <f>_xll.BDH("WMT US Equity","BS_OTHER_CUR_ASSET_LESS_PREPAY","FQ4 2025","FQ4 2025","Currency=USD","Period=FQ","BEST_FPERIOD_OVERRIDE=FQ","FILING_STATUS=MR","SCALING_FORMAT=MLN","Sort=A","Dates=H","DateFormat=P","Fill=—","Direction=H","UseDPDF=Y")</f>
        <v>4011</v>
      </c>
      <c r="AO17" s="13">
        <f>_xll.BDH("WMT US Equity","BS_OTHER_CUR_ASSET_LESS_PREPAY","FQ1 2026","FQ1 2026","Currency=USD","Period=FQ","BEST_FPERIOD_OVERRIDE=FQ","FILING_STATUS=MR","SCALING_FORMAT=MLN","Sort=A","Dates=H","DateFormat=P","Fill=—","Direction=H","UseDPDF=Y")</f>
        <v>3789</v>
      </c>
      <c r="AP17" s="13">
        <f>_xll.BDH("WMT US Equity","BS_OTHER_CUR_ASSET_LESS_PREPAY","FQ2 2026","FQ2 2026","Currency=USD","Period=FQ","BEST_FPERIOD_OVERRIDE=FQ","FILING_STATUS=MR","SCALING_FORMAT=MLN","Sort=A","Dates=H","DateFormat=P","Fill=—","Direction=H","UseDPDF=Y")</f>
        <v>4355</v>
      </c>
    </row>
    <row r="18" spans="1:42" x14ac:dyDescent="0.3">
      <c r="A18" s="6" t="s">
        <v>96</v>
      </c>
      <c r="B18" s="6" t="s">
        <v>97</v>
      </c>
      <c r="C18" s="16">
        <f>_xll.BDH("WMT US Equity","BS_CUR_ASSET_REPORT","FQ3 2016","FQ3 2016","Currency=USD","Period=FQ","BEST_FPERIOD_OVERRIDE=FQ","FILING_STATUS=MR","SCALING_FORMAT=MLN","Sort=A","Dates=H","DateFormat=P","Fill=—","Direction=H","UseDPDF=Y")</f>
        <v>65112</v>
      </c>
      <c r="D18" s="16">
        <f>_xll.BDH("WMT US Equity","BS_CUR_ASSET_REPORT","FQ4 2016","FQ4 2016","Currency=USD","Period=FQ","BEST_FPERIOD_OVERRIDE=FQ","FILING_STATUS=MR","SCALING_FORMAT=MLN","Sort=A","Dates=H","DateFormat=P","Fill=—","Direction=H","UseDPDF=Y")</f>
        <v>60239</v>
      </c>
      <c r="E18" s="16">
        <f>_xll.BDH("WMT US Equity","BS_CUR_ASSET_REPORT","FQ1 2017","FQ1 2017","Currency=USD","Period=FQ","BEST_FPERIOD_OVERRIDE=FQ","FILING_STATUS=MR","SCALING_FORMAT=MLN","Sort=A","Dates=H","DateFormat=P","Fill=—","Direction=H","UseDPDF=Y")</f>
        <v>59097</v>
      </c>
      <c r="F18" s="16">
        <f>_xll.BDH("WMT US Equity","BS_CUR_ASSET_REPORT","FQ2 2017","FQ2 2017","Currency=USD","Period=FQ","BEST_FPERIOD_OVERRIDE=FQ","FILING_STATUS=MR","SCALING_FORMAT=MLN","Sort=A","Dates=H","DateFormat=P","Fill=—","Direction=H","UseDPDF=Y")</f>
        <v>58232</v>
      </c>
      <c r="G18" s="16">
        <f>_xll.BDH("WMT US Equity","BS_CUR_ASSET_REPORT","FQ3 2017","FQ3 2017","Currency=USD","Period=FQ","BEST_FPERIOD_OVERRIDE=FQ","FILING_STATUS=MR","SCALING_FORMAT=MLN","Sort=A","Dates=H","DateFormat=P","Fill=—","Direction=H","UseDPDF=Y")</f>
        <v>63401</v>
      </c>
      <c r="H18" s="16">
        <f>_xll.BDH("WMT US Equity","BS_CUR_ASSET_REPORT","FQ4 2017","FQ4 2017","Currency=USD","Period=FQ","BEST_FPERIOD_OVERRIDE=FQ","FILING_STATUS=MR","SCALING_FORMAT=MLN","Sort=A","Dates=H","DateFormat=P","Fill=—","Direction=H","UseDPDF=Y")</f>
        <v>57689</v>
      </c>
      <c r="I18" s="16">
        <f>_xll.BDH("WMT US Equity","BS_CUR_ASSET_REPORT","FQ1 2018","FQ1 2018","Currency=USD","Period=FQ","BEST_FPERIOD_OVERRIDE=FQ","FILING_STATUS=MR","SCALING_FORMAT=MLN","Sort=A","Dates=H","DateFormat=P","Fill=—","Direction=H","UseDPDF=Y")</f>
        <v>57336</v>
      </c>
      <c r="J18" s="16">
        <f>_xll.BDH("WMT US Equity","BS_CUR_ASSET_REPORT","FQ2 2018","FQ2 2018","Currency=USD","Period=FQ","BEST_FPERIOD_OVERRIDE=FQ","FILING_STATUS=MR","SCALING_FORMAT=MLN","Sort=A","Dates=H","DateFormat=P","Fill=—","Direction=H","UseDPDF=Y")</f>
        <v>56763</v>
      </c>
      <c r="K18" s="16">
        <f>_xll.BDH("WMT US Equity","BS_CUR_ASSET_REPORT","FQ3 2018","FQ3 2018","Currency=USD","Period=FQ","BEST_FPERIOD_OVERRIDE=FQ","FILING_STATUS=MR","SCALING_FORMAT=MLN","Sort=A","Dates=H","DateFormat=P","Fill=—","Direction=H","UseDPDF=Y")</f>
        <v>65368</v>
      </c>
      <c r="L18" s="16">
        <f>_xll.BDH("WMT US Equity","BS_CUR_ASSET_REPORT","FQ4 2018","FQ4 2018","Currency=USD","Period=FQ","BEST_FPERIOD_OVERRIDE=FQ","FILING_STATUS=MR","SCALING_FORMAT=MLN","Sort=A","Dates=H","DateFormat=P","Fill=—","Direction=H","UseDPDF=Y")</f>
        <v>59664</v>
      </c>
      <c r="M18" s="16">
        <f>_xll.BDH("WMT US Equity","BS_CUR_ASSET_REPORT","FQ1 2019","FQ1 2019","Currency=USD","Period=FQ","BEST_FPERIOD_OVERRIDE=FQ","FILING_STATUS=MR","SCALING_FORMAT=MLN","Sort=A","Dates=H","DateFormat=P","Fill=—","Direction=H","UseDPDF=Y")</f>
        <v>59242</v>
      </c>
      <c r="N18" s="16">
        <f>_xll.BDH("WMT US Equity","BS_CUR_ASSET_REPORT","FQ2 2019","FQ2 2019","Currency=USD","Period=FQ","BEST_FPERIOD_OVERRIDE=FQ","FILING_STATUS=MR","SCALING_FORMAT=MLN","Sort=A","Dates=H","DateFormat=P","Fill=—","Direction=H","UseDPDF=Y")</f>
        <v>66370</v>
      </c>
      <c r="O18" s="16">
        <f>_xll.BDH("WMT US Equity","BS_CUR_ASSET_REPORT","FQ3 2019","FQ3 2019","Currency=USD","Period=FQ","BEST_FPERIOD_OVERRIDE=FQ","FILING_STATUS=MR","SCALING_FORMAT=MLN","Sort=A","Dates=H","DateFormat=P","Fill=—","Direction=H","UseDPDF=Y")</f>
        <v>69446</v>
      </c>
      <c r="P18" s="16">
        <f>_xll.BDH("WMT US Equity","BS_CUR_ASSET_REPORT","FQ4 2019","FQ4 2019","Currency=USD","Period=FQ","BEST_FPERIOD_OVERRIDE=FQ","FILING_STATUS=MR","SCALING_FORMAT=MLN","Sort=A","Dates=H","DateFormat=P","Fill=—","Direction=H","UseDPDF=Y")</f>
        <v>61897</v>
      </c>
      <c r="Q18" s="16">
        <f>_xll.BDH("WMT US Equity","BS_CUR_ASSET_REPORT","FQ1 2020","FQ1 2020","Currency=USD","Period=FQ","BEST_FPERIOD_OVERRIDE=FQ","FILING_STATUS=MR","SCALING_FORMAT=MLN","Sort=A","Dates=H","DateFormat=P","Fill=—","Direction=H","UseDPDF=Y")</f>
        <v>61739</v>
      </c>
      <c r="R18" s="16">
        <f>_xll.BDH("WMT US Equity","BS_CUR_ASSET_REPORT","FQ2 2020","FQ2 2020","Currency=USD","Period=FQ","BEST_FPERIOD_OVERRIDE=FQ","FILING_STATUS=MR","SCALING_FORMAT=MLN","Sort=A","Dates=H","DateFormat=P","Fill=—","Direction=H","UseDPDF=Y")</f>
        <v>61371</v>
      </c>
      <c r="S18" s="16">
        <f>_xll.BDH("WMT US Equity","BS_CUR_ASSET_REPORT","FQ3 2020","FQ3 2020","Currency=USD","Period=FQ","BEST_FPERIOD_OVERRIDE=FQ","FILING_STATUS=MR","SCALING_FORMAT=MLN","Sort=A","Dates=H","DateFormat=P","Fill=—","Direction=H","UseDPDF=Y")</f>
        <v>67912</v>
      </c>
      <c r="T18" s="16">
        <f>_xll.BDH("WMT US Equity","BS_CUR_ASSET_REPORT","FQ4 2020","FQ4 2020","Currency=USD","Period=FQ","BEST_FPERIOD_OVERRIDE=FQ","FILING_STATUS=MR","SCALING_FORMAT=MLN","Sort=A","Dates=H","DateFormat=P","Fill=—","Direction=H","UseDPDF=Y")</f>
        <v>61806</v>
      </c>
      <c r="U18" s="16">
        <f>_xll.BDH("WMT US Equity","BS_CUR_ASSET_REPORT","FQ1 2021","FQ1 2021","Currency=USD","Period=FQ","BEST_FPERIOD_OVERRIDE=FQ","FILING_STATUS=MR","SCALING_FORMAT=MLN","Sort=A","Dates=H","DateFormat=P","Fill=—","Direction=H","UseDPDF=Y")</f>
        <v>63328</v>
      </c>
      <c r="V18" s="16">
        <f>_xll.BDH("WMT US Equity","BS_CUR_ASSET_REPORT","FQ2 2021","FQ2 2021","Currency=USD","Period=FQ","BEST_FPERIOD_OVERRIDE=FQ","FILING_STATUS=MR","SCALING_FORMAT=MLN","Sort=A","Dates=H","DateFormat=P","Fill=—","Direction=H","UseDPDF=Y")</f>
        <v>64996</v>
      </c>
      <c r="W18" s="16">
        <f>_xll.BDH("WMT US Equity","BS_CUR_ASSET_REPORT","FQ3 2021","FQ3 2021","Currency=USD","Period=FQ","BEST_FPERIOD_OVERRIDE=FQ","FILING_STATUS=MR","SCALING_FORMAT=MLN","Sort=A","Dates=H","DateFormat=P","Fill=—","Direction=H","UseDPDF=Y")</f>
        <v>73602</v>
      </c>
      <c r="X18" s="16">
        <f>_xll.BDH("WMT US Equity","BS_CUR_ASSET_REPORT","FQ4 2021","FQ4 2021","Currency=USD","Period=FQ","BEST_FPERIOD_OVERRIDE=FQ","FILING_STATUS=MR","SCALING_FORMAT=MLN","Sort=A","Dates=H","DateFormat=P","Fill=—","Direction=H","UseDPDF=Y")</f>
        <v>90067</v>
      </c>
      <c r="Y18" s="16">
        <f>_xll.BDH("WMT US Equity","BS_CUR_ASSET_REPORT","FQ1 2022","FQ1 2022","Currency=USD","Period=FQ","BEST_FPERIOD_OVERRIDE=FQ","FILING_STATUS=MR","SCALING_FORMAT=MLN","Sort=A","Dates=H","DateFormat=P","Fill=—","Direction=H","UseDPDF=Y")</f>
        <v>76591</v>
      </c>
      <c r="Z18" s="16">
        <f>_xll.BDH("WMT US Equity","BS_CUR_ASSET_REPORT","FQ2 2022","FQ2 2022","Currency=USD","Period=FQ","BEST_FPERIOD_OVERRIDE=FQ","FILING_STATUS=MR","SCALING_FORMAT=MLN","Sort=A","Dates=H","DateFormat=P","Fill=—","Direction=H","UseDPDF=Y")</f>
        <v>78243</v>
      </c>
      <c r="AA18" s="16">
        <f>_xll.BDH("WMT US Equity","BS_CUR_ASSET_REPORT","FQ3 2022","FQ3 2022","Currency=USD","Period=FQ","BEST_FPERIOD_OVERRIDE=FQ","FILING_STATUS=MR","SCALING_FORMAT=MLN","Sort=A","Dates=H","DateFormat=P","Fill=—","Direction=H","UseDPDF=Y")</f>
        <v>82964</v>
      </c>
      <c r="AB18" s="16">
        <f>_xll.BDH("WMT US Equity","BS_CUR_ASSET_REPORT","FQ4 2022","FQ4 2022","Currency=USD","Period=FQ","BEST_FPERIOD_OVERRIDE=FQ","FILING_STATUS=MR","SCALING_FORMAT=MLN","Sort=A","Dates=H","DateFormat=P","Fill=—","Direction=H","UseDPDF=Y")</f>
        <v>81070</v>
      </c>
      <c r="AC18" s="16">
        <f>_xll.BDH("WMT US Equity","BS_CUR_ASSET_REPORT","FQ1 2023","FQ1 2023","Currency=USD","Period=FQ","BEST_FPERIOD_OVERRIDE=FQ","FILING_STATUS=MR","SCALING_FORMAT=MLN","Sort=A","Dates=H","DateFormat=P","Fill=—","Direction=H","UseDPDF=Y")</f>
        <v>83220</v>
      </c>
      <c r="AD18" s="16">
        <f>_xll.BDH("WMT US Equity","BS_CUR_ASSET_REPORT","FQ2 2023","FQ2 2023","Currency=USD","Period=FQ","BEST_FPERIOD_OVERRIDE=FQ","FILING_STATUS=MR","SCALING_FORMAT=MLN","Sort=A","Dates=H","DateFormat=P","Fill=—","Direction=H","UseDPDF=Y")</f>
        <v>84164</v>
      </c>
      <c r="AE18" s="16">
        <f>_xll.BDH("WMT US Equity","BS_CUR_ASSET_REPORT","FQ3 2023","FQ3 2023","Currency=USD","Period=FQ","BEST_FPERIOD_OVERRIDE=FQ","FILING_STATUS=MR","SCALING_FORMAT=MLN","Sort=A","Dates=H","DateFormat=P","Fill=—","Direction=H","UseDPDF=Y")</f>
        <v>87680</v>
      </c>
      <c r="AF18" s="16">
        <f>_xll.BDH("WMT US Equity","BS_CUR_ASSET_REPORT","FQ4 2023","FQ4 2023","Currency=USD","Period=FQ","BEST_FPERIOD_OVERRIDE=FQ","FILING_STATUS=MR","SCALING_FORMAT=MLN","Sort=A","Dates=H","DateFormat=P","Fill=—","Direction=H","UseDPDF=Y")</f>
        <v>75655</v>
      </c>
      <c r="AG18" s="16">
        <f>_xll.BDH("WMT US Equity","BS_CUR_ASSET_REPORT","FQ1 2024","FQ1 2024","Currency=USD","Period=FQ","BEST_FPERIOD_OVERRIDE=FQ","FILING_STATUS=MR","SCALING_FORMAT=MLN","Sort=A","Dates=H","DateFormat=P","Fill=—","Direction=H","UseDPDF=Y")</f>
        <v>78511</v>
      </c>
      <c r="AH18" s="16">
        <f>_xll.BDH("WMT US Equity","BS_CUR_ASSET_REPORT","FQ2 2024","FQ2 2024","Currency=USD","Period=FQ","BEST_FPERIOD_OVERRIDE=FQ","FILING_STATUS=MR","SCALING_FORMAT=MLN","Sort=A","Dates=H","DateFormat=P","Fill=—","Direction=H","UseDPDF=Y")</f>
        <v>82032</v>
      </c>
      <c r="AI18" s="16">
        <f>_xll.BDH("WMT US Equity","BS_CUR_ASSET_REPORT","FQ3 2024","FQ3 2024","Currency=USD","Period=FQ","BEST_FPERIOD_OVERRIDE=FQ","FILING_STATUS=MR","SCALING_FORMAT=MLN","Sort=A","Dates=H","DateFormat=P","Fill=—","Direction=H","UseDPDF=Y")</f>
        <v>88391</v>
      </c>
      <c r="AJ18" s="16">
        <f>_xll.BDH("WMT US Equity","BS_CUR_ASSET_REPORT","FQ4 2024","FQ4 2024","Currency=USD","Period=FQ","BEST_FPERIOD_OVERRIDE=FQ","FILING_STATUS=MR","SCALING_FORMAT=MLN","Sort=A","Dates=H","DateFormat=P","Fill=—","Direction=H","UseDPDF=Y")</f>
        <v>76877</v>
      </c>
      <c r="AK18" s="16">
        <f>_xll.BDH("WMT US Equity","BS_CUR_ASSET_REPORT","FQ1 2025","FQ1 2025","Currency=USD","Period=FQ","BEST_FPERIOD_OVERRIDE=FQ","FILING_STATUS=MR","SCALING_FORMAT=MLN","Sort=A","Dates=H","DateFormat=P","Fill=—","Direction=H","UseDPDF=Y")</f>
        <v>77152</v>
      </c>
      <c r="AL18" s="16">
        <f>_xll.BDH("WMT US Equity","BS_CUR_ASSET_REPORT","FQ2 2025","FQ2 2025","Currency=USD","Period=FQ","BEST_FPERIOD_OVERRIDE=FQ","FILING_STATUS=MR","SCALING_FORMAT=MLN","Sort=A","Dates=H","DateFormat=P","Fill=—","Direction=H","UseDPDF=Y")</f>
        <v>76510</v>
      </c>
      <c r="AM18" s="16">
        <f>_xll.BDH("WMT US Equity","BS_CUR_ASSET_REPORT","FQ3 2025","FQ3 2025","Currency=USD","Period=FQ","BEST_FPERIOD_OVERRIDE=FQ","FILING_STATUS=MR","SCALING_FORMAT=MLN","Sort=A","Dates=H","DateFormat=P","Fill=—","Direction=H","UseDPDF=Y")</f>
        <v>86938</v>
      </c>
      <c r="AN18" s="16">
        <f>_xll.BDH("WMT US Equity","BS_CUR_ASSET_REPORT","FQ4 2025","FQ4 2025","Currency=USD","Period=FQ","BEST_FPERIOD_OVERRIDE=FQ","FILING_STATUS=MR","SCALING_FORMAT=MLN","Sort=A","Dates=H","DateFormat=P","Fill=—","Direction=H","UseDPDF=Y")</f>
        <v>79458</v>
      </c>
      <c r="AO18" s="16">
        <f>_xll.BDH("WMT US Equity","BS_CUR_ASSET_REPORT","FQ1 2026","FQ1 2026","Currency=USD","Period=FQ","BEST_FPERIOD_OVERRIDE=FQ","FILING_STATUS=MR","SCALING_FORMAT=MLN","Sort=A","Dates=H","DateFormat=P","Fill=—","Direction=H","UseDPDF=Y")</f>
        <v>80253</v>
      </c>
      <c r="AP18" s="16">
        <f>_xll.BDH("WMT US Equity","BS_CUR_ASSET_REPORT","FQ2 2026","FQ2 2026","Currency=USD","Period=FQ","BEST_FPERIOD_OVERRIDE=FQ","FILING_STATUS=MR","SCALING_FORMAT=MLN","Sort=A","Dates=H","DateFormat=P","Fill=—","Direction=H","UseDPDF=Y")</f>
        <v>82033</v>
      </c>
    </row>
    <row r="19" spans="1:42" x14ac:dyDescent="0.3">
      <c r="A19" s="10" t="s">
        <v>201</v>
      </c>
      <c r="B19" s="10" t="s">
        <v>98</v>
      </c>
      <c r="C19" s="13">
        <f>_xll.BDH("WMT US Equity","BS_NET_FIX_ASSET","FQ3 2016","FQ3 2016","Currency=USD","Period=FQ","BEST_FPERIOD_OVERRIDE=FQ","FILING_STATUS=MR","SCALING_FORMAT=MLN","Sort=A","Dates=H","DateFormat=P","Fill=—","Direction=H","UseDPDF=Y")</f>
        <v>116956</v>
      </c>
      <c r="D19" s="13">
        <f>_xll.BDH("WMT US Equity","BS_NET_FIX_ASSET","FQ4 2016","FQ4 2016","Currency=USD","Period=FQ","BEST_FPERIOD_OVERRIDE=FQ","FILING_STATUS=MR","SCALING_FORMAT=MLN","Sort=A","Dates=H","DateFormat=P","Fill=—","Direction=H","UseDPDF=Y")</f>
        <v>116516</v>
      </c>
      <c r="E19" s="13">
        <f>_xll.BDH("WMT US Equity","BS_NET_FIX_ASSET","FQ1 2017","FQ1 2017","Currency=USD","Period=FQ","BEST_FPERIOD_OVERRIDE=FQ","FILING_STATUS=MR","SCALING_FORMAT=MLN","Sort=A","Dates=H","DateFormat=P","Fill=—","Direction=H","UseDPDF=Y")</f>
        <v>116494</v>
      </c>
      <c r="F19" s="13">
        <f>_xll.BDH("WMT US Equity","BS_NET_FIX_ASSET","FQ2 2017","FQ2 2017","Currency=USD","Period=FQ","BEST_FPERIOD_OVERRIDE=FQ","FILING_STATUS=MR","SCALING_FORMAT=MLN","Sort=A","Dates=H","DateFormat=P","Fill=—","Direction=H","UseDPDF=Y")</f>
        <v>115410</v>
      </c>
      <c r="G19" s="13">
        <f>_xll.BDH("WMT US Equity","BS_NET_FIX_ASSET","FQ3 2017","FQ3 2017","Currency=USD","Period=FQ","BEST_FPERIOD_OVERRIDE=FQ","FILING_STATUS=MR","SCALING_FORMAT=MLN","Sort=A","Dates=H","DateFormat=P","Fill=—","Direction=H","UseDPDF=Y")</f>
        <v>115088</v>
      </c>
      <c r="H19" s="13">
        <f>_xll.BDH("WMT US Equity","BS_NET_FIX_ASSET","FQ4 2017","FQ4 2017","Currency=USD","Period=FQ","BEST_FPERIOD_OVERRIDE=FQ","FILING_STATUS=MR","SCALING_FORMAT=MLN","Sort=A","Dates=H","DateFormat=P","Fill=—","Direction=H","UseDPDF=Y")</f>
        <v>114178</v>
      </c>
      <c r="I19" s="13">
        <f>_xll.BDH("WMT US Equity","BS_NET_FIX_ASSET","FQ1 2018","FQ1 2018","Currency=USD","Period=FQ","BEST_FPERIOD_OVERRIDE=FQ","FILING_STATUS=MR","SCALING_FORMAT=MLN","Sort=A","Dates=H","DateFormat=P","Fill=—","Direction=H","UseDPDF=Y")</f>
        <v>114169</v>
      </c>
      <c r="J19" s="13">
        <f>_xll.BDH("WMT US Equity","BS_NET_FIX_ASSET","FQ2 2018","FQ2 2018","Currency=USD","Period=FQ","BEST_FPERIOD_OVERRIDE=FQ","FILING_STATUS=MR","SCALING_FORMAT=MLN","Sort=A","Dates=H","DateFormat=P","Fill=—","Direction=H","UseDPDF=Y")</f>
        <v>115353</v>
      </c>
      <c r="K19" s="13">
        <f>_xll.BDH("WMT US Equity","BS_NET_FIX_ASSET","FQ3 2018","FQ3 2018","Currency=USD","Period=FQ","BEST_FPERIOD_OVERRIDE=FQ","FILING_STATUS=MR","SCALING_FORMAT=MLN","Sort=A","Dates=H","DateFormat=P","Fill=—","Direction=H","UseDPDF=Y")</f>
        <v>115299</v>
      </c>
      <c r="L19" s="13">
        <f>_xll.BDH("WMT US Equity","BS_NET_FIX_ASSET","FQ4 2018","FQ4 2018","Currency=USD","Period=FQ","BEST_FPERIOD_OVERRIDE=FQ","FILING_STATUS=MR","SCALING_FORMAT=MLN","Sort=A","Dates=H","DateFormat=P","Fill=—","Direction=H","UseDPDF=Y")</f>
        <v>114818</v>
      </c>
      <c r="M19" s="13">
        <f>_xll.BDH("WMT US Equity","BS_NET_FIX_ASSET","FQ1 2019","FQ1 2019","Currency=USD","Period=FQ","BEST_FPERIOD_OVERRIDE=FQ","FILING_STATUS=MR","SCALING_FORMAT=MLN","Sort=A","Dates=H","DateFormat=P","Fill=—","Direction=H","UseDPDF=Y")</f>
        <v>114800</v>
      </c>
      <c r="N19" s="13">
        <f>_xll.BDH("WMT US Equity","BS_NET_FIX_ASSET","FQ2 2019","FQ2 2019","Currency=USD","Period=FQ","BEST_FPERIOD_OVERRIDE=FQ","FILING_STATUS=MR","SCALING_FORMAT=MLN","Sort=A","Dates=H","DateFormat=P","Fill=—","Direction=H","UseDPDF=Y")</f>
        <v>111017</v>
      </c>
      <c r="O19" s="13">
        <f>_xll.BDH("WMT US Equity","BS_NET_FIX_ASSET","FQ3 2019","FQ3 2019","Currency=USD","Period=FQ","BEST_FPERIOD_OVERRIDE=FQ","FILING_STATUS=MR","SCALING_FORMAT=MLN","Sort=A","Dates=H","DateFormat=P","Fill=—","Direction=H","UseDPDF=Y")</f>
        <v>111349</v>
      </c>
      <c r="P19" s="13">
        <f>_xll.BDH("WMT US Equity","BS_NET_FIX_ASSET","FQ4 2019","FQ4 2019","Currency=USD","Period=FQ","BEST_FPERIOD_OVERRIDE=FQ","FILING_STATUS=MR","SCALING_FORMAT=MLN","Sort=A","Dates=H","DateFormat=P","Fill=—","Direction=H","UseDPDF=Y")</f>
        <v>111395</v>
      </c>
      <c r="Q19" s="13">
        <f>_xll.BDH("WMT US Equity","BS_NET_FIX_ASSET","FQ1 2020","FQ1 2020","Currency=USD","Period=FQ","BEST_FPERIOD_OVERRIDE=FQ","FILING_STATUS=MR","SCALING_FORMAT=MLN","Sort=A","Dates=H","DateFormat=P","Fill=—","Direction=H","UseDPDF=Y")</f>
        <v>125241</v>
      </c>
      <c r="R19" s="13">
        <f>_xll.BDH("WMT US Equity","BS_NET_FIX_ASSET","FQ2 2020","FQ2 2020","Currency=USD","Period=FQ","BEST_FPERIOD_OVERRIDE=FQ","FILING_STATUS=MR","SCALING_FORMAT=MLN","Sort=A","Dates=H","DateFormat=P","Fill=—","Direction=H","UseDPDF=Y")</f>
        <v>125862</v>
      </c>
      <c r="S19" s="13">
        <f>_xll.BDH("WMT US Equity","BS_NET_FIX_ASSET","FQ3 2020","FQ3 2020","Currency=USD","Period=FQ","BEST_FPERIOD_OVERRIDE=FQ","FILING_STATUS=MR","SCALING_FORMAT=MLN","Sort=A","Dates=H","DateFormat=P","Fill=—","Direction=H","UseDPDF=Y")</f>
        <v>125425</v>
      </c>
      <c r="T19" s="13">
        <f>_xll.BDH("WMT US Equity","BS_NET_FIX_ASSET","FQ4 2020","FQ4 2020","Currency=USD","Period=FQ","BEST_FPERIOD_OVERRIDE=FQ","FILING_STATUS=MR","SCALING_FORMAT=MLN","Sort=A","Dates=H","DateFormat=P","Fill=—","Direction=H","UseDPDF=Y")</f>
        <v>127049</v>
      </c>
      <c r="U19" s="13">
        <f>_xll.BDH("WMT US Equity","BS_NET_FIX_ASSET","FQ1 2021","FQ1 2021","Currency=USD","Period=FQ","BEST_FPERIOD_OVERRIDE=FQ","FILING_STATUS=MR","SCALING_FORMAT=MLN","Sort=A","Dates=H","DateFormat=P","Fill=—","Direction=H","UseDPDF=Y")</f>
        <v>123378</v>
      </c>
      <c r="V19" s="13">
        <f>_xll.BDH("WMT US Equity","BS_NET_FIX_ASSET","FQ2 2021","FQ2 2021","Currency=USD","Period=FQ","BEST_FPERIOD_OVERRIDE=FQ","FILING_STATUS=MR","SCALING_FORMAT=MLN","Sort=A","Dates=H","DateFormat=P","Fill=—","Direction=H","UseDPDF=Y")</f>
        <v>122894</v>
      </c>
      <c r="W19" s="13">
        <f>_xll.BDH("WMT US Equity","BS_NET_FIX_ASSET","FQ3 2021","FQ3 2021","Currency=USD","Period=FQ","BEST_FPERIOD_OVERRIDE=FQ","FILING_STATUS=MR","SCALING_FORMAT=MLN","Sort=A","Dates=H","DateFormat=P","Fill=—","Direction=H","UseDPDF=Y")</f>
        <v>124289</v>
      </c>
      <c r="X19" s="13">
        <f>_xll.BDH("WMT US Equity","BS_NET_FIX_ASSET","FQ4 2021","FQ4 2021","Currency=USD","Period=FQ","BEST_FPERIOD_OVERRIDE=FQ","FILING_STATUS=MR","SCALING_FORMAT=MLN","Sort=A","Dates=H","DateFormat=P","Fill=—","Direction=H","UseDPDF=Y")</f>
        <v>109848</v>
      </c>
      <c r="Y19" s="13">
        <f>_xll.BDH("WMT US Equity","BS_NET_FIX_ASSET","FQ1 2022","FQ1 2022","Currency=USD","Period=FQ","BEST_FPERIOD_OVERRIDE=FQ","FILING_STATUS=MR","SCALING_FORMAT=MLN","Sort=A","Dates=H","DateFormat=P","Fill=—","Direction=H","UseDPDF=Y")</f>
        <v>108625</v>
      </c>
      <c r="Z19" s="13">
        <f>_xll.BDH("WMT US Equity","BS_NET_FIX_ASSET","FQ2 2022","FQ2 2022","Currency=USD","Period=FQ","BEST_FPERIOD_OVERRIDE=FQ","FILING_STATUS=MR","SCALING_FORMAT=MLN","Sort=A","Dates=H","DateFormat=P","Fill=—","Direction=H","UseDPDF=Y")</f>
        <v>109598</v>
      </c>
      <c r="AA19" s="13">
        <f>_xll.BDH("WMT US Equity","BS_NET_FIX_ASSET","FQ3 2022","FQ3 2022","Currency=USD","Period=FQ","BEST_FPERIOD_OVERRIDE=FQ","FILING_STATUS=MR","SCALING_FORMAT=MLN","Sort=A","Dates=H","DateFormat=P","Fill=—","Direction=H","UseDPDF=Y")</f>
        <v>110331</v>
      </c>
      <c r="AB19" s="13">
        <f>_xll.BDH("WMT US Equity","BS_NET_FIX_ASSET","FQ4 2022","FQ4 2022","Currency=USD","Period=FQ","BEST_FPERIOD_OVERRIDE=FQ","FILING_STATUS=MR","SCALING_FORMAT=MLN","Sort=A","Dates=H","DateFormat=P","Fill=—","Direction=H","UseDPDF=Y")</f>
        <v>112624</v>
      </c>
      <c r="AC19" s="13">
        <f>_xll.BDH("WMT US Equity","BS_NET_FIX_ASSET","FQ1 2023","FQ1 2023","Currency=USD","Period=FQ","BEST_FPERIOD_OVERRIDE=FQ","FILING_STATUS=MR","SCALING_FORMAT=MLN","Sort=A","Dates=H","DateFormat=P","Fill=—","Direction=H","UseDPDF=Y")</f>
        <v>113217</v>
      </c>
      <c r="AD19" s="13">
        <f>_xll.BDH("WMT US Equity","BS_NET_FIX_ASSET","FQ2 2023","FQ2 2023","Currency=USD","Period=FQ","BEST_FPERIOD_OVERRIDE=FQ","FILING_STATUS=MR","SCALING_FORMAT=MLN","Sort=A","Dates=H","DateFormat=P","Fill=—","Direction=H","UseDPDF=Y")</f>
        <v>114392</v>
      </c>
      <c r="AE19" s="13">
        <f>_xll.BDH("WMT US Equity","BS_NET_FIX_ASSET","FQ3 2023","FQ3 2023","Currency=USD","Period=FQ","BEST_FPERIOD_OVERRIDE=FQ","FILING_STATUS=MR","SCALING_FORMAT=MLN","Sort=A","Dates=H","DateFormat=P","Fill=—","Direction=H","UseDPDF=Y")</f>
        <v>115544</v>
      </c>
      <c r="AF19" s="13">
        <f>_xll.BDH("WMT US Equity","BS_NET_FIX_ASSET","FQ4 2023","FQ4 2023","Currency=USD","Period=FQ","BEST_FPERIOD_OVERRIDE=FQ","FILING_STATUS=MR","SCALING_FORMAT=MLN","Sort=A","Dates=H","DateFormat=P","Fill=—","Direction=H","UseDPDF=Y")</f>
        <v>119234</v>
      </c>
      <c r="AG19" s="13">
        <f>_xll.BDH("WMT US Equity","BS_NET_FIX_ASSET","FQ1 2024","FQ1 2024","Currency=USD","Period=FQ","BEST_FPERIOD_OVERRIDE=FQ","FILING_STATUS=MR","SCALING_FORMAT=MLN","Sort=A","Dates=H","DateFormat=P","Fill=—","Direction=H","UseDPDF=Y")</f>
        <v>121138</v>
      </c>
      <c r="AH19" s="13">
        <f>_xll.BDH("WMT US Equity","BS_NET_FIX_ASSET","FQ2 2024","FQ2 2024","Currency=USD","Period=FQ","BEST_FPERIOD_OVERRIDE=FQ","FILING_STATUS=MR","SCALING_FORMAT=MLN","Sort=A","Dates=H","DateFormat=P","Fill=—","Direction=H","UseDPDF=Y")</f>
        <v>123995</v>
      </c>
      <c r="AI19" s="13">
        <f>_xll.BDH("WMT US Equity","BS_NET_FIX_ASSET","FQ3 2024","FQ3 2024","Currency=USD","Period=FQ","BEST_FPERIOD_OVERRIDE=FQ","FILING_STATUS=MR","SCALING_FORMAT=MLN","Sort=A","Dates=H","DateFormat=P","Fill=—","Direction=H","UseDPDF=Y")</f>
        <v>126824</v>
      </c>
      <c r="AJ19" s="13">
        <f>_xll.BDH("WMT US Equity","BS_NET_FIX_ASSET","FQ4 2024","FQ4 2024","Currency=USD","Period=FQ","BEST_FPERIOD_OVERRIDE=FQ","FILING_STATUS=MR","SCALING_FORMAT=MLN","Sort=A","Dates=H","DateFormat=P","Fill=—","Direction=H","UseDPDF=Y")</f>
        <v>130338</v>
      </c>
      <c r="AK19" s="13">
        <f>_xll.BDH("WMT US Equity","BS_NET_FIX_ASSET","FQ1 2025","FQ1 2025","Currency=USD","Period=FQ","BEST_FPERIOD_OVERRIDE=FQ","FILING_STATUS=MR","SCALING_FORMAT=MLN","Sort=A","Dates=H","DateFormat=P","Fill=—","Direction=H","UseDPDF=Y")</f>
        <v>131345</v>
      </c>
      <c r="AL19" s="13">
        <f>_xll.BDH("WMT US Equity","BS_NET_FIX_ASSET","FQ2 2025","FQ2 2025","Currency=USD","Period=FQ","BEST_FPERIOD_OVERRIDE=FQ","FILING_STATUS=MR","SCALING_FORMAT=MLN","Sort=A","Dates=H","DateFormat=P","Fill=—","Direction=H","UseDPDF=Y")</f>
        <v>133738</v>
      </c>
      <c r="AM19" s="13">
        <f>_xll.BDH("WMT US Equity","BS_NET_FIX_ASSET","FQ3 2025","FQ3 2025","Currency=USD","Period=FQ","BEST_FPERIOD_OVERRIDE=FQ","FILING_STATUS=MR","SCALING_FORMAT=MLN","Sort=A","Dates=H","DateFormat=P","Fill=—","Direction=H","UseDPDF=Y")</f>
        <v>136526</v>
      </c>
      <c r="AN19" s="13">
        <f>_xll.BDH("WMT US Equity","BS_NET_FIX_ASSET","FQ4 2025","FQ4 2025","Currency=USD","Period=FQ","BEST_FPERIOD_OVERRIDE=FQ","FILING_STATUS=MR","SCALING_FORMAT=MLN","Sort=A","Dates=H","DateFormat=P","Fill=—","Direction=H","UseDPDF=Y")</f>
        <v>139704</v>
      </c>
      <c r="AO19" s="13">
        <f>_xll.BDH("WMT US Equity","BS_NET_FIX_ASSET","FQ1 2026","FQ1 2026","Currency=USD","Period=FQ","BEST_FPERIOD_OVERRIDE=FQ","FILING_STATUS=MR","SCALING_FORMAT=MLN","Sort=A","Dates=H","DateFormat=P","Fill=—","Direction=H","UseDPDF=Y")</f>
        <v>140884</v>
      </c>
      <c r="AP19" s="13">
        <f>_xll.BDH("WMT US Equity","BS_NET_FIX_ASSET","FQ2 2026","FQ2 2026","Currency=USD","Period=FQ","BEST_FPERIOD_OVERRIDE=FQ","FILING_STATUS=MR","SCALING_FORMAT=MLN","Sort=A","Dates=H","DateFormat=P","Fill=—","Direction=H","UseDPDF=Y")</f>
        <v>145557</v>
      </c>
    </row>
    <row r="20" spans="1:42" x14ac:dyDescent="0.3">
      <c r="A20" s="10" t="s">
        <v>202</v>
      </c>
      <c r="B20" s="10" t="s">
        <v>99</v>
      </c>
      <c r="C20" s="13">
        <f>_xll.BDH("WMT US Equity","BS_GROSS_FIX_ASSET","FQ3 2016","FQ3 2016","Currency=USD","Period=FQ","BEST_FPERIOD_OVERRIDE=FQ","FILING_STATUS=MR","SCALING_FORMAT=MLN","Sort=A","Dates=H","DateFormat=P","Fill=—","Direction=H","UseDPDF=Y")</f>
        <v>187608</v>
      </c>
      <c r="D20" s="13">
        <f>_xll.BDH("WMT US Equity","BS_GROSS_FIX_ASSET","FQ4 2016","FQ4 2016","Currency=USD","Period=FQ","BEST_FPERIOD_OVERRIDE=FQ","FILING_STATUS=MR","SCALING_FORMAT=MLN","Sort=A","Dates=H","DateFormat=P","Fill=—","Direction=H","UseDPDF=Y")</f>
        <v>188054</v>
      </c>
      <c r="E20" s="13">
        <f>_xll.BDH("WMT US Equity","BS_GROSS_FIX_ASSET","FQ1 2017","FQ1 2017","Currency=USD","Period=FQ","BEST_FPERIOD_OVERRIDE=FQ","FILING_STATUS=MR","SCALING_FORMAT=MLN","Sort=A","Dates=H","DateFormat=P","Fill=—","Direction=H","UseDPDF=Y")</f>
        <v>189963</v>
      </c>
      <c r="F20" s="13">
        <f>_xll.BDH("WMT US Equity","BS_GROSS_FIX_ASSET","FQ2 2017","FQ2 2017","Currency=USD","Period=FQ","BEST_FPERIOD_OVERRIDE=FQ","FILING_STATUS=MR","SCALING_FORMAT=MLN","Sort=A","Dates=H","DateFormat=P","Fill=—","Direction=H","UseDPDF=Y")</f>
        <v>190140</v>
      </c>
      <c r="G20" s="13">
        <f>_xll.BDH("WMT US Equity","BS_GROSS_FIX_ASSET","FQ3 2017","FQ3 2017","Currency=USD","Period=FQ","BEST_FPERIOD_OVERRIDE=FQ","FILING_STATUS=MR","SCALING_FORMAT=MLN","Sort=A","Dates=H","DateFormat=P","Fill=—","Direction=H","UseDPDF=Y")</f>
        <v>191149</v>
      </c>
      <c r="H20" s="13">
        <f>_xll.BDH("WMT US Equity","BS_GROSS_FIX_ASSET","FQ4 2017","FQ4 2017","Currency=USD","Period=FQ","BEST_FPERIOD_OVERRIDE=FQ","FILING_STATUS=MR","SCALING_FORMAT=MLN","Sort=A","Dates=H","DateFormat=P","Fill=—","Direction=H","UseDPDF=Y")</f>
        <v>191129</v>
      </c>
      <c r="I20" s="13">
        <f>_xll.BDH("WMT US Equity","BS_GROSS_FIX_ASSET","FQ1 2018","FQ1 2018","Currency=USD","Period=FQ","BEST_FPERIOD_OVERRIDE=FQ","FILING_STATUS=MR","SCALING_FORMAT=MLN","Sort=A","Dates=H","DateFormat=P","Fill=—","Direction=H","UseDPDF=Y")</f>
        <v>192929</v>
      </c>
      <c r="J20" s="13">
        <f>_xll.BDH("WMT US Equity","BS_GROSS_FIX_ASSET","FQ2 2018","FQ2 2018","Currency=USD","Period=FQ","BEST_FPERIOD_OVERRIDE=FQ","FILING_STATUS=MR","SCALING_FORMAT=MLN","Sort=A","Dates=H","DateFormat=P","Fill=—","Direction=H","UseDPDF=Y")</f>
        <v>196126</v>
      </c>
      <c r="K20" s="13">
        <f>_xll.BDH("WMT US Equity","BS_GROSS_FIX_ASSET","FQ3 2018","FQ3 2018","Currency=USD","Period=FQ","BEST_FPERIOD_OVERRIDE=FQ","FILING_STATUS=MR","SCALING_FORMAT=MLN","Sort=A","Dates=H","DateFormat=P","Fill=—","Direction=H","UseDPDF=Y")</f>
        <v>197744</v>
      </c>
      <c r="L20" s="13">
        <f>_xll.BDH("WMT US Equity","BS_GROSS_FIX_ASSET","FQ4 2018","FQ4 2018","Currency=USD","Period=FQ","BEST_FPERIOD_OVERRIDE=FQ","FILING_STATUS=MR","SCALING_FORMAT=MLN","Sort=A","Dates=H","DateFormat=P","Fill=—","Direction=H","UseDPDF=Y")</f>
        <v>197857</v>
      </c>
      <c r="M20" s="13" t="str">
        <f>_xll.BDH("WMT US Equity","BS_GROSS_FIX_ASSET","FQ1 2019","FQ1 2019","Currency=USD","Period=FQ","BEST_FPERIOD_OVERRIDE=FQ","FILING_STATUS=MR","SCALING_FORMAT=MLN","Sort=A","Dates=H","DateFormat=P","Fill=—","Direction=H","UseDPDF=Y")</f>
        <v>—</v>
      </c>
      <c r="N20" s="13">
        <f>_xll.BDH("WMT US Equity","BS_GROSS_FIX_ASSET","FQ2 2019","FQ2 2019","Currency=USD","Period=FQ","BEST_FPERIOD_OVERRIDE=FQ","FILING_STATUS=MR","SCALING_FORMAT=MLN","Sort=A","Dates=H","DateFormat=P","Fill=—","Direction=H","UseDPDF=Y")</f>
        <v>195069</v>
      </c>
      <c r="O20" s="13">
        <f>_xll.BDH("WMT US Equity","BS_GROSS_FIX_ASSET","FQ3 2019","FQ3 2019","Currency=USD","Period=FQ","BEST_FPERIOD_OVERRIDE=FQ","FILING_STATUS=MR","SCALING_FORMAT=MLN","Sort=A","Dates=H","DateFormat=P","Fill=—","Direction=H","UseDPDF=Y")</f>
        <v>197176</v>
      </c>
      <c r="P20" s="13">
        <f>_xll.BDH("WMT US Equity","BS_GROSS_FIX_ASSET","FQ4 2019","FQ4 2019","Currency=USD","Period=FQ","BEST_FPERIOD_OVERRIDE=FQ","FILING_STATUS=MR","SCALING_FORMAT=MLN","Sort=A","Dates=H","DateFormat=P","Fill=—","Direction=H","UseDPDF=Y")</f>
        <v>192888</v>
      </c>
      <c r="Q20" s="13" t="str">
        <f>_xll.BDH("WMT US Equity","BS_GROSS_FIX_ASSET","FQ1 2020","FQ1 2020","Currency=USD","Period=FQ","BEST_FPERIOD_OVERRIDE=FQ","FILING_STATUS=MR","SCALING_FORMAT=MLN","Sort=A","Dates=H","DateFormat=P","Fill=—","Direction=H","UseDPDF=Y")</f>
        <v>—</v>
      </c>
      <c r="R20" s="13" t="str">
        <f>_xll.BDH("WMT US Equity","BS_GROSS_FIX_ASSET","FQ2 2020","FQ2 2020","Currency=USD","Period=FQ","BEST_FPERIOD_OVERRIDE=FQ","FILING_STATUS=MR","SCALING_FORMAT=MLN","Sort=A","Dates=H","DateFormat=P","Fill=—","Direction=H","UseDPDF=Y")</f>
        <v>—</v>
      </c>
      <c r="S20" s="13" t="str">
        <f>_xll.BDH("WMT US Equity","BS_GROSS_FIX_ASSET","FQ3 2020","FQ3 2020","Currency=USD","Period=FQ","BEST_FPERIOD_OVERRIDE=FQ","FILING_STATUS=MR","SCALING_FORMAT=MLN","Sort=A","Dates=H","DateFormat=P","Fill=—","Direction=H","UseDPDF=Y")</f>
        <v>—</v>
      </c>
      <c r="T20" s="13">
        <f>_xll.BDH("WMT US Equity","BS_GROSS_FIX_ASSET","FQ4 2020","FQ4 2020","Currency=USD","Period=FQ","BEST_FPERIOD_OVERRIDE=FQ","FILING_STATUS=MR","SCALING_FORMAT=MLN","Sort=A","Dates=H","DateFormat=P","Fill=—","Direction=H","UseDPDF=Y")</f>
        <v>216869</v>
      </c>
      <c r="U20" s="13" t="str">
        <f>_xll.BDH("WMT US Equity","BS_GROSS_FIX_ASSET","FQ1 2021","FQ1 2021","Currency=USD","Period=FQ","BEST_FPERIOD_OVERRIDE=FQ","FILING_STATUS=MR","SCALING_FORMAT=MLN","Sort=A","Dates=H","DateFormat=P","Fill=—","Direction=H","UseDPDF=Y")</f>
        <v>—</v>
      </c>
      <c r="V20" s="13" t="str">
        <f>_xll.BDH("WMT US Equity","BS_GROSS_FIX_ASSET","FQ2 2021","FQ2 2021","Currency=USD","Period=FQ","BEST_FPERIOD_OVERRIDE=FQ","FILING_STATUS=MR","SCALING_FORMAT=MLN","Sort=A","Dates=H","DateFormat=P","Fill=—","Direction=H","UseDPDF=Y")</f>
        <v>—</v>
      </c>
      <c r="W20" s="13" t="str">
        <f>_xll.BDH("WMT US Equity","BS_GROSS_FIX_ASSET","FQ3 2021","FQ3 2021","Currency=USD","Period=FQ","BEST_FPERIOD_OVERRIDE=FQ","FILING_STATUS=MR","SCALING_FORMAT=MLN","Sort=A","Dates=H","DateFormat=P","Fill=—","Direction=H","UseDPDF=Y")</f>
        <v>—</v>
      </c>
      <c r="X20" s="13">
        <f>_xll.BDH("WMT US Equity","BS_GROSS_FIX_ASSET","FQ4 2021","FQ4 2021","Currency=USD","Period=FQ","BEST_FPERIOD_OVERRIDE=FQ","FILING_STATUS=MR","SCALING_FORMAT=MLN","Sort=A","Dates=H","DateFormat=P","Fill=—","Direction=H","UseDPDF=Y")</f>
        <v>198218</v>
      </c>
      <c r="Y20" s="13" t="str">
        <f>_xll.BDH("WMT US Equity","BS_GROSS_FIX_ASSET","FQ1 2022","FQ1 2022","Currency=USD","Period=FQ","BEST_FPERIOD_OVERRIDE=FQ","FILING_STATUS=MR","SCALING_FORMAT=MLN","Sort=A","Dates=H","DateFormat=P","Fill=—","Direction=H","UseDPDF=Y")</f>
        <v>—</v>
      </c>
      <c r="Z20" s="13" t="str">
        <f>_xll.BDH("WMT US Equity","BS_GROSS_FIX_ASSET","FQ2 2022","FQ2 2022","Currency=USD","Period=FQ","BEST_FPERIOD_OVERRIDE=FQ","FILING_STATUS=MR","SCALING_FORMAT=MLN","Sort=A","Dates=H","DateFormat=P","Fill=—","Direction=H","UseDPDF=Y")</f>
        <v>—</v>
      </c>
      <c r="AA20" s="13" t="str">
        <f>_xll.BDH("WMT US Equity","BS_GROSS_FIX_ASSET","FQ3 2022","FQ3 2022","Currency=USD","Period=FQ","BEST_FPERIOD_OVERRIDE=FQ","FILING_STATUS=MR","SCALING_FORMAT=MLN","Sort=A","Dates=H","DateFormat=P","Fill=—","Direction=H","UseDPDF=Y")</f>
        <v>—</v>
      </c>
      <c r="AB20" s="13">
        <f>_xll.BDH("WMT US Equity","BS_GROSS_FIX_ASSET","FQ4 2022","FQ4 2022","Currency=USD","Period=FQ","BEST_FPERIOD_OVERRIDE=FQ","FILING_STATUS=MR","SCALING_FORMAT=MLN","Sort=A","Dates=H","DateFormat=P","Fill=—","Direction=H","UseDPDF=Y")</f>
        <v>207433</v>
      </c>
      <c r="AC20" s="13" t="str">
        <f>_xll.BDH("WMT US Equity","BS_GROSS_FIX_ASSET","FQ1 2023","FQ1 2023","Currency=USD","Period=FQ","BEST_FPERIOD_OVERRIDE=FQ","FILING_STATUS=MR","SCALING_FORMAT=MLN","Sort=A","Dates=H","DateFormat=P","Fill=—","Direction=H","UseDPDF=Y")</f>
        <v>—</v>
      </c>
      <c r="AD20" s="13" t="str">
        <f>_xll.BDH("WMT US Equity","BS_GROSS_FIX_ASSET","FQ2 2023","FQ2 2023","Currency=USD","Period=FQ","BEST_FPERIOD_OVERRIDE=FQ","FILING_STATUS=MR","SCALING_FORMAT=MLN","Sort=A","Dates=H","DateFormat=P","Fill=—","Direction=H","UseDPDF=Y")</f>
        <v>—</v>
      </c>
      <c r="AE20" s="13" t="str">
        <f>_xll.BDH("WMT US Equity","BS_GROSS_FIX_ASSET","FQ3 2023","FQ3 2023","Currency=USD","Period=FQ","BEST_FPERIOD_OVERRIDE=FQ","FILING_STATUS=MR","SCALING_FORMAT=MLN","Sort=A","Dates=H","DateFormat=P","Fill=—","Direction=H","UseDPDF=Y")</f>
        <v>—</v>
      </c>
      <c r="AF20" s="13">
        <f>_xll.BDH("WMT US Equity","BS_GROSS_FIX_ASSET","FQ4 2023","FQ4 2023","Currency=USD","Period=FQ","BEST_FPERIOD_OVERRIDE=FQ","FILING_STATUS=MR","SCALING_FORMAT=MLN","Sort=A","Dates=H","DateFormat=P","Fill=—","Direction=H","UseDPDF=Y")</f>
        <v>220844</v>
      </c>
      <c r="AG20" s="13" t="str">
        <f>_xll.BDH("WMT US Equity","BS_GROSS_FIX_ASSET","FQ1 2024","FQ1 2024","Currency=USD","Period=FQ","BEST_FPERIOD_OVERRIDE=FQ","FILING_STATUS=MR","SCALING_FORMAT=MLN","Sort=A","Dates=H","DateFormat=P","Fill=—","Direction=H","UseDPDF=Y")</f>
        <v>—</v>
      </c>
      <c r="AH20" s="13" t="str">
        <f>_xll.BDH("WMT US Equity","BS_GROSS_FIX_ASSET","FQ2 2024","FQ2 2024","Currency=USD","Period=FQ","BEST_FPERIOD_OVERRIDE=FQ","FILING_STATUS=MR","SCALING_FORMAT=MLN","Sort=A","Dates=H","DateFormat=P","Fill=—","Direction=H","UseDPDF=Y")</f>
        <v>—</v>
      </c>
      <c r="AI20" s="13" t="str">
        <f>_xll.BDH("WMT US Equity","BS_GROSS_FIX_ASSET","FQ3 2024","FQ3 2024","Currency=USD","Period=FQ","BEST_FPERIOD_OVERRIDE=FQ","FILING_STATUS=MR","SCALING_FORMAT=MLN","Sort=A","Dates=H","DateFormat=P","Fill=—","Direction=H","UseDPDF=Y")</f>
        <v>—</v>
      </c>
      <c r="AJ20" s="13">
        <f>_xll.BDH("WMT US Equity","BS_GROSS_FIX_ASSET","FQ4 2024","FQ4 2024","Currency=USD","Period=FQ","BEST_FPERIOD_OVERRIDE=FQ","FILING_STATUS=MR","SCALING_FORMAT=MLN","Sort=A","Dates=H","DateFormat=P","Fill=—","Direction=H","UseDPDF=Y")</f>
        <v>239387</v>
      </c>
      <c r="AK20" s="13" t="str">
        <f>_xll.BDH("WMT US Equity","BS_GROSS_FIX_ASSET","FQ1 2025","FQ1 2025","Currency=USD","Period=FQ","BEST_FPERIOD_OVERRIDE=FQ","FILING_STATUS=MR","SCALING_FORMAT=MLN","Sort=A","Dates=H","DateFormat=P","Fill=—","Direction=H","UseDPDF=Y")</f>
        <v>—</v>
      </c>
      <c r="AL20" s="13" t="str">
        <f>_xll.BDH("WMT US Equity","BS_GROSS_FIX_ASSET","FQ2 2025","FQ2 2025","Currency=USD","Period=FQ","BEST_FPERIOD_OVERRIDE=FQ","FILING_STATUS=MR","SCALING_FORMAT=MLN","Sort=A","Dates=H","DateFormat=P","Fill=—","Direction=H","UseDPDF=Y")</f>
        <v>—</v>
      </c>
      <c r="AM20" s="13" t="str">
        <f>_xll.BDH("WMT US Equity","BS_GROSS_FIX_ASSET","FQ3 2025","FQ3 2025","Currency=USD","Period=FQ","BEST_FPERIOD_OVERRIDE=FQ","FILING_STATUS=MR","SCALING_FORMAT=MLN","Sort=A","Dates=H","DateFormat=P","Fill=—","Direction=H","UseDPDF=Y")</f>
        <v>—</v>
      </c>
      <c r="AN20" s="13">
        <f>_xll.BDH("WMT US Equity","BS_GROSS_FIX_ASSET","FQ4 2025","FQ4 2025","Currency=USD","Period=FQ","BEST_FPERIOD_OVERRIDE=FQ","FILING_STATUS=MR","SCALING_FORMAT=MLN","Sort=A","Dates=H","DateFormat=P","Fill=—","Direction=H","UseDPDF=Y")</f>
        <v>251328</v>
      </c>
      <c r="AO20" s="13" t="str">
        <f>_xll.BDH("WMT US Equity","BS_GROSS_FIX_ASSET","FQ1 2026","FQ1 2026","Currency=USD","Period=FQ","BEST_FPERIOD_OVERRIDE=FQ","FILING_STATUS=MR","SCALING_FORMAT=MLN","Sort=A","Dates=H","DateFormat=P","Fill=—","Direction=H","UseDPDF=Y")</f>
        <v>—</v>
      </c>
      <c r="AP20" s="13" t="str">
        <f>_xll.BDH("WMT US Equity","BS_GROSS_FIX_ASSET","FQ2 2026","FQ2 2026","Currency=USD","Period=FQ","BEST_FPERIOD_OVERRIDE=FQ","FILING_STATUS=MR","SCALING_FORMAT=MLN","Sort=A","Dates=H","DateFormat=P","Fill=—","Direction=H","UseDPDF=Y")</f>
        <v>—</v>
      </c>
    </row>
    <row r="21" spans="1:42" x14ac:dyDescent="0.3">
      <c r="A21" s="10" t="s">
        <v>243</v>
      </c>
      <c r="B21" s="10" t="s">
        <v>100</v>
      </c>
      <c r="C21" s="13">
        <f>_xll.BDH("WMT US Equity","BS_ACCUM_DEPR","FQ3 2016","FQ3 2016","Currency=USD","Period=FQ","BEST_FPERIOD_OVERRIDE=FQ","FILING_STATUS=MR","SCALING_FORMAT=MLN","Sort=A","Dates=H","DateFormat=P","Fill=—","Direction=H","UseDPDF=Y")</f>
        <v>70652</v>
      </c>
      <c r="D21" s="13">
        <f>_xll.BDH("WMT US Equity","BS_ACCUM_DEPR","FQ4 2016","FQ4 2016","Currency=USD","Period=FQ","BEST_FPERIOD_OVERRIDE=FQ","FILING_STATUS=MR","SCALING_FORMAT=MLN","Sort=A","Dates=H","DateFormat=P","Fill=—","Direction=H","UseDPDF=Y")</f>
        <v>71538</v>
      </c>
      <c r="E21" s="13">
        <f>_xll.BDH("WMT US Equity","BS_ACCUM_DEPR","FQ1 2017","FQ1 2017","Currency=USD","Period=FQ","BEST_FPERIOD_OVERRIDE=FQ","FILING_STATUS=MR","SCALING_FORMAT=MLN","Sort=A","Dates=H","DateFormat=P","Fill=—","Direction=H","UseDPDF=Y")</f>
        <v>73469</v>
      </c>
      <c r="F21" s="13">
        <f>_xll.BDH("WMT US Equity","BS_ACCUM_DEPR","FQ2 2017","FQ2 2017","Currency=USD","Period=FQ","BEST_FPERIOD_OVERRIDE=FQ","FILING_STATUS=MR","SCALING_FORMAT=MLN","Sort=A","Dates=H","DateFormat=P","Fill=—","Direction=H","UseDPDF=Y")</f>
        <v>74730</v>
      </c>
      <c r="G21" s="13">
        <f>_xll.BDH("WMT US Equity","BS_ACCUM_DEPR","FQ3 2017","FQ3 2017","Currency=USD","Period=FQ","BEST_FPERIOD_OVERRIDE=FQ","FILING_STATUS=MR","SCALING_FORMAT=MLN","Sort=A","Dates=H","DateFormat=P","Fill=—","Direction=H","UseDPDF=Y")</f>
        <v>76061</v>
      </c>
      <c r="H21" s="13">
        <f>_xll.BDH("WMT US Equity","BS_ACCUM_DEPR","FQ4 2017","FQ4 2017","Currency=USD","Period=FQ","BEST_FPERIOD_OVERRIDE=FQ","FILING_STATUS=MR","SCALING_FORMAT=MLN","Sort=A","Dates=H","DateFormat=P","Fill=—","Direction=H","UseDPDF=Y")</f>
        <v>76951</v>
      </c>
      <c r="I21" s="13">
        <f>_xll.BDH("WMT US Equity","BS_ACCUM_DEPR","FQ1 2018","FQ1 2018","Currency=USD","Period=FQ","BEST_FPERIOD_OVERRIDE=FQ","FILING_STATUS=MR","SCALING_FORMAT=MLN","Sort=A","Dates=H","DateFormat=P","Fill=—","Direction=H","UseDPDF=Y")</f>
        <v>78760</v>
      </c>
      <c r="J21" s="13">
        <f>_xll.BDH("WMT US Equity","BS_ACCUM_DEPR","FQ2 2018","FQ2 2018","Currency=USD","Period=FQ","BEST_FPERIOD_OVERRIDE=FQ","FILING_STATUS=MR","SCALING_FORMAT=MLN","Sort=A","Dates=H","DateFormat=P","Fill=—","Direction=H","UseDPDF=Y")</f>
        <v>80773</v>
      </c>
      <c r="K21" s="13">
        <f>_xll.BDH("WMT US Equity","BS_ACCUM_DEPR","FQ3 2018","FQ3 2018","Currency=USD","Period=FQ","BEST_FPERIOD_OVERRIDE=FQ","FILING_STATUS=MR","SCALING_FORMAT=MLN","Sort=A","Dates=H","DateFormat=P","Fill=—","Direction=H","UseDPDF=Y")</f>
        <v>82445</v>
      </c>
      <c r="L21" s="13">
        <f>_xll.BDH("WMT US Equity","BS_ACCUM_DEPR","FQ4 2018","FQ4 2018","Currency=USD","Period=FQ","BEST_FPERIOD_OVERRIDE=FQ","FILING_STATUS=MR","SCALING_FORMAT=MLN","Sort=A","Dates=H","DateFormat=P","Fill=—","Direction=H","UseDPDF=Y")</f>
        <v>83039</v>
      </c>
      <c r="M21" s="13" t="str">
        <f>_xll.BDH("WMT US Equity","BS_ACCUM_DEPR","FQ1 2019","FQ1 2019","Currency=USD","Period=FQ","BEST_FPERIOD_OVERRIDE=FQ","FILING_STATUS=MR","SCALING_FORMAT=MLN","Sort=A","Dates=H","DateFormat=P","Fill=—","Direction=H","UseDPDF=Y")</f>
        <v>—</v>
      </c>
      <c r="N21" s="13">
        <f>_xll.BDH("WMT US Equity","BS_ACCUM_DEPR","FQ2 2019","FQ2 2019","Currency=USD","Period=FQ","BEST_FPERIOD_OVERRIDE=FQ","FILING_STATUS=MR","SCALING_FORMAT=MLN","Sort=A","Dates=H","DateFormat=P","Fill=—","Direction=H","UseDPDF=Y")</f>
        <v>84052</v>
      </c>
      <c r="O21" s="13">
        <f>_xll.BDH("WMT US Equity","BS_ACCUM_DEPR","FQ3 2019","FQ3 2019","Currency=USD","Period=FQ","BEST_FPERIOD_OVERRIDE=FQ","FILING_STATUS=MR","SCALING_FORMAT=MLN","Sort=A","Dates=H","DateFormat=P","Fill=—","Direction=H","UseDPDF=Y")</f>
        <v>85827</v>
      </c>
      <c r="P21" s="13">
        <f>_xll.BDH("WMT US Equity","BS_ACCUM_DEPR","FQ4 2019","FQ4 2019","Currency=USD","Period=FQ","BEST_FPERIOD_OVERRIDE=FQ","FILING_STATUS=MR","SCALING_FORMAT=MLN","Sort=A","Dates=H","DateFormat=P","Fill=—","Direction=H","UseDPDF=Y")</f>
        <v>81493</v>
      </c>
      <c r="Q21" s="13" t="str">
        <f>_xll.BDH("WMT US Equity","BS_ACCUM_DEPR","FQ1 2020","FQ1 2020","Currency=USD","Period=FQ","BEST_FPERIOD_OVERRIDE=FQ","FILING_STATUS=MR","SCALING_FORMAT=MLN","Sort=A","Dates=H","DateFormat=P","Fill=—","Direction=H","UseDPDF=Y")</f>
        <v>—</v>
      </c>
      <c r="R21" s="13" t="str">
        <f>_xll.BDH("WMT US Equity","BS_ACCUM_DEPR","FQ2 2020","FQ2 2020","Currency=USD","Period=FQ","BEST_FPERIOD_OVERRIDE=FQ","FILING_STATUS=MR","SCALING_FORMAT=MLN","Sort=A","Dates=H","DateFormat=P","Fill=—","Direction=H","UseDPDF=Y")</f>
        <v>—</v>
      </c>
      <c r="S21" s="13" t="str">
        <f>_xll.BDH("WMT US Equity","BS_ACCUM_DEPR","FQ3 2020","FQ3 2020","Currency=USD","Period=FQ","BEST_FPERIOD_OVERRIDE=FQ","FILING_STATUS=MR","SCALING_FORMAT=MLN","Sort=A","Dates=H","DateFormat=P","Fill=—","Direction=H","UseDPDF=Y")</f>
        <v>—</v>
      </c>
      <c r="T21" s="13">
        <f>_xll.BDH("WMT US Equity","BS_ACCUM_DEPR","FQ4 2020","FQ4 2020","Currency=USD","Period=FQ","BEST_FPERIOD_OVERRIDE=FQ","FILING_STATUS=MR","SCALING_FORMAT=MLN","Sort=A","Dates=H","DateFormat=P","Fill=—","Direction=H","UseDPDF=Y")</f>
        <v>89820</v>
      </c>
      <c r="U21" s="13" t="str">
        <f>_xll.BDH("WMT US Equity","BS_ACCUM_DEPR","FQ1 2021","FQ1 2021","Currency=USD","Period=FQ","BEST_FPERIOD_OVERRIDE=FQ","FILING_STATUS=MR","SCALING_FORMAT=MLN","Sort=A","Dates=H","DateFormat=P","Fill=—","Direction=H","UseDPDF=Y")</f>
        <v>—</v>
      </c>
      <c r="V21" s="13" t="str">
        <f>_xll.BDH("WMT US Equity","BS_ACCUM_DEPR","FQ2 2021","FQ2 2021","Currency=USD","Period=FQ","BEST_FPERIOD_OVERRIDE=FQ","FILING_STATUS=MR","SCALING_FORMAT=MLN","Sort=A","Dates=H","DateFormat=P","Fill=—","Direction=H","UseDPDF=Y")</f>
        <v>—</v>
      </c>
      <c r="W21" s="13" t="str">
        <f>_xll.BDH("WMT US Equity","BS_ACCUM_DEPR","FQ3 2021","FQ3 2021","Currency=USD","Period=FQ","BEST_FPERIOD_OVERRIDE=FQ","FILING_STATUS=MR","SCALING_FORMAT=MLN","Sort=A","Dates=H","DateFormat=P","Fill=—","Direction=H","UseDPDF=Y")</f>
        <v>—</v>
      </c>
      <c r="X21" s="13">
        <f>_xll.BDH("WMT US Equity","BS_ACCUM_DEPR","FQ4 2021","FQ4 2021","Currency=USD","Period=FQ","BEST_FPERIOD_OVERRIDE=FQ","FILING_STATUS=MR","SCALING_FORMAT=MLN","Sort=A","Dates=H","DateFormat=P","Fill=—","Direction=H","UseDPDF=Y")</f>
        <v>88370</v>
      </c>
      <c r="Y21" s="13" t="str">
        <f>_xll.BDH("WMT US Equity","BS_ACCUM_DEPR","FQ1 2022","FQ1 2022","Currency=USD","Period=FQ","BEST_FPERIOD_OVERRIDE=FQ","FILING_STATUS=MR","SCALING_FORMAT=MLN","Sort=A","Dates=H","DateFormat=P","Fill=—","Direction=H","UseDPDF=Y")</f>
        <v>—</v>
      </c>
      <c r="Z21" s="13" t="str">
        <f>_xll.BDH("WMT US Equity","BS_ACCUM_DEPR","FQ2 2022","FQ2 2022","Currency=USD","Period=FQ","BEST_FPERIOD_OVERRIDE=FQ","FILING_STATUS=MR","SCALING_FORMAT=MLN","Sort=A","Dates=H","DateFormat=P","Fill=—","Direction=H","UseDPDF=Y")</f>
        <v>—</v>
      </c>
      <c r="AA21" s="13" t="str">
        <f>_xll.BDH("WMT US Equity","BS_ACCUM_DEPR","FQ3 2022","FQ3 2022","Currency=USD","Period=FQ","BEST_FPERIOD_OVERRIDE=FQ","FILING_STATUS=MR","SCALING_FORMAT=MLN","Sort=A","Dates=H","DateFormat=P","Fill=—","Direction=H","UseDPDF=Y")</f>
        <v>—</v>
      </c>
      <c r="AB21" s="13">
        <f>_xll.BDH("WMT US Equity","BS_ACCUM_DEPR","FQ4 2022","FQ4 2022","Currency=USD","Period=FQ","BEST_FPERIOD_OVERRIDE=FQ","FILING_STATUS=MR","SCALING_FORMAT=MLN","Sort=A","Dates=H","DateFormat=P","Fill=—","Direction=H","UseDPDF=Y")</f>
        <v>94809</v>
      </c>
      <c r="AC21" s="13" t="str">
        <f>_xll.BDH("WMT US Equity","BS_ACCUM_DEPR","FQ1 2023","FQ1 2023","Currency=USD","Period=FQ","BEST_FPERIOD_OVERRIDE=FQ","FILING_STATUS=MR","SCALING_FORMAT=MLN","Sort=A","Dates=H","DateFormat=P","Fill=—","Direction=H","UseDPDF=Y")</f>
        <v>—</v>
      </c>
      <c r="AD21" s="13" t="str">
        <f>_xll.BDH("WMT US Equity","BS_ACCUM_DEPR","FQ2 2023","FQ2 2023","Currency=USD","Period=FQ","BEST_FPERIOD_OVERRIDE=FQ","FILING_STATUS=MR","SCALING_FORMAT=MLN","Sort=A","Dates=H","DateFormat=P","Fill=—","Direction=H","UseDPDF=Y")</f>
        <v>—</v>
      </c>
      <c r="AE21" s="13" t="str">
        <f>_xll.BDH("WMT US Equity","BS_ACCUM_DEPR","FQ3 2023","FQ3 2023","Currency=USD","Period=FQ","BEST_FPERIOD_OVERRIDE=FQ","FILING_STATUS=MR","SCALING_FORMAT=MLN","Sort=A","Dates=H","DateFormat=P","Fill=—","Direction=H","UseDPDF=Y")</f>
        <v>—</v>
      </c>
      <c r="AF21" s="13">
        <f>_xll.BDH("WMT US Equity","BS_ACCUM_DEPR","FQ4 2023","FQ4 2023","Currency=USD","Period=FQ","BEST_FPERIOD_OVERRIDE=FQ","FILING_STATUS=MR","SCALING_FORMAT=MLN","Sort=A","Dates=H","DateFormat=P","Fill=—","Direction=H","UseDPDF=Y")</f>
        <v>101610</v>
      </c>
      <c r="AG21" s="13" t="str">
        <f>_xll.BDH("WMT US Equity","BS_ACCUM_DEPR","FQ1 2024","FQ1 2024","Currency=USD","Period=FQ","BEST_FPERIOD_OVERRIDE=FQ","FILING_STATUS=MR","SCALING_FORMAT=MLN","Sort=A","Dates=H","DateFormat=P","Fill=—","Direction=H","UseDPDF=Y")</f>
        <v>—</v>
      </c>
      <c r="AH21" s="13" t="str">
        <f>_xll.BDH("WMT US Equity","BS_ACCUM_DEPR","FQ2 2024","FQ2 2024","Currency=USD","Period=FQ","BEST_FPERIOD_OVERRIDE=FQ","FILING_STATUS=MR","SCALING_FORMAT=MLN","Sort=A","Dates=H","DateFormat=P","Fill=—","Direction=H","UseDPDF=Y")</f>
        <v>—</v>
      </c>
      <c r="AI21" s="13" t="str">
        <f>_xll.BDH("WMT US Equity","BS_ACCUM_DEPR","FQ3 2024","FQ3 2024","Currency=USD","Period=FQ","BEST_FPERIOD_OVERRIDE=FQ","FILING_STATUS=MR","SCALING_FORMAT=MLN","Sort=A","Dates=H","DateFormat=P","Fill=—","Direction=H","UseDPDF=Y")</f>
        <v>—</v>
      </c>
      <c r="AJ21" s="13">
        <f>_xll.BDH("WMT US Equity","BS_ACCUM_DEPR","FQ4 2024","FQ4 2024","Currency=USD","Period=FQ","BEST_FPERIOD_OVERRIDE=FQ","FILING_STATUS=MR","SCALING_FORMAT=MLN","Sort=A","Dates=H","DateFormat=P","Fill=—","Direction=H","UseDPDF=Y")</f>
        <v>109049</v>
      </c>
      <c r="AK21" s="13" t="str">
        <f>_xll.BDH("WMT US Equity","BS_ACCUM_DEPR","FQ1 2025","FQ1 2025","Currency=USD","Period=FQ","BEST_FPERIOD_OVERRIDE=FQ","FILING_STATUS=MR","SCALING_FORMAT=MLN","Sort=A","Dates=H","DateFormat=P","Fill=—","Direction=H","UseDPDF=Y")</f>
        <v>—</v>
      </c>
      <c r="AL21" s="13" t="str">
        <f>_xll.BDH("WMT US Equity","BS_ACCUM_DEPR","FQ2 2025","FQ2 2025","Currency=USD","Period=FQ","BEST_FPERIOD_OVERRIDE=FQ","FILING_STATUS=MR","SCALING_FORMAT=MLN","Sort=A","Dates=H","DateFormat=P","Fill=—","Direction=H","UseDPDF=Y")</f>
        <v>—</v>
      </c>
      <c r="AM21" s="13" t="str">
        <f>_xll.BDH("WMT US Equity","BS_ACCUM_DEPR","FQ3 2025","FQ3 2025","Currency=USD","Period=FQ","BEST_FPERIOD_OVERRIDE=FQ","FILING_STATUS=MR","SCALING_FORMAT=MLN","Sort=A","Dates=H","DateFormat=P","Fill=—","Direction=H","UseDPDF=Y")</f>
        <v>—</v>
      </c>
      <c r="AN21" s="13">
        <f>_xll.BDH("WMT US Equity","BS_ACCUM_DEPR","FQ4 2025","FQ4 2025","Currency=USD","Period=FQ","BEST_FPERIOD_OVERRIDE=FQ","FILING_STATUS=MR","SCALING_FORMAT=MLN","Sort=A","Dates=H","DateFormat=P","Fill=—","Direction=H","UseDPDF=Y")</f>
        <v>111624</v>
      </c>
      <c r="AO21" s="13" t="str">
        <f>_xll.BDH("WMT US Equity","BS_ACCUM_DEPR","FQ1 2026","FQ1 2026","Currency=USD","Period=FQ","BEST_FPERIOD_OVERRIDE=FQ","FILING_STATUS=MR","SCALING_FORMAT=MLN","Sort=A","Dates=H","DateFormat=P","Fill=—","Direction=H","UseDPDF=Y")</f>
        <v>—</v>
      </c>
      <c r="AP21" s="13" t="str">
        <f>_xll.BDH("WMT US Equity","BS_ACCUM_DEPR","FQ2 2026","FQ2 2026","Currency=USD","Period=FQ","BEST_FPERIOD_OVERRIDE=FQ","FILING_STATUS=MR","SCALING_FORMAT=MLN","Sort=A","Dates=H","DateFormat=P","Fill=—","Direction=H","UseDPDF=Y")</f>
        <v>—</v>
      </c>
    </row>
    <row r="22" spans="1:42" x14ac:dyDescent="0.3">
      <c r="A22" s="10" t="s">
        <v>203</v>
      </c>
      <c r="B22" s="10" t="s">
        <v>101</v>
      </c>
      <c r="C22" s="13">
        <f>_xll.BDH("WMT US Equity","BS_LT_INVEST","FQ3 2016","FQ3 2016","Currency=USD","Period=FQ","BEST_FPERIOD_OVERRIDE=FQ","FILING_STATUS=MR","SCALING_FORMAT=MLN","Sort=A","Dates=H","DateFormat=P","Fill=—","Direction=H","UseDPDF=Y")</f>
        <v>0</v>
      </c>
      <c r="D22" s="13">
        <f>_xll.BDH("WMT US Equity","BS_LT_INVEST","FQ4 2016","FQ4 2016","Currency=USD","Period=FQ","BEST_FPERIOD_OVERRIDE=FQ","FILING_STATUS=MR","SCALING_FORMAT=MLN","Sort=A","Dates=H","DateFormat=P","Fill=—","Direction=H","UseDPDF=Y")</f>
        <v>0</v>
      </c>
      <c r="E22" s="13">
        <f>_xll.BDH("WMT US Equity","BS_LT_INVEST","FQ1 2017","FQ1 2017","Currency=USD","Period=FQ","BEST_FPERIOD_OVERRIDE=FQ","FILING_STATUS=MR","SCALING_FORMAT=MLN","Sort=A","Dates=H","DateFormat=P","Fill=—","Direction=H","UseDPDF=Y")</f>
        <v>0</v>
      </c>
      <c r="F22" s="13">
        <f>_xll.BDH("WMT US Equity","BS_LT_INVEST","FQ2 2017","FQ2 2017","Currency=USD","Period=FQ","BEST_FPERIOD_OVERRIDE=FQ","FILING_STATUS=MR","SCALING_FORMAT=MLN","Sort=A","Dates=H","DateFormat=P","Fill=—","Direction=H","UseDPDF=Y")</f>
        <v>0</v>
      </c>
      <c r="G22" s="13">
        <f>_xll.BDH("WMT US Equity","BS_LT_INVEST","FQ3 2017","FQ3 2017","Currency=USD","Period=FQ","BEST_FPERIOD_OVERRIDE=FQ","FILING_STATUS=MR","SCALING_FORMAT=MLN","Sort=A","Dates=H","DateFormat=P","Fill=—","Direction=H","UseDPDF=Y")</f>
        <v>0</v>
      </c>
      <c r="H22" s="13">
        <f>_xll.BDH("WMT US Equity","BS_LT_INVEST","FQ4 2017","FQ4 2017","Currency=USD","Period=FQ","BEST_FPERIOD_OVERRIDE=FQ","FILING_STATUS=MR","SCALING_FORMAT=MLN","Sort=A","Dates=H","DateFormat=P","Fill=—","Direction=H","UseDPDF=Y")</f>
        <v>0</v>
      </c>
      <c r="I22" s="13">
        <f>_xll.BDH("WMT US Equity","BS_LT_INVEST","FQ1 2018","FQ1 2018","Currency=USD","Period=FQ","BEST_FPERIOD_OVERRIDE=FQ","FILING_STATUS=MR","SCALING_FORMAT=MLN","Sort=A","Dates=H","DateFormat=P","Fill=—","Direction=H","UseDPDF=Y")</f>
        <v>0</v>
      </c>
      <c r="J22" s="13">
        <f>_xll.BDH("WMT US Equity","BS_LT_INVEST","FQ2 2018","FQ2 2018","Currency=USD","Period=FQ","BEST_FPERIOD_OVERRIDE=FQ","FILING_STATUS=MR","SCALING_FORMAT=MLN","Sort=A","Dates=H","DateFormat=P","Fill=—","Direction=H","UseDPDF=Y")</f>
        <v>0</v>
      </c>
      <c r="K22" s="13">
        <f>_xll.BDH("WMT US Equity","BS_LT_INVEST","FQ3 2018","FQ3 2018","Currency=USD","Period=FQ","BEST_FPERIOD_OVERRIDE=FQ","FILING_STATUS=MR","SCALING_FORMAT=MLN","Sort=A","Dates=H","DateFormat=P","Fill=—","Direction=H","UseDPDF=Y")</f>
        <v>0</v>
      </c>
      <c r="L22" s="13">
        <f>_xll.BDH("WMT US Equity","BS_LT_INVEST","FQ4 2018","FQ4 2018","Currency=USD","Period=FQ","BEST_FPERIOD_OVERRIDE=FQ","FILING_STATUS=MR","SCALING_FORMAT=MLN","Sort=A","Dates=H","DateFormat=P","Fill=—","Direction=H","UseDPDF=Y")</f>
        <v>0</v>
      </c>
      <c r="M22" s="13">
        <f>_xll.BDH("WMT US Equity","BS_LT_INVEST","FQ1 2019","FQ1 2019","Currency=USD","Period=FQ","BEST_FPERIOD_OVERRIDE=FQ","FILING_STATUS=MR","SCALING_FORMAT=MLN","Sort=A","Dates=H","DateFormat=P","Fill=—","Direction=H","UseDPDF=Y")</f>
        <v>0</v>
      </c>
      <c r="N22" s="13">
        <f>_xll.BDH("WMT US Equity","BS_LT_INVEST","FQ2 2019","FQ2 2019","Currency=USD","Period=FQ","BEST_FPERIOD_OVERRIDE=FQ","FILING_STATUS=MR","SCALING_FORMAT=MLN","Sort=A","Dates=H","DateFormat=P","Fill=—","Direction=H","UseDPDF=Y")</f>
        <v>0</v>
      </c>
      <c r="O22" s="13">
        <f>_xll.BDH("WMT US Equity","BS_LT_INVEST","FQ3 2019","FQ3 2019","Currency=USD","Period=FQ","BEST_FPERIOD_OVERRIDE=FQ","FILING_STATUS=MR","SCALING_FORMAT=MLN","Sort=A","Dates=H","DateFormat=P","Fill=—","Direction=H","UseDPDF=Y")</f>
        <v>0</v>
      </c>
      <c r="P22" s="13">
        <f>_xll.BDH("WMT US Equity","BS_LT_INVEST","FQ4 2019","FQ4 2019","Currency=USD","Period=FQ","BEST_FPERIOD_OVERRIDE=FQ","FILING_STATUS=MR","SCALING_FORMAT=MLN","Sort=A","Dates=H","DateFormat=P","Fill=—","Direction=H","UseDPDF=Y")</f>
        <v>0</v>
      </c>
      <c r="Q22" s="13">
        <f>_xll.BDH("WMT US Equity","BS_LT_INVEST","FQ1 2020","FQ1 2020","Currency=USD","Period=FQ","BEST_FPERIOD_OVERRIDE=FQ","FILING_STATUS=MR","SCALING_FORMAT=MLN","Sort=A","Dates=H","DateFormat=P","Fill=—","Direction=H","UseDPDF=Y")</f>
        <v>0</v>
      </c>
      <c r="R22" s="13">
        <f>_xll.BDH("WMT US Equity","BS_LT_INVEST","FQ2 2020","FQ2 2020","Currency=USD","Period=FQ","BEST_FPERIOD_OVERRIDE=FQ","FILING_STATUS=MR","SCALING_FORMAT=MLN","Sort=A","Dates=H","DateFormat=P","Fill=—","Direction=H","UseDPDF=Y")</f>
        <v>0</v>
      </c>
      <c r="S22" s="13">
        <f>_xll.BDH("WMT US Equity","BS_LT_INVEST","FQ3 2020","FQ3 2020","Currency=USD","Period=FQ","BEST_FPERIOD_OVERRIDE=FQ","FILING_STATUS=MR","SCALING_FORMAT=MLN","Sort=A","Dates=H","DateFormat=P","Fill=—","Direction=H","UseDPDF=Y")</f>
        <v>0</v>
      </c>
      <c r="T22" s="13">
        <f>_xll.BDH("WMT US Equity","BS_LT_INVEST","FQ4 2020","FQ4 2020","Currency=USD","Period=FQ","BEST_FPERIOD_OVERRIDE=FQ","FILING_STATUS=MR","SCALING_FORMAT=MLN","Sort=A","Dates=H","DateFormat=P","Fill=—","Direction=H","UseDPDF=Y")</f>
        <v>0</v>
      </c>
      <c r="U22" s="13">
        <f>_xll.BDH("WMT US Equity","BS_LT_INVEST","FQ1 2021","FQ1 2021","Currency=USD","Period=FQ","BEST_FPERIOD_OVERRIDE=FQ","FILING_STATUS=MR","SCALING_FORMAT=MLN","Sort=A","Dates=H","DateFormat=P","Fill=—","Direction=H","UseDPDF=Y")</f>
        <v>0</v>
      </c>
      <c r="V22" s="13">
        <f>_xll.BDH("WMT US Equity","BS_LT_INVEST","FQ2 2021","FQ2 2021","Currency=USD","Period=FQ","BEST_FPERIOD_OVERRIDE=FQ","FILING_STATUS=MR","SCALING_FORMAT=MLN","Sort=A","Dates=H","DateFormat=P","Fill=—","Direction=H","UseDPDF=Y")</f>
        <v>0</v>
      </c>
      <c r="W22" s="13">
        <f>_xll.BDH("WMT US Equity","BS_LT_INVEST","FQ3 2021","FQ3 2021","Currency=USD","Period=FQ","BEST_FPERIOD_OVERRIDE=FQ","FILING_STATUS=MR","SCALING_FORMAT=MLN","Sort=A","Dates=H","DateFormat=P","Fill=—","Direction=H","UseDPDF=Y")</f>
        <v>0</v>
      </c>
      <c r="X22" s="13">
        <f>_xll.BDH("WMT US Equity","BS_LT_INVEST","FQ4 2021","FQ4 2021","Currency=USD","Period=FQ","BEST_FPERIOD_OVERRIDE=FQ","FILING_STATUS=MR","SCALING_FORMAT=MLN","Sort=A","Dates=H","DateFormat=P","Fill=—","Direction=H","UseDPDF=Y")</f>
        <v>0</v>
      </c>
      <c r="Y22" s="13">
        <f>_xll.BDH("WMT US Equity","BS_LT_INVEST","FQ1 2022","FQ1 2022","Currency=USD","Period=FQ","BEST_FPERIOD_OVERRIDE=FQ","FILING_STATUS=MR","SCALING_FORMAT=MLN","Sort=A","Dates=H","DateFormat=P","Fill=—","Direction=H","UseDPDF=Y")</f>
        <v>0</v>
      </c>
      <c r="Z22" s="13">
        <f>_xll.BDH("WMT US Equity","BS_LT_INVEST","FQ2 2022","FQ2 2022","Currency=USD","Period=FQ","BEST_FPERIOD_OVERRIDE=FQ","FILING_STATUS=MR","SCALING_FORMAT=MLN","Sort=A","Dates=H","DateFormat=P","Fill=—","Direction=H","UseDPDF=Y")</f>
        <v>0</v>
      </c>
      <c r="AA22" s="13">
        <f>_xll.BDH("WMT US Equity","BS_LT_INVEST","FQ3 2022","FQ3 2022","Currency=USD","Period=FQ","BEST_FPERIOD_OVERRIDE=FQ","FILING_STATUS=MR","SCALING_FORMAT=MLN","Sort=A","Dates=H","DateFormat=P","Fill=—","Direction=H","UseDPDF=Y")</f>
        <v>0</v>
      </c>
      <c r="AB22" s="13">
        <f>_xll.BDH("WMT US Equity","BS_LT_INVEST","FQ4 2022","FQ4 2022","Currency=USD","Period=FQ","BEST_FPERIOD_OVERRIDE=FQ","FILING_STATUS=MR","SCALING_FORMAT=MLN","Sort=A","Dates=H","DateFormat=P","Fill=—","Direction=H","UseDPDF=Y")</f>
        <v>0</v>
      </c>
      <c r="AC22" s="13">
        <f>_xll.BDH("WMT US Equity","BS_LT_INVEST","FQ1 2023","FQ1 2023","Currency=USD","Period=FQ","BEST_FPERIOD_OVERRIDE=FQ","FILING_STATUS=MR","SCALING_FORMAT=MLN","Sort=A","Dates=H","DateFormat=P","Fill=—","Direction=H","UseDPDF=Y")</f>
        <v>0</v>
      </c>
      <c r="AD22" s="13">
        <f>_xll.BDH("WMT US Equity","BS_LT_INVEST","FQ2 2023","FQ2 2023","Currency=USD","Period=FQ","BEST_FPERIOD_OVERRIDE=FQ","FILING_STATUS=MR","SCALING_FORMAT=MLN","Sort=A","Dates=H","DateFormat=P","Fill=—","Direction=H","UseDPDF=Y")</f>
        <v>0</v>
      </c>
      <c r="AE22" s="13">
        <f>_xll.BDH("WMT US Equity","BS_LT_INVEST","FQ3 2023","FQ3 2023","Currency=USD","Period=FQ","BEST_FPERIOD_OVERRIDE=FQ","FILING_STATUS=MR","SCALING_FORMAT=MLN","Sort=A","Dates=H","DateFormat=P","Fill=—","Direction=H","UseDPDF=Y")</f>
        <v>0</v>
      </c>
      <c r="AF22" s="13">
        <f>_xll.BDH("WMT US Equity","BS_LT_INVEST","FQ4 2023","FQ4 2023","Currency=USD","Period=FQ","BEST_FPERIOD_OVERRIDE=FQ","FILING_STATUS=MR","SCALING_FORMAT=MLN","Sort=A","Dates=H","DateFormat=P","Fill=—","Direction=H","UseDPDF=Y")</f>
        <v>0</v>
      </c>
      <c r="AG22" s="13">
        <f>_xll.BDH("WMT US Equity","BS_LT_INVEST","FQ1 2024","FQ1 2024","Currency=USD","Period=FQ","BEST_FPERIOD_OVERRIDE=FQ","FILING_STATUS=MR","SCALING_FORMAT=MLN","Sort=A","Dates=H","DateFormat=P","Fill=—","Direction=H","UseDPDF=Y")</f>
        <v>0</v>
      </c>
      <c r="AH22" s="13">
        <f>_xll.BDH("WMT US Equity","BS_LT_INVEST","FQ2 2024","FQ2 2024","Currency=USD","Period=FQ","BEST_FPERIOD_OVERRIDE=FQ","FILING_STATUS=MR","SCALING_FORMAT=MLN","Sort=A","Dates=H","DateFormat=P","Fill=—","Direction=H","UseDPDF=Y")</f>
        <v>0</v>
      </c>
      <c r="AI22" s="13">
        <f>_xll.BDH("WMT US Equity","BS_LT_INVEST","FQ3 2024","FQ3 2024","Currency=USD","Period=FQ","BEST_FPERIOD_OVERRIDE=FQ","FILING_STATUS=MR","SCALING_FORMAT=MLN","Sort=A","Dates=H","DateFormat=P","Fill=—","Direction=H","UseDPDF=Y")</f>
        <v>0</v>
      </c>
      <c r="AJ22" s="13">
        <f>_xll.BDH("WMT US Equity","BS_LT_INVEST","FQ4 2024","FQ4 2024","Currency=USD","Period=FQ","BEST_FPERIOD_OVERRIDE=FQ","FILING_STATUS=MR","SCALING_FORMAT=MLN","Sort=A","Dates=H","DateFormat=P","Fill=—","Direction=H","UseDPDF=Y")</f>
        <v>0</v>
      </c>
      <c r="AK22" s="13">
        <f>_xll.BDH("WMT US Equity","BS_LT_INVEST","FQ1 2025","FQ1 2025","Currency=USD","Period=FQ","BEST_FPERIOD_OVERRIDE=FQ","FILING_STATUS=MR","SCALING_FORMAT=MLN","Sort=A","Dates=H","DateFormat=P","Fill=—","Direction=H","UseDPDF=Y")</f>
        <v>0</v>
      </c>
      <c r="AL22" s="13">
        <f>_xll.BDH("WMT US Equity","BS_LT_INVEST","FQ2 2025","FQ2 2025","Currency=USD","Period=FQ","BEST_FPERIOD_OVERRIDE=FQ","FILING_STATUS=MR","SCALING_FORMAT=MLN","Sort=A","Dates=H","DateFormat=P","Fill=—","Direction=H","UseDPDF=Y")</f>
        <v>0</v>
      </c>
      <c r="AM22" s="13">
        <f>_xll.BDH("WMT US Equity","BS_LT_INVEST","FQ3 2025","FQ3 2025","Currency=USD","Period=FQ","BEST_FPERIOD_OVERRIDE=FQ","FILING_STATUS=MR","SCALING_FORMAT=MLN","Sort=A","Dates=H","DateFormat=P","Fill=—","Direction=H","UseDPDF=Y")</f>
        <v>0</v>
      </c>
      <c r="AN22" s="13">
        <f>_xll.BDH("WMT US Equity","BS_LT_INVEST","FQ4 2025","FQ4 2025","Currency=USD","Period=FQ","BEST_FPERIOD_OVERRIDE=FQ","FILING_STATUS=MR","SCALING_FORMAT=MLN","Sort=A","Dates=H","DateFormat=P","Fill=—","Direction=H","UseDPDF=Y")</f>
        <v>0</v>
      </c>
      <c r="AO22" s="13">
        <f>_xll.BDH("WMT US Equity","BS_LT_INVEST","FQ1 2026","FQ1 2026","Currency=USD","Period=FQ","BEST_FPERIOD_OVERRIDE=FQ","FILING_STATUS=MR","SCALING_FORMAT=MLN","Sort=A","Dates=H","DateFormat=P","Fill=—","Direction=H","UseDPDF=Y")</f>
        <v>0</v>
      </c>
      <c r="AP22" s="13">
        <f>_xll.BDH("WMT US Equity","BS_LT_INVEST","FQ2 2026","FQ2 2026","Currency=USD","Period=FQ","BEST_FPERIOD_OVERRIDE=FQ","FILING_STATUS=MR","SCALING_FORMAT=MLN","Sort=A","Dates=H","DateFormat=P","Fill=—","Direction=H","UseDPDF=Y")</f>
        <v>0</v>
      </c>
    </row>
    <row r="23" spans="1:42" x14ac:dyDescent="0.3">
      <c r="A23" s="10" t="s">
        <v>204</v>
      </c>
      <c r="B23" s="10" t="s">
        <v>102</v>
      </c>
      <c r="C23" s="13">
        <f>_xll.BDH("WMT US Equity","BS_OTHER_ASSETS_DEF_CHRG_OTHER","FQ3 2016","FQ3 2016","Currency=USD","Period=FQ","BEST_FPERIOD_OVERRIDE=FQ","FILING_STATUS=MR","SCALING_FORMAT=MLN","Sort=A","Dates=H","DateFormat=P","Fill=—","Direction=H","UseDPDF=Y")</f>
        <v>23076</v>
      </c>
      <c r="D23" s="13">
        <f>_xll.BDH("WMT US Equity","BS_OTHER_ASSETS_DEF_CHRG_OTHER","FQ4 2016","FQ4 2016","Currency=USD","Period=FQ","BEST_FPERIOD_OVERRIDE=FQ","FILING_STATUS=MR","SCALING_FORMAT=MLN","Sort=A","Dates=H","DateFormat=P","Fill=—","Direction=H","UseDPDF=Y")</f>
        <v>22826</v>
      </c>
      <c r="E23" s="13">
        <f>_xll.BDH("WMT US Equity","BS_OTHER_ASSETS_DEF_CHRG_OTHER","FQ1 2017","FQ1 2017","Currency=USD","Period=FQ","BEST_FPERIOD_OVERRIDE=FQ","FILING_STATUS=MR","SCALING_FORMAT=MLN","Sort=A","Dates=H","DateFormat=P","Fill=—","Direction=H","UseDPDF=Y")</f>
        <v>23114</v>
      </c>
      <c r="F23" s="13">
        <f>_xll.BDH("WMT US Equity","BS_OTHER_ASSETS_DEF_CHRG_OTHER","FQ2 2017","FQ2 2017","Currency=USD","Period=FQ","BEST_FPERIOD_OVERRIDE=FQ","FILING_STATUS=MR","SCALING_FORMAT=MLN","Sort=A","Dates=H","DateFormat=P","Fill=—","Direction=H","UseDPDF=Y")</f>
        <v>24244</v>
      </c>
      <c r="G23" s="13">
        <f>_xll.BDH("WMT US Equity","BS_OTHER_ASSETS_DEF_CHRG_OTHER","FQ3 2017","FQ3 2017","Currency=USD","Period=FQ","BEST_FPERIOD_OVERRIDE=FQ","FILING_STATUS=MR","SCALING_FORMAT=MLN","Sort=A","Dates=H","DateFormat=P","Fill=—","Direction=H","UseDPDF=Y")</f>
        <v>28368</v>
      </c>
      <c r="H23" s="13">
        <f>_xll.BDH("WMT US Equity","BS_OTHER_ASSETS_DEF_CHRG_OTHER","FQ4 2017","FQ4 2017","Currency=USD","Period=FQ","BEST_FPERIOD_OVERRIDE=FQ","FILING_STATUS=MR","SCALING_FORMAT=MLN","Sort=A","Dates=H","DateFormat=P","Fill=—","Direction=H","UseDPDF=Y")</f>
        <v>26958</v>
      </c>
      <c r="I23" s="13">
        <f>_xll.BDH("WMT US Equity","BS_OTHER_ASSETS_DEF_CHRG_OTHER","FQ1 2018","FQ1 2018","Currency=USD","Period=FQ","BEST_FPERIOD_OVERRIDE=FQ","FILING_STATUS=MR","SCALING_FORMAT=MLN","Sort=A","Dates=H","DateFormat=P","Fill=—","Direction=H","UseDPDF=Y")</f>
        <v>28213</v>
      </c>
      <c r="J23" s="13">
        <f>_xll.BDH("WMT US Equity","BS_OTHER_ASSETS_DEF_CHRG_OTHER","FQ2 2018","FQ2 2018","Currency=USD","Period=FQ","BEST_FPERIOD_OVERRIDE=FQ","FILING_STATUS=MR","SCALING_FORMAT=MLN","Sort=A","Dates=H","DateFormat=P","Fill=—","Direction=H","UseDPDF=Y")</f>
        <v>29450</v>
      </c>
      <c r="K23" s="13">
        <f>_xll.BDH("WMT US Equity","BS_OTHER_ASSETS_DEF_CHRG_OTHER","FQ3 2018","FQ3 2018","Currency=USD","Period=FQ","BEST_FPERIOD_OVERRIDE=FQ","FILING_STATUS=MR","SCALING_FORMAT=MLN","Sort=A","Dates=H","DateFormat=P","Fill=—","Direction=H","UseDPDF=Y")</f>
        <v>28747</v>
      </c>
      <c r="L23" s="13">
        <f>_xll.BDH("WMT US Equity","BS_OTHER_ASSETS_DEF_CHRG_OTHER","FQ4 2018","FQ4 2018","Currency=USD","Period=FQ","BEST_FPERIOD_OVERRIDE=FQ","FILING_STATUS=MR","SCALING_FORMAT=MLN","Sort=A","Dates=H","DateFormat=P","Fill=—","Direction=H","UseDPDF=Y")</f>
        <v>30040</v>
      </c>
      <c r="M23" s="13">
        <f>_xll.BDH("WMT US Equity","BS_OTHER_ASSETS_DEF_CHRG_OTHER","FQ1 2019","FQ1 2019","Currency=USD","Period=FQ","BEST_FPERIOD_OVERRIDE=FQ","FILING_STATUS=MR","SCALING_FORMAT=MLN","Sort=A","Dates=H","DateFormat=P","Fill=—","Direction=H","UseDPDF=Y")</f>
        <v>30885</v>
      </c>
      <c r="N23" s="13">
        <f>_xll.BDH("WMT US Equity","BS_OTHER_ASSETS_DEF_CHRG_OTHER","FQ2 2019","FQ2 2019","Currency=USD","Period=FQ","BEST_FPERIOD_OVERRIDE=FQ","FILING_STATUS=MR","SCALING_FORMAT=MLN","Sort=A","Dates=H","DateFormat=P","Fill=—","Direction=H","UseDPDF=Y")</f>
        <v>28675</v>
      </c>
      <c r="O23" s="13">
        <f>_xll.BDH("WMT US Equity","BS_OTHER_ASSETS_DEF_CHRG_OTHER","FQ3 2019","FQ3 2019","Currency=USD","Period=FQ","BEST_FPERIOD_OVERRIDE=FQ","FILING_STATUS=MR","SCALING_FORMAT=MLN","Sort=A","Dates=H","DateFormat=P","Fill=—","Direction=H","UseDPDF=Y")</f>
        <v>45788</v>
      </c>
      <c r="P23" s="13">
        <f>_xll.BDH("WMT US Equity","BS_OTHER_ASSETS_DEF_CHRG_OTHER","FQ4 2019","FQ4 2019","Currency=USD","Period=FQ","BEST_FPERIOD_OVERRIDE=FQ","FILING_STATUS=MR","SCALING_FORMAT=MLN","Sort=A","Dates=H","DateFormat=P","Fill=—","Direction=H","UseDPDF=Y")</f>
        <v>46003</v>
      </c>
      <c r="Q23" s="13">
        <f>_xll.BDH("WMT US Equity","BS_OTHER_ASSETS_DEF_CHRG_OTHER","FQ1 2020","FQ1 2020","Currency=USD","Period=FQ","BEST_FPERIOD_OVERRIDE=FQ","FILING_STATUS=MR","SCALING_FORMAT=MLN","Sort=A","Dates=H","DateFormat=P","Fill=—","Direction=H","UseDPDF=Y")</f>
        <v>47564</v>
      </c>
      <c r="R23" s="13">
        <f>_xll.BDH("WMT US Equity","BS_OTHER_ASSETS_DEF_CHRG_OTHER","FQ2 2020","FQ2 2020","Currency=USD","Period=FQ","BEST_FPERIOD_OVERRIDE=FQ","FILING_STATUS=MR","SCALING_FORMAT=MLN","Sort=A","Dates=H","DateFormat=P","Fill=—","Direction=H","UseDPDF=Y")</f>
        <v>47628</v>
      </c>
      <c r="S23" s="13">
        <f>_xll.BDH("WMT US Equity","BS_OTHER_ASSETS_DEF_CHRG_OTHER","FQ3 2020","FQ3 2020","Currency=USD","Period=FQ","BEST_FPERIOD_OVERRIDE=FQ","FILING_STATUS=MR","SCALING_FORMAT=MLN","Sort=A","Dates=H","DateFormat=P","Fill=—","Direction=H","UseDPDF=Y")</f>
        <v>46493</v>
      </c>
      <c r="T23" s="13">
        <f>_xll.BDH("WMT US Equity","BS_OTHER_ASSETS_DEF_CHRG_OTHER","FQ4 2020","FQ4 2020","Currency=USD","Period=FQ","BEST_FPERIOD_OVERRIDE=FQ","FILING_STATUS=MR","SCALING_FORMAT=MLN","Sort=A","Dates=H","DateFormat=P","Fill=—","Direction=H","UseDPDF=Y")</f>
        <v>47640</v>
      </c>
      <c r="U23" s="13">
        <f>_xll.BDH("WMT US Equity","BS_OTHER_ASSETS_DEF_CHRG_OTHER","FQ1 2021","FQ1 2021","Currency=USD","Period=FQ","BEST_FPERIOD_OVERRIDE=FQ","FILING_STATUS=MR","SCALING_FORMAT=MLN","Sort=A","Dates=H","DateFormat=P","Fill=—","Direction=H","UseDPDF=Y")</f>
        <v>46186</v>
      </c>
      <c r="V23" s="13">
        <f>_xll.BDH("WMT US Equity","BS_OTHER_ASSETS_DEF_CHRG_OTHER","FQ2 2021","FQ2 2021","Currency=USD","Period=FQ","BEST_FPERIOD_OVERRIDE=FQ","FILING_STATUS=MR","SCALING_FORMAT=MLN","Sort=A","Dates=H","DateFormat=P","Fill=—","Direction=H","UseDPDF=Y")</f>
        <v>49492</v>
      </c>
      <c r="W23" s="13">
        <f>_xll.BDH("WMT US Equity","BS_OTHER_ASSETS_DEF_CHRG_OTHER","FQ3 2021","FQ3 2021","Currency=USD","Period=FQ","BEST_FPERIOD_OVERRIDE=FQ","FILING_STATUS=MR","SCALING_FORMAT=MLN","Sort=A","Dates=H","DateFormat=P","Fill=—","Direction=H","UseDPDF=Y")</f>
        <v>52972</v>
      </c>
      <c r="X23" s="13">
        <f>_xll.BDH("WMT US Equity","BS_OTHER_ASSETS_DEF_CHRG_OTHER","FQ4 2021","FQ4 2021","Currency=USD","Period=FQ","BEST_FPERIOD_OVERRIDE=FQ","FILING_STATUS=MR","SCALING_FORMAT=MLN","Sort=A","Dates=H","DateFormat=P","Fill=—","Direction=H","UseDPDF=Y")</f>
        <v>52581</v>
      </c>
      <c r="Y23" s="13">
        <f>_xll.BDH("WMT US Equity","BS_OTHER_ASSETS_DEF_CHRG_OTHER","FQ1 2022","FQ1 2022","Currency=USD","Period=FQ","BEST_FPERIOD_OVERRIDE=FQ","FILING_STATUS=MR","SCALING_FORMAT=MLN","Sort=A","Dates=H","DateFormat=P","Fill=—","Direction=H","UseDPDF=Y")</f>
        <v>51365</v>
      </c>
      <c r="Z23" s="13">
        <f>_xll.BDH("WMT US Equity","BS_OTHER_ASSETS_DEF_CHRG_OTHER","FQ2 2022","FQ2 2022","Currency=USD","Period=FQ","BEST_FPERIOD_OVERRIDE=FQ","FILING_STATUS=MR","SCALING_FORMAT=MLN","Sort=A","Dates=H","DateFormat=P","Fill=—","Direction=H","UseDPDF=Y")</f>
        <v>50711</v>
      </c>
      <c r="AA23" s="13">
        <f>_xll.BDH("WMT US Equity","BS_OTHER_ASSETS_DEF_CHRG_OTHER","FQ3 2022","FQ3 2022","Currency=USD","Period=FQ","BEST_FPERIOD_OVERRIDE=FQ","FILING_STATUS=MR","SCALING_FORMAT=MLN","Sort=A","Dates=H","DateFormat=P","Fill=—","Direction=H","UseDPDF=Y")</f>
        <v>51556</v>
      </c>
      <c r="AB23" s="13">
        <f>_xll.BDH("WMT US Equity","BS_OTHER_ASSETS_DEF_CHRG_OTHER","FQ4 2022","FQ4 2022","Currency=USD","Period=FQ","BEST_FPERIOD_OVERRIDE=FQ","FILING_STATUS=MR","SCALING_FORMAT=MLN","Sort=A","Dates=H","DateFormat=P","Fill=—","Direction=H","UseDPDF=Y")</f>
        <v>51166</v>
      </c>
      <c r="AC23" s="13">
        <f>_xll.BDH("WMT US Equity","BS_OTHER_ASSETS_DEF_CHRG_OTHER","FQ1 2023","FQ1 2023","Currency=USD","Period=FQ","BEST_FPERIOD_OVERRIDE=FQ","FILING_STATUS=MR","SCALING_FORMAT=MLN","Sort=A","Dates=H","DateFormat=P","Fill=—","Direction=H","UseDPDF=Y")</f>
        <v>49705</v>
      </c>
      <c r="AD23" s="13">
        <f>_xll.BDH("WMT US Equity","BS_OTHER_ASSETS_DEF_CHRG_OTHER","FQ2 2023","FQ2 2023","Currency=USD","Period=FQ","BEST_FPERIOD_OVERRIDE=FQ","FILING_STATUS=MR","SCALING_FORMAT=MLN","Sort=A","Dates=H","DateFormat=P","Fill=—","Direction=H","UseDPDF=Y")</f>
        <v>48643</v>
      </c>
      <c r="AE23" s="13">
        <f>_xll.BDH("WMT US Equity","BS_OTHER_ASSETS_DEF_CHRG_OTHER","FQ3 2023","FQ3 2023","Currency=USD","Period=FQ","BEST_FPERIOD_OVERRIDE=FQ","FILING_STATUS=MR","SCALING_FORMAT=MLN","Sort=A","Dates=H","DateFormat=P","Fill=—","Direction=H","UseDPDF=Y")</f>
        <v>44432</v>
      </c>
      <c r="AF23" s="13">
        <f>_xll.BDH("WMT US Equity","BS_OTHER_ASSETS_DEF_CHRG_OTHER","FQ4 2023","FQ4 2023","Currency=USD","Period=FQ","BEST_FPERIOD_OVERRIDE=FQ","FILING_STATUS=MR","SCALING_FORMAT=MLN","Sort=A","Dates=H","DateFormat=P","Fill=—","Direction=H","UseDPDF=Y")</f>
        <v>48308</v>
      </c>
      <c r="AG23" s="13">
        <f>_xll.BDH("WMT US Equity","BS_OTHER_ASSETS_DEF_CHRG_OTHER","FQ1 2024","FQ1 2024","Currency=USD","Period=FQ","BEST_FPERIOD_OVERRIDE=FQ","FILING_STATUS=MR","SCALING_FORMAT=MLN","Sort=A","Dates=H","DateFormat=P","Fill=—","Direction=H","UseDPDF=Y")</f>
        <v>45404</v>
      </c>
      <c r="AH23" s="13">
        <f>_xll.BDH("WMT US Equity","BS_OTHER_ASSETS_DEF_CHRG_OTHER","FQ2 2024","FQ2 2024","Currency=USD","Period=FQ","BEST_FPERIOD_OVERRIDE=FQ","FILING_STATUS=MR","SCALING_FORMAT=MLN","Sort=A","Dates=H","DateFormat=P","Fill=—","Direction=H","UseDPDF=Y")</f>
        <v>49094</v>
      </c>
      <c r="AI23" s="13">
        <f>_xll.BDH("WMT US Equity","BS_OTHER_ASSETS_DEF_CHRG_OTHER","FQ3 2024","FQ3 2024","Currency=USD","Period=FQ","BEST_FPERIOD_OVERRIDE=FQ","FILING_STATUS=MR","SCALING_FORMAT=MLN","Sort=A","Dates=H","DateFormat=P","Fill=—","Direction=H","UseDPDF=Y")</f>
        <v>43959</v>
      </c>
      <c r="AJ23" s="13">
        <f>_xll.BDH("WMT US Equity","BS_OTHER_ASSETS_DEF_CHRG_OTHER","FQ4 2024","FQ4 2024","Currency=USD","Period=FQ","BEST_FPERIOD_OVERRIDE=FQ","FILING_STATUS=MR","SCALING_FORMAT=MLN","Sort=A","Dates=H","DateFormat=P","Fill=—","Direction=H","UseDPDF=Y")</f>
        <v>45184</v>
      </c>
      <c r="AK23" s="13">
        <f>_xll.BDH("WMT US Equity","BS_OTHER_ASSETS_DEF_CHRG_OTHER","FQ1 2025","FQ1 2025","Currency=USD","Period=FQ","BEST_FPERIOD_OVERRIDE=FQ","FILING_STATUS=MR","SCALING_FORMAT=MLN","Sort=A","Dates=H","DateFormat=P","Fill=—","Direction=H","UseDPDF=Y")</f>
        <v>45557</v>
      </c>
      <c r="AL23" s="13">
        <f>_xll.BDH("WMT US Equity","BS_OTHER_ASSETS_DEF_CHRG_OTHER","FQ2 2025","FQ2 2025","Currency=USD","Period=FQ","BEST_FPERIOD_OVERRIDE=FQ","FILING_STATUS=MR","SCALING_FORMAT=MLN","Sort=A","Dates=H","DateFormat=P","Fill=—","Direction=H","UseDPDF=Y")</f>
        <v>44192</v>
      </c>
      <c r="AM23" s="13">
        <f>_xll.BDH("WMT US Equity","BS_OTHER_ASSETS_DEF_CHRG_OTHER","FQ3 2025","FQ3 2025","Currency=USD","Period=FQ","BEST_FPERIOD_OVERRIDE=FQ","FILING_STATUS=MR","SCALING_FORMAT=MLN","Sort=A","Dates=H","DateFormat=P","Fill=—","Direction=H","UseDPDF=Y")</f>
        <v>39935</v>
      </c>
      <c r="AN23" s="13">
        <f>_xll.BDH("WMT US Equity","BS_OTHER_ASSETS_DEF_CHRG_OTHER","FQ4 2025","FQ4 2025","Currency=USD","Period=FQ","BEST_FPERIOD_OVERRIDE=FQ","FILING_STATUS=MR","SCALING_FORMAT=MLN","Sort=A","Dates=H","DateFormat=P","Fill=—","Direction=H","UseDPDF=Y")</f>
        <v>41661</v>
      </c>
      <c r="AO23" s="13">
        <f>_xll.BDH("WMT US Equity","BS_OTHER_ASSETS_DEF_CHRG_OTHER","FQ1 2026","FQ1 2026","Currency=USD","Period=FQ","BEST_FPERIOD_OVERRIDE=FQ","FILING_STATUS=MR","SCALING_FORMAT=MLN","Sort=A","Dates=H","DateFormat=P","Fill=—","Direction=H","UseDPDF=Y")</f>
        <v>41235</v>
      </c>
      <c r="AP23" s="13">
        <f>_xll.BDH("WMT US Equity","BS_OTHER_ASSETS_DEF_CHRG_OTHER","FQ2 2026","FQ2 2026","Currency=USD","Period=FQ","BEST_FPERIOD_OVERRIDE=FQ","FILING_STATUS=MR","SCALING_FORMAT=MLN","Sort=A","Dates=H","DateFormat=P","Fill=—","Direction=H","UseDPDF=Y")</f>
        <v>43247</v>
      </c>
    </row>
    <row r="24" spans="1:42" x14ac:dyDescent="0.3">
      <c r="A24" s="10" t="s">
        <v>205</v>
      </c>
      <c r="B24" s="10" t="s">
        <v>103</v>
      </c>
      <c r="C24" s="13">
        <f>_xll.BDH("WMT US Equity","BS_DISCLOSED_INTANGIBLES","FQ3 2016","FQ3 2016","Currency=USD","Period=FQ","BEST_FPERIOD_OVERRIDE=FQ","FILING_STATUS=MR","SCALING_FORMAT=MLN","Sort=A","Dates=H","DateFormat=P","Fill=—","Direction=H","UseDPDF=Y")</f>
        <v>17051</v>
      </c>
      <c r="D24" s="13">
        <f>_xll.BDH("WMT US Equity","BS_DISCLOSED_INTANGIBLES","FQ4 2016","FQ4 2016","Currency=USD","Period=FQ","BEST_FPERIOD_OVERRIDE=FQ","FILING_STATUS=MR","SCALING_FORMAT=MLN","Sort=A","Dates=H","DateFormat=P","Fill=—","Direction=H","UseDPDF=Y")</f>
        <v>16695</v>
      </c>
      <c r="E24" s="13">
        <f>_xll.BDH("WMT US Equity","BS_DISCLOSED_INTANGIBLES","FQ1 2017","FQ1 2017","Currency=USD","Period=FQ","BEST_FPERIOD_OVERRIDE=FQ","FILING_STATUS=MR","SCALING_FORMAT=MLN","Sort=A","Dates=H","DateFormat=P","Fill=—","Direction=H","UseDPDF=Y")</f>
        <v>16751</v>
      </c>
      <c r="F24" s="13">
        <f>_xll.BDH("WMT US Equity","BS_DISCLOSED_INTANGIBLES","FQ2 2017","FQ2 2017","Currency=USD","Period=FQ","BEST_FPERIOD_OVERRIDE=FQ","FILING_STATUS=MR","SCALING_FORMAT=MLN","Sort=A","Dates=H","DateFormat=P","Fill=—","Direction=H","UseDPDF=Y")</f>
        <v>16339</v>
      </c>
      <c r="G24" s="13">
        <f>_xll.BDH("WMT US Equity","BS_DISCLOSED_INTANGIBLES","FQ3 2017","FQ3 2017","Currency=USD","Period=FQ","BEST_FPERIOD_OVERRIDE=FQ","FILING_STATUS=MR","SCALING_FORMAT=MLN","Sort=A","Dates=H","DateFormat=P","Fill=—","Direction=H","UseDPDF=Y")</f>
        <v>17792</v>
      </c>
      <c r="H24" s="13">
        <f>_xll.BDH("WMT US Equity","BS_DISCLOSED_INTANGIBLES","FQ4 2017","FQ4 2017","Currency=USD","Period=FQ","BEST_FPERIOD_OVERRIDE=FQ","FILING_STATUS=MR","SCALING_FORMAT=MLN","Sort=A","Dates=H","DateFormat=P","Fill=—","Direction=H","UseDPDF=Y")</f>
        <v>17037</v>
      </c>
      <c r="I24" s="13">
        <f>_xll.BDH("WMT US Equity","BS_DISCLOSED_INTANGIBLES","FQ1 2018","FQ1 2018","Currency=USD","Period=FQ","BEST_FPERIOD_OVERRIDE=FQ","FILING_STATUS=MR","SCALING_FORMAT=MLN","Sort=A","Dates=H","DateFormat=P","Fill=—","Direction=H","UseDPDF=Y")</f>
        <v>17575</v>
      </c>
      <c r="J24" s="13">
        <f>_xll.BDH("WMT US Equity","BS_DISCLOSED_INTANGIBLES","FQ2 2018","FQ2 2018","Currency=USD","Period=FQ","BEST_FPERIOD_OVERRIDE=FQ","FILING_STATUS=MR","SCALING_FORMAT=MLN","Sort=A","Dates=H","DateFormat=P","Fill=—","Direction=H","UseDPDF=Y")</f>
        <v>18037</v>
      </c>
      <c r="K24" s="13">
        <f>_xll.BDH("WMT US Equity","BS_DISCLOSED_INTANGIBLES","FQ3 2018","FQ3 2018","Currency=USD","Period=FQ","BEST_FPERIOD_OVERRIDE=FQ","FILING_STATUS=MR","SCALING_FORMAT=MLN","Sort=A","Dates=H","DateFormat=P","Fill=—","Direction=H","UseDPDF=Y")</f>
        <v>18204</v>
      </c>
      <c r="L24" s="13">
        <f>_xll.BDH("WMT US Equity","BS_DISCLOSED_INTANGIBLES","FQ4 2018","FQ4 2018","Currency=USD","Period=FQ","BEST_FPERIOD_OVERRIDE=FQ","FILING_STATUS=MR","SCALING_FORMAT=MLN","Sort=A","Dates=H","DateFormat=P","Fill=—","Direction=H","UseDPDF=Y")</f>
        <v>18242</v>
      </c>
      <c r="M24" s="13">
        <f>_xll.BDH("WMT US Equity","BS_DISCLOSED_INTANGIBLES","FQ1 2019","FQ1 2019","Currency=USD","Period=FQ","BEST_FPERIOD_OVERRIDE=FQ","FILING_STATUS=MR","SCALING_FORMAT=MLN","Sort=A","Dates=H","DateFormat=P","Fill=—","Direction=H","UseDPDF=Y")</f>
        <v>18850</v>
      </c>
      <c r="N24" s="13">
        <f>_xll.BDH("WMT US Equity","BS_DISCLOSED_INTANGIBLES","FQ2 2019","FQ2 2019","Currency=USD","Period=FQ","BEST_FPERIOD_OVERRIDE=FQ","FILING_STATUS=MR","SCALING_FORMAT=MLN","Sort=A","Dates=H","DateFormat=P","Fill=—","Direction=H","UseDPDF=Y")</f>
        <v>17840</v>
      </c>
      <c r="O24" s="13">
        <f>_xll.BDH("WMT US Equity","BS_DISCLOSED_INTANGIBLES","FQ3 2019","FQ3 2019","Currency=USD","Period=FQ","BEST_FPERIOD_OVERRIDE=FQ","FILING_STATUS=MR","SCALING_FORMAT=MLN","Sort=A","Dates=H","DateFormat=P","Fill=—","Direction=H","UseDPDF=Y")</f>
        <v>31044</v>
      </c>
      <c r="P24" s="13">
        <f>_xll.BDH("WMT US Equity","BS_DISCLOSED_INTANGIBLES","FQ4 2019","FQ4 2019","Currency=USD","Period=FQ","BEST_FPERIOD_OVERRIDE=FQ","FILING_STATUS=MR","SCALING_FORMAT=MLN","Sort=A","Dates=H","DateFormat=P","Fill=—","Direction=H","UseDPDF=Y")</f>
        <v>31181</v>
      </c>
      <c r="Q24" s="13">
        <f>_xll.BDH("WMT US Equity","BS_DISCLOSED_INTANGIBLES","FQ1 2020","FQ1 2020","Currency=USD","Period=FQ","BEST_FPERIOD_OVERRIDE=FQ","FILING_STATUS=MR","SCALING_FORMAT=MLN","Sort=A","Dates=H","DateFormat=P","Fill=—","Direction=H","UseDPDF=Y")</f>
        <v>31416</v>
      </c>
      <c r="R24" s="13">
        <f>_xll.BDH("WMT US Equity","BS_DISCLOSED_INTANGIBLES","FQ2 2020","FQ2 2020","Currency=USD","Period=FQ","BEST_FPERIOD_OVERRIDE=FQ","FILING_STATUS=MR","SCALING_FORMAT=MLN","Sort=A","Dates=H","DateFormat=P","Fill=—","Direction=H","UseDPDF=Y")</f>
        <v>31454</v>
      </c>
      <c r="S24" s="13">
        <f>_xll.BDH("WMT US Equity","BS_DISCLOSED_INTANGIBLES","FQ3 2020","FQ3 2020","Currency=USD","Period=FQ","BEST_FPERIOD_OVERRIDE=FQ","FILING_STATUS=MR","SCALING_FORMAT=MLN","Sort=A","Dates=H","DateFormat=P","Fill=—","Direction=H","UseDPDF=Y")</f>
        <v>30716</v>
      </c>
      <c r="T24" s="13">
        <f>_xll.BDH("WMT US Equity","BS_DISCLOSED_INTANGIBLES","FQ4 2020","FQ4 2020","Currency=USD","Period=FQ","BEST_FPERIOD_OVERRIDE=FQ","FILING_STATUS=MR","SCALING_FORMAT=MLN","Sort=A","Dates=H","DateFormat=P","Fill=—","Direction=H","UseDPDF=Y")</f>
        <v>31073</v>
      </c>
      <c r="U24" s="13">
        <f>_xll.BDH("WMT US Equity","BS_DISCLOSED_INTANGIBLES","FQ1 2021","FQ1 2021","Currency=USD","Period=FQ","BEST_FPERIOD_OVERRIDE=FQ","FILING_STATUS=MR","SCALING_FORMAT=MLN","Sort=A","Dates=H","DateFormat=P","Fill=—","Direction=H","UseDPDF=Y")</f>
        <v>29416</v>
      </c>
      <c r="V24" s="13">
        <f>_xll.BDH("WMT US Equity","BS_DISCLOSED_INTANGIBLES","FQ2 2021","FQ2 2021","Currency=USD","Period=FQ","BEST_FPERIOD_OVERRIDE=FQ","FILING_STATUS=MR","SCALING_FORMAT=MLN","Sort=A","Dates=H","DateFormat=P","Fill=—","Direction=H","UseDPDF=Y")</f>
        <v>29542</v>
      </c>
      <c r="W24" s="13">
        <f>_xll.BDH("WMT US Equity","BS_DISCLOSED_INTANGIBLES","FQ3 2021","FQ3 2021","Currency=USD","Period=FQ","BEST_FPERIOD_OVERRIDE=FQ","FILING_STATUS=MR","SCALING_FORMAT=MLN","Sort=A","Dates=H","DateFormat=P","Fill=—","Direction=H","UseDPDF=Y")</f>
        <v>30236</v>
      </c>
      <c r="X24" s="13">
        <f>_xll.BDH("WMT US Equity","BS_DISCLOSED_INTANGIBLES","FQ4 2021","FQ4 2021","Currency=USD","Period=FQ","BEST_FPERIOD_OVERRIDE=FQ","FILING_STATUS=MR","SCALING_FORMAT=MLN","Sort=A","Dates=H","DateFormat=P","Fill=—","Direction=H","UseDPDF=Y")</f>
        <v>33883</v>
      </c>
      <c r="Y24" s="13">
        <f>_xll.BDH("WMT US Equity","BS_DISCLOSED_INTANGIBLES","FQ1 2022","FQ1 2022","Currency=USD","Period=FQ","BEST_FPERIOD_OVERRIDE=FQ","FILING_STATUS=MR","SCALING_FORMAT=MLN","Sort=A","Dates=H","DateFormat=P","Fill=—","Direction=H","UseDPDF=Y")</f>
        <v>28872</v>
      </c>
      <c r="Z24" s="13">
        <f>_xll.BDH("WMT US Equity","BS_DISCLOSED_INTANGIBLES","FQ2 2022","FQ2 2022","Currency=USD","Period=FQ","BEST_FPERIOD_OVERRIDE=FQ","FILING_STATUS=MR","SCALING_FORMAT=MLN","Sort=A","Dates=H","DateFormat=P","Fill=—","Direction=H","UseDPDF=Y")</f>
        <v>29159</v>
      </c>
      <c r="AA24" s="13">
        <f>_xll.BDH("WMT US Equity","BS_DISCLOSED_INTANGIBLES","FQ3 2022","FQ3 2022","Currency=USD","Period=FQ","BEST_FPERIOD_OVERRIDE=FQ","FILING_STATUS=MR","SCALING_FORMAT=MLN","Sort=A","Dates=H","DateFormat=P","Fill=—","Direction=H","UseDPDF=Y")</f>
        <v>28923</v>
      </c>
      <c r="AB24" s="13">
        <f>_xll.BDH("WMT US Equity","BS_DISCLOSED_INTANGIBLES","FQ4 2022","FQ4 2022","Currency=USD","Period=FQ","BEST_FPERIOD_OVERRIDE=FQ","FILING_STATUS=MR","SCALING_FORMAT=MLN","Sort=A","Dates=H","DateFormat=P","Fill=—","Direction=H","UseDPDF=Y")</f>
        <v>33814</v>
      </c>
      <c r="AC24" s="13">
        <f>_xll.BDH("WMT US Equity","BS_DISCLOSED_INTANGIBLES","FQ1 2023","FQ1 2023","Currency=USD","Period=FQ","BEST_FPERIOD_OVERRIDE=FQ","FILING_STATUS=MR","SCALING_FORMAT=MLN","Sort=A","Dates=H","DateFormat=P","Fill=—","Direction=H","UseDPDF=Y")</f>
        <v>29438</v>
      </c>
      <c r="AD24" s="13">
        <f>_xll.BDH("WMT US Equity","BS_DISCLOSED_INTANGIBLES","FQ2 2023","FQ2 2023","Currency=USD","Period=FQ","BEST_FPERIOD_OVERRIDE=FQ","FILING_STATUS=MR","SCALING_FORMAT=MLN","Sort=A","Dates=H","DateFormat=P","Fill=—","Direction=H","UseDPDF=Y")</f>
        <v>28664</v>
      </c>
      <c r="AE24" s="13">
        <f>_xll.BDH("WMT US Equity","BS_DISCLOSED_INTANGIBLES","FQ3 2023","FQ3 2023","Currency=USD","Period=FQ","BEST_FPERIOD_OVERRIDE=FQ","FILING_STATUS=MR","SCALING_FORMAT=MLN","Sort=A","Dates=H","DateFormat=P","Fill=—","Direction=H","UseDPDF=Y")</f>
        <v>28137</v>
      </c>
      <c r="AF24" s="13">
        <f>_xll.BDH("WMT US Equity","BS_DISCLOSED_INTANGIBLES","FQ4 2023","FQ4 2023","Currency=USD","Period=FQ","BEST_FPERIOD_OVERRIDE=FQ","FILING_STATUS=MR","SCALING_FORMAT=MLN","Sort=A","Dates=H","DateFormat=P","Fill=—","Direction=H","UseDPDF=Y")</f>
        <v>32474</v>
      </c>
      <c r="AG24" s="13">
        <f>_xll.BDH("WMT US Equity","BS_DISCLOSED_INTANGIBLES","FQ1 2024","FQ1 2024","Currency=USD","Period=FQ","BEST_FPERIOD_OVERRIDE=FQ","FILING_STATUS=MR","SCALING_FORMAT=MLN","Sort=A","Dates=H","DateFormat=P","Fill=—","Direction=H","UseDPDF=Y")</f>
        <v>28306</v>
      </c>
      <c r="AH24" s="13">
        <f>_xll.BDH("WMT US Equity","BS_DISCLOSED_INTANGIBLES","FQ2 2024","FQ2 2024","Currency=USD","Period=FQ","BEST_FPERIOD_OVERRIDE=FQ","FILING_STATUS=MR","SCALING_FORMAT=MLN","Sort=A","Dates=H","DateFormat=P","Fill=—","Direction=H","UseDPDF=Y")</f>
        <v>28268</v>
      </c>
      <c r="AI24" s="13">
        <f>_xll.BDH("WMT US Equity","BS_DISCLOSED_INTANGIBLES","FQ3 2024","FQ3 2024","Currency=USD","Period=FQ","BEST_FPERIOD_OVERRIDE=FQ","FILING_STATUS=MR","SCALING_FORMAT=MLN","Sort=A","Dates=H","DateFormat=P","Fill=—","Direction=H","UseDPDF=Y")</f>
        <v>28015</v>
      </c>
      <c r="AJ24" s="13">
        <f>_xll.BDH("WMT US Equity","BS_DISCLOSED_INTANGIBLES","FQ4 2024","FQ4 2024","Currency=USD","Period=FQ","BEST_FPERIOD_OVERRIDE=FQ","FILING_STATUS=MR","SCALING_FORMAT=MLN","Sort=A","Dates=H","DateFormat=P","Fill=—","Direction=H","UseDPDF=Y")</f>
        <v>32213</v>
      </c>
      <c r="AK24" s="13">
        <f>_xll.BDH("WMT US Equity","BS_DISCLOSED_INTANGIBLES","FQ1 2025","FQ1 2025","Currency=USD","Period=FQ","BEST_FPERIOD_OVERRIDE=FQ","FILING_STATUS=MR","SCALING_FORMAT=MLN","Sort=A","Dates=H","DateFormat=P","Fill=—","Direction=H","UseDPDF=Y")</f>
        <v>27999</v>
      </c>
      <c r="AL24" s="13">
        <f>_xll.BDH("WMT US Equity","BS_DISCLOSED_INTANGIBLES","FQ2 2025","FQ2 2025","Currency=USD","Period=FQ","BEST_FPERIOD_OVERRIDE=FQ","FILING_STATUS=MR","SCALING_FORMAT=MLN","Sort=A","Dates=H","DateFormat=P","Fill=—","Direction=H","UseDPDF=Y")</f>
        <v>27930</v>
      </c>
      <c r="AM24" s="13">
        <f>_xll.BDH("WMT US Equity","BS_DISCLOSED_INTANGIBLES","FQ3 2025","FQ3 2025","Currency=USD","Period=FQ","BEST_FPERIOD_OVERRIDE=FQ","FILING_STATUS=MR","SCALING_FORMAT=MLN","Sort=A","Dates=H","DateFormat=P","Fill=—","Direction=H","UseDPDF=Y")</f>
        <v>27942</v>
      </c>
      <c r="AN24" s="13">
        <f>_xll.BDH("WMT US Equity","BS_DISCLOSED_INTANGIBLES","FQ4 2025","FQ4 2025","Currency=USD","Period=FQ","BEST_FPERIOD_OVERRIDE=FQ","FILING_STATUS=MR","SCALING_FORMAT=MLN","Sort=A","Dates=H","DateFormat=P","Fill=—","Direction=H","UseDPDF=Y")</f>
        <v>33292</v>
      </c>
      <c r="AO24" s="13">
        <f>_xll.BDH("WMT US Equity","BS_DISCLOSED_INTANGIBLES","FQ1 2026","FQ1 2026","Currency=USD","Period=FQ","BEST_FPERIOD_OVERRIDE=FQ","FILING_STATUS=MR","SCALING_FORMAT=MLN","Sort=A","Dates=H","DateFormat=P","Fill=—","Direction=H","UseDPDF=Y")</f>
        <v>28866</v>
      </c>
      <c r="AP24" s="13">
        <f>_xll.BDH("WMT US Equity","BS_DISCLOSED_INTANGIBLES","FQ2 2026","FQ2 2026","Currency=USD","Period=FQ","BEST_FPERIOD_OVERRIDE=FQ","FILING_STATUS=MR","SCALING_FORMAT=MLN","Sort=A","Dates=H","DateFormat=P","Fill=—","Direction=H","UseDPDF=Y")</f>
        <v>29060</v>
      </c>
    </row>
    <row r="25" spans="1:42" x14ac:dyDescent="0.3">
      <c r="A25" s="11" t="s">
        <v>206</v>
      </c>
      <c r="B25" s="11" t="s">
        <v>104</v>
      </c>
      <c r="C25" s="17">
        <f>_xll.BDH("WMT US Equity","BS_GOODWILL","FQ3 2016","FQ3 2016","Currency=USD","Period=FQ","BEST_FPERIOD_OVERRIDE=FQ","FILING_STATUS=MR","SCALING_FORMAT=MLN","Sort=A","Dates=H","DateFormat=P","Fill=—","Direction=H","UseDPDF=Y")</f>
        <v>17051</v>
      </c>
      <c r="D25" s="17">
        <f>_xll.BDH("WMT US Equity","BS_GOODWILL","FQ4 2016","FQ4 2016","Currency=USD","Period=FQ","BEST_FPERIOD_OVERRIDE=FQ","FILING_STATUS=MR","SCALING_FORMAT=MLN","Sort=A","Dates=H","DateFormat=P","Fill=—","Direction=H","UseDPDF=Y")</f>
        <v>16695</v>
      </c>
      <c r="E25" s="17">
        <f>_xll.BDH("WMT US Equity","BS_GOODWILL","FQ1 2017","FQ1 2017","Currency=USD","Period=FQ","BEST_FPERIOD_OVERRIDE=FQ","FILING_STATUS=MR","SCALING_FORMAT=MLN","Sort=A","Dates=H","DateFormat=P","Fill=—","Direction=H","UseDPDF=Y")</f>
        <v>16751</v>
      </c>
      <c r="F25" s="17">
        <f>_xll.BDH("WMT US Equity","BS_GOODWILL","FQ2 2017","FQ2 2017","Currency=USD","Period=FQ","BEST_FPERIOD_OVERRIDE=FQ","FILING_STATUS=MR","SCALING_FORMAT=MLN","Sort=A","Dates=H","DateFormat=P","Fill=—","Direction=H","UseDPDF=Y")</f>
        <v>16339</v>
      </c>
      <c r="G25" s="17">
        <f>_xll.BDH("WMT US Equity","BS_GOODWILL","FQ3 2017","FQ3 2017","Currency=USD","Period=FQ","BEST_FPERIOD_OVERRIDE=FQ","FILING_STATUS=MR","SCALING_FORMAT=MLN","Sort=A","Dates=H","DateFormat=P","Fill=—","Direction=H","UseDPDF=Y")</f>
        <v>17792</v>
      </c>
      <c r="H25" s="17">
        <f>_xll.BDH("WMT US Equity","BS_GOODWILL","FQ4 2017","FQ4 2017","Currency=USD","Period=FQ","BEST_FPERIOD_OVERRIDE=FQ","FILING_STATUS=MR","SCALING_FORMAT=MLN","Sort=A","Dates=H","DateFormat=P","Fill=—","Direction=H","UseDPDF=Y")</f>
        <v>17037</v>
      </c>
      <c r="I25" s="17">
        <f>_xll.BDH("WMT US Equity","BS_GOODWILL","FQ1 2018","FQ1 2018","Currency=USD","Period=FQ","BEST_FPERIOD_OVERRIDE=FQ","FILING_STATUS=MR","SCALING_FORMAT=MLN","Sort=A","Dates=H","DateFormat=P","Fill=—","Direction=H","UseDPDF=Y")</f>
        <v>17575</v>
      </c>
      <c r="J25" s="17">
        <f>_xll.BDH("WMT US Equity","BS_GOODWILL","FQ2 2018","FQ2 2018","Currency=USD","Period=FQ","BEST_FPERIOD_OVERRIDE=FQ","FILING_STATUS=MR","SCALING_FORMAT=MLN","Sort=A","Dates=H","DateFormat=P","Fill=—","Direction=H","UseDPDF=Y")</f>
        <v>18037</v>
      </c>
      <c r="K25" s="17">
        <f>_xll.BDH("WMT US Equity","BS_GOODWILL","FQ3 2018","FQ3 2018","Currency=USD","Period=FQ","BEST_FPERIOD_OVERRIDE=FQ","FILING_STATUS=MR","SCALING_FORMAT=MLN","Sort=A","Dates=H","DateFormat=P","Fill=—","Direction=H","UseDPDF=Y")</f>
        <v>18204</v>
      </c>
      <c r="L25" s="17">
        <f>_xll.BDH("WMT US Equity","BS_GOODWILL","FQ4 2018","FQ4 2018","Currency=USD","Period=FQ","BEST_FPERIOD_OVERRIDE=FQ","FILING_STATUS=MR","SCALING_FORMAT=MLN","Sort=A","Dates=H","DateFormat=P","Fill=—","Direction=H","UseDPDF=Y")</f>
        <v>18242</v>
      </c>
      <c r="M25" s="17">
        <f>_xll.BDH("WMT US Equity","BS_GOODWILL","FQ1 2019","FQ1 2019","Currency=USD","Period=FQ","BEST_FPERIOD_OVERRIDE=FQ","FILING_STATUS=MR","SCALING_FORMAT=MLN","Sort=A","Dates=H","DateFormat=P","Fill=—","Direction=H","UseDPDF=Y")</f>
        <v>18850</v>
      </c>
      <c r="N25" s="17">
        <f>_xll.BDH("WMT US Equity","BS_GOODWILL","FQ2 2019","FQ2 2019","Currency=USD","Period=FQ","BEST_FPERIOD_OVERRIDE=FQ","FILING_STATUS=MR","SCALING_FORMAT=MLN","Sort=A","Dates=H","DateFormat=P","Fill=—","Direction=H","UseDPDF=Y")</f>
        <v>17840</v>
      </c>
      <c r="O25" s="17">
        <f>_xll.BDH("WMT US Equity","BS_GOODWILL","FQ3 2019","FQ3 2019","Currency=USD","Period=FQ","BEST_FPERIOD_OVERRIDE=FQ","FILING_STATUS=MR","SCALING_FORMAT=MLN","Sort=A","Dates=H","DateFormat=P","Fill=—","Direction=H","UseDPDF=Y")</f>
        <v>31044</v>
      </c>
      <c r="P25" s="17">
        <f>_xll.BDH("WMT US Equity","BS_GOODWILL","FQ4 2019","FQ4 2019","Currency=USD","Period=FQ","BEST_FPERIOD_OVERRIDE=FQ","FILING_STATUS=MR","SCALING_FORMAT=MLN","Sort=A","Dates=H","DateFormat=P","Fill=—","Direction=H","UseDPDF=Y")</f>
        <v>31181</v>
      </c>
      <c r="Q25" s="17">
        <f>_xll.BDH("WMT US Equity","BS_GOODWILL","FQ1 2020","FQ1 2020","Currency=USD","Period=FQ","BEST_FPERIOD_OVERRIDE=FQ","FILING_STATUS=MR","SCALING_FORMAT=MLN","Sort=A","Dates=H","DateFormat=P","Fill=—","Direction=H","UseDPDF=Y")</f>
        <v>31416</v>
      </c>
      <c r="R25" s="17">
        <f>_xll.BDH("WMT US Equity","BS_GOODWILL","FQ2 2020","FQ2 2020","Currency=USD","Period=FQ","BEST_FPERIOD_OVERRIDE=FQ","FILING_STATUS=MR","SCALING_FORMAT=MLN","Sort=A","Dates=H","DateFormat=P","Fill=—","Direction=H","UseDPDF=Y")</f>
        <v>31454</v>
      </c>
      <c r="S25" s="17">
        <f>_xll.BDH("WMT US Equity","BS_GOODWILL","FQ3 2020","FQ3 2020","Currency=USD","Period=FQ","BEST_FPERIOD_OVERRIDE=FQ","FILING_STATUS=MR","SCALING_FORMAT=MLN","Sort=A","Dates=H","DateFormat=P","Fill=—","Direction=H","UseDPDF=Y")</f>
        <v>30716</v>
      </c>
      <c r="T25" s="17">
        <f>_xll.BDH("WMT US Equity","BS_GOODWILL","FQ4 2020","FQ4 2020","Currency=USD","Period=FQ","BEST_FPERIOD_OVERRIDE=FQ","FILING_STATUS=MR","SCALING_FORMAT=MLN","Sort=A","Dates=H","DateFormat=P","Fill=—","Direction=H","UseDPDF=Y")</f>
        <v>31073</v>
      </c>
      <c r="U25" s="17">
        <f>_xll.BDH("WMT US Equity","BS_GOODWILL","FQ1 2021","FQ1 2021","Currency=USD","Period=FQ","BEST_FPERIOD_OVERRIDE=FQ","FILING_STATUS=MR","SCALING_FORMAT=MLN","Sort=A","Dates=H","DateFormat=P","Fill=—","Direction=H","UseDPDF=Y")</f>
        <v>29416</v>
      </c>
      <c r="V25" s="17">
        <f>_xll.BDH("WMT US Equity","BS_GOODWILL","FQ2 2021","FQ2 2021","Currency=USD","Period=FQ","BEST_FPERIOD_OVERRIDE=FQ","FILING_STATUS=MR","SCALING_FORMAT=MLN","Sort=A","Dates=H","DateFormat=P","Fill=—","Direction=H","UseDPDF=Y")</f>
        <v>29542</v>
      </c>
      <c r="W25" s="17">
        <f>_xll.BDH("WMT US Equity","BS_GOODWILL","FQ3 2021","FQ3 2021","Currency=USD","Period=FQ","BEST_FPERIOD_OVERRIDE=FQ","FILING_STATUS=MR","SCALING_FORMAT=MLN","Sort=A","Dates=H","DateFormat=P","Fill=—","Direction=H","UseDPDF=Y")</f>
        <v>30236</v>
      </c>
      <c r="X25" s="17">
        <f>_xll.BDH("WMT US Equity","BS_GOODWILL","FQ4 2021","FQ4 2021","Currency=USD","Period=FQ","BEST_FPERIOD_OVERRIDE=FQ","FILING_STATUS=MR","SCALING_FORMAT=MLN","Sort=A","Dates=H","DateFormat=P","Fill=—","Direction=H","UseDPDF=Y")</f>
        <v>28983</v>
      </c>
      <c r="Y25" s="17">
        <f>_xll.BDH("WMT US Equity","BS_GOODWILL","FQ1 2022","FQ1 2022","Currency=USD","Period=FQ","BEST_FPERIOD_OVERRIDE=FQ","FILING_STATUS=MR","SCALING_FORMAT=MLN","Sort=A","Dates=H","DateFormat=P","Fill=—","Direction=H","UseDPDF=Y")</f>
        <v>28872</v>
      </c>
      <c r="Z25" s="17">
        <f>_xll.BDH("WMT US Equity","BS_GOODWILL","FQ2 2022","FQ2 2022","Currency=USD","Period=FQ","BEST_FPERIOD_OVERRIDE=FQ","FILING_STATUS=MR","SCALING_FORMAT=MLN","Sort=A","Dates=H","DateFormat=P","Fill=—","Direction=H","UseDPDF=Y")</f>
        <v>29159</v>
      </c>
      <c r="AA25" s="17">
        <f>_xll.BDH("WMT US Equity","BS_GOODWILL","FQ3 2022","FQ3 2022","Currency=USD","Period=FQ","BEST_FPERIOD_OVERRIDE=FQ","FILING_STATUS=MR","SCALING_FORMAT=MLN","Sort=A","Dates=H","DateFormat=P","Fill=—","Direction=H","UseDPDF=Y")</f>
        <v>28923</v>
      </c>
      <c r="AB25" s="17">
        <f>_xll.BDH("WMT US Equity","BS_GOODWILL","FQ4 2022","FQ4 2022","Currency=USD","Period=FQ","BEST_FPERIOD_OVERRIDE=FQ","FILING_STATUS=MR","SCALING_FORMAT=MLN","Sort=A","Dates=H","DateFormat=P","Fill=—","Direction=H","UseDPDF=Y")</f>
        <v>29014</v>
      </c>
      <c r="AC25" s="17">
        <f>_xll.BDH("WMT US Equity","BS_GOODWILL","FQ1 2023","FQ1 2023","Currency=USD","Period=FQ","BEST_FPERIOD_OVERRIDE=FQ","FILING_STATUS=MR","SCALING_FORMAT=MLN","Sort=A","Dates=H","DateFormat=P","Fill=—","Direction=H","UseDPDF=Y")</f>
        <v>29438</v>
      </c>
      <c r="AD25" s="17">
        <f>_xll.BDH("WMT US Equity","BS_GOODWILL","FQ2 2023","FQ2 2023","Currency=USD","Period=FQ","BEST_FPERIOD_OVERRIDE=FQ","FILING_STATUS=MR","SCALING_FORMAT=MLN","Sort=A","Dates=H","DateFormat=P","Fill=—","Direction=H","UseDPDF=Y")</f>
        <v>28664</v>
      </c>
      <c r="AE25" s="17">
        <f>_xll.BDH("WMT US Equity","BS_GOODWILL","FQ3 2023","FQ3 2023","Currency=USD","Period=FQ","BEST_FPERIOD_OVERRIDE=FQ","FILING_STATUS=MR","SCALING_FORMAT=MLN","Sort=A","Dates=H","DateFormat=P","Fill=—","Direction=H","UseDPDF=Y")</f>
        <v>28137</v>
      </c>
      <c r="AF25" s="17">
        <f>_xll.BDH("WMT US Equity","BS_GOODWILL","FQ4 2023","FQ4 2023","Currency=USD","Period=FQ","BEST_FPERIOD_OVERRIDE=FQ","FILING_STATUS=MR","SCALING_FORMAT=MLN","Sort=A","Dates=H","DateFormat=P","Fill=—","Direction=H","UseDPDF=Y")</f>
        <v>28174</v>
      </c>
      <c r="AG25" s="17">
        <f>_xll.BDH("WMT US Equity","BS_GOODWILL","FQ1 2024","FQ1 2024","Currency=USD","Period=FQ","BEST_FPERIOD_OVERRIDE=FQ","FILING_STATUS=MR","SCALING_FORMAT=MLN","Sort=A","Dates=H","DateFormat=P","Fill=—","Direction=H","UseDPDF=Y")</f>
        <v>28306</v>
      </c>
      <c r="AH25" s="17">
        <f>_xll.BDH("WMT US Equity","BS_GOODWILL","FQ2 2024","FQ2 2024","Currency=USD","Period=FQ","BEST_FPERIOD_OVERRIDE=FQ","FILING_STATUS=MR","SCALING_FORMAT=MLN","Sort=A","Dates=H","DateFormat=P","Fill=—","Direction=H","UseDPDF=Y")</f>
        <v>28268</v>
      </c>
      <c r="AI25" s="17">
        <f>_xll.BDH("WMT US Equity","BS_GOODWILL","FQ3 2024","FQ3 2024","Currency=USD","Period=FQ","BEST_FPERIOD_OVERRIDE=FQ","FILING_STATUS=MR","SCALING_FORMAT=MLN","Sort=A","Dates=H","DateFormat=P","Fill=—","Direction=H","UseDPDF=Y")</f>
        <v>28015</v>
      </c>
      <c r="AJ25" s="17">
        <f>_xll.BDH("WMT US Equity","BS_GOODWILL","FQ4 2024","FQ4 2024","Currency=USD","Period=FQ","BEST_FPERIOD_OVERRIDE=FQ","FILING_STATUS=MR","SCALING_FORMAT=MLN","Sort=A","Dates=H","DateFormat=P","Fill=—","Direction=H","UseDPDF=Y")</f>
        <v>28113</v>
      </c>
      <c r="AK25" s="17">
        <f>_xll.BDH("WMT US Equity","BS_GOODWILL","FQ1 2025","FQ1 2025","Currency=USD","Period=FQ","BEST_FPERIOD_OVERRIDE=FQ","FILING_STATUS=MR","SCALING_FORMAT=MLN","Sort=A","Dates=H","DateFormat=P","Fill=—","Direction=H","UseDPDF=Y")</f>
        <v>27999</v>
      </c>
      <c r="AL25" s="17">
        <f>_xll.BDH("WMT US Equity","BS_GOODWILL","FQ2 2025","FQ2 2025","Currency=USD","Period=FQ","BEST_FPERIOD_OVERRIDE=FQ","FILING_STATUS=MR","SCALING_FORMAT=MLN","Sort=A","Dates=H","DateFormat=P","Fill=—","Direction=H","UseDPDF=Y")</f>
        <v>27930</v>
      </c>
      <c r="AM25" s="17">
        <f>_xll.BDH("WMT US Equity","BS_GOODWILL","FQ3 2025","FQ3 2025","Currency=USD","Period=FQ","BEST_FPERIOD_OVERRIDE=FQ","FILING_STATUS=MR","SCALING_FORMAT=MLN","Sort=A","Dates=H","DateFormat=P","Fill=—","Direction=H","UseDPDF=Y")</f>
        <v>27942</v>
      </c>
      <c r="AN25" s="17">
        <f>_xll.BDH("WMT US Equity","BS_GOODWILL","FQ4 2025","FQ4 2025","Currency=USD","Period=FQ","BEST_FPERIOD_OVERRIDE=FQ","FILING_STATUS=MR","SCALING_FORMAT=MLN","Sort=A","Dates=H","DateFormat=P","Fill=—","Direction=H","UseDPDF=Y")</f>
        <v>28792</v>
      </c>
      <c r="AO25" s="17">
        <f>_xll.BDH("WMT US Equity","BS_GOODWILL","FQ1 2026","FQ1 2026","Currency=USD","Period=FQ","BEST_FPERIOD_OVERRIDE=FQ","FILING_STATUS=MR","SCALING_FORMAT=MLN","Sort=A","Dates=H","DateFormat=P","Fill=—","Direction=H","UseDPDF=Y")</f>
        <v>28866</v>
      </c>
      <c r="AP25" s="17">
        <f>_xll.BDH("WMT US Equity","BS_GOODWILL","FQ2 2026","FQ2 2026","Currency=USD","Period=FQ","BEST_FPERIOD_OVERRIDE=FQ","FILING_STATUS=MR","SCALING_FORMAT=MLN","Sort=A","Dates=H","DateFormat=P","Fill=—","Direction=H","UseDPDF=Y")</f>
        <v>29060</v>
      </c>
    </row>
    <row r="26" spans="1:42" x14ac:dyDescent="0.3">
      <c r="A26" s="11" t="s">
        <v>207</v>
      </c>
      <c r="B26" s="11" t="s">
        <v>105</v>
      </c>
      <c r="C26" s="17">
        <f>_xll.BDH("WMT US Equity","OTHER_INTANGIBLE_ASSETS_DETAILED","FQ3 2016","FQ3 2016","Currency=USD","Period=FQ","BEST_FPERIOD_OVERRIDE=FQ","FILING_STATUS=MR","SCALING_FORMAT=MLN","Sort=A","Dates=H","DateFormat=P","Fill=—","Direction=H","UseDPDF=Y")</f>
        <v>0</v>
      </c>
      <c r="D26" s="17">
        <f>_xll.BDH("WMT US Equity","OTHER_INTANGIBLE_ASSETS_DETAILED","FQ4 2016","FQ4 2016","Currency=USD","Period=FQ","BEST_FPERIOD_OVERRIDE=FQ","FILING_STATUS=MR","SCALING_FORMAT=MLN","Sort=A","Dates=H","DateFormat=P","Fill=—","Direction=H","UseDPDF=Y")</f>
        <v>0</v>
      </c>
      <c r="E26" s="17">
        <f>_xll.BDH("WMT US Equity","OTHER_INTANGIBLE_ASSETS_DETAILED","FQ1 2017","FQ1 2017","Currency=USD","Period=FQ","BEST_FPERIOD_OVERRIDE=FQ","FILING_STATUS=MR","SCALING_FORMAT=MLN","Sort=A","Dates=H","DateFormat=P","Fill=—","Direction=H","UseDPDF=Y")</f>
        <v>0</v>
      </c>
      <c r="F26" s="17">
        <f>_xll.BDH("WMT US Equity","OTHER_INTANGIBLE_ASSETS_DETAILED","FQ2 2017","FQ2 2017","Currency=USD","Period=FQ","BEST_FPERIOD_OVERRIDE=FQ","FILING_STATUS=MR","SCALING_FORMAT=MLN","Sort=A","Dates=H","DateFormat=P","Fill=—","Direction=H","UseDPDF=Y")</f>
        <v>0</v>
      </c>
      <c r="G26" s="17">
        <f>_xll.BDH("WMT US Equity","OTHER_INTANGIBLE_ASSETS_DETAILED","FQ3 2017","FQ3 2017","Currency=USD","Period=FQ","BEST_FPERIOD_OVERRIDE=FQ","FILING_STATUS=MR","SCALING_FORMAT=MLN","Sort=A","Dates=H","DateFormat=P","Fill=—","Direction=H","UseDPDF=Y")</f>
        <v>0</v>
      </c>
      <c r="H26" s="17">
        <f>_xll.BDH("WMT US Equity","OTHER_INTANGIBLE_ASSETS_DETAILED","FQ4 2017","FQ4 2017","Currency=USD","Period=FQ","BEST_FPERIOD_OVERRIDE=FQ","FILING_STATUS=MR","SCALING_FORMAT=MLN","Sort=A","Dates=H","DateFormat=P","Fill=—","Direction=H","UseDPDF=Y")</f>
        <v>0</v>
      </c>
      <c r="I26" s="17">
        <f>_xll.BDH("WMT US Equity","OTHER_INTANGIBLE_ASSETS_DETAILED","FQ1 2018","FQ1 2018","Currency=USD","Period=FQ","BEST_FPERIOD_OVERRIDE=FQ","FILING_STATUS=MR","SCALING_FORMAT=MLN","Sort=A","Dates=H","DateFormat=P","Fill=—","Direction=H","UseDPDF=Y")</f>
        <v>0</v>
      </c>
      <c r="J26" s="17">
        <f>_xll.BDH("WMT US Equity","OTHER_INTANGIBLE_ASSETS_DETAILED","FQ2 2018","FQ2 2018","Currency=USD","Period=FQ","BEST_FPERIOD_OVERRIDE=FQ","FILING_STATUS=MR","SCALING_FORMAT=MLN","Sort=A","Dates=H","DateFormat=P","Fill=—","Direction=H","UseDPDF=Y")</f>
        <v>0</v>
      </c>
      <c r="K26" s="17">
        <f>_xll.BDH("WMT US Equity","OTHER_INTANGIBLE_ASSETS_DETAILED","FQ3 2018","FQ3 2018","Currency=USD","Period=FQ","BEST_FPERIOD_OVERRIDE=FQ","FILING_STATUS=MR","SCALING_FORMAT=MLN","Sort=A","Dates=H","DateFormat=P","Fill=—","Direction=H","UseDPDF=Y")</f>
        <v>0</v>
      </c>
      <c r="L26" s="17">
        <f>_xll.BDH("WMT US Equity","OTHER_INTANGIBLE_ASSETS_DETAILED","FQ4 2018","FQ4 2018","Currency=USD","Period=FQ","BEST_FPERIOD_OVERRIDE=FQ","FILING_STATUS=MR","SCALING_FORMAT=MLN","Sort=A","Dates=H","DateFormat=P","Fill=—","Direction=H","UseDPDF=Y")</f>
        <v>0</v>
      </c>
      <c r="M26" s="17">
        <f>_xll.BDH("WMT US Equity","OTHER_INTANGIBLE_ASSETS_DETAILED","FQ1 2019","FQ1 2019","Currency=USD","Period=FQ","BEST_FPERIOD_OVERRIDE=FQ","FILING_STATUS=MR","SCALING_FORMAT=MLN","Sort=A","Dates=H","DateFormat=P","Fill=—","Direction=H","UseDPDF=Y")</f>
        <v>0</v>
      </c>
      <c r="N26" s="17">
        <f>_xll.BDH("WMT US Equity","OTHER_INTANGIBLE_ASSETS_DETAILED","FQ2 2019","FQ2 2019","Currency=USD","Period=FQ","BEST_FPERIOD_OVERRIDE=FQ","FILING_STATUS=MR","SCALING_FORMAT=MLN","Sort=A","Dates=H","DateFormat=P","Fill=—","Direction=H","UseDPDF=Y")</f>
        <v>0</v>
      </c>
      <c r="O26" s="17">
        <f>_xll.BDH("WMT US Equity","OTHER_INTANGIBLE_ASSETS_DETAILED","FQ3 2019","FQ3 2019","Currency=USD","Period=FQ","BEST_FPERIOD_OVERRIDE=FQ","FILING_STATUS=MR","SCALING_FORMAT=MLN","Sort=A","Dates=H","DateFormat=P","Fill=—","Direction=H","UseDPDF=Y")</f>
        <v>0</v>
      </c>
      <c r="P26" s="17">
        <f>_xll.BDH("WMT US Equity","OTHER_INTANGIBLE_ASSETS_DETAILED","FQ4 2019","FQ4 2019","Currency=USD","Period=FQ","BEST_FPERIOD_OVERRIDE=FQ","FILING_STATUS=MR","SCALING_FORMAT=MLN","Sort=A","Dates=H","DateFormat=P","Fill=—","Direction=H","UseDPDF=Y")</f>
        <v>0</v>
      </c>
      <c r="Q26" s="17">
        <f>_xll.BDH("WMT US Equity","OTHER_INTANGIBLE_ASSETS_DETAILED","FQ1 2020","FQ1 2020","Currency=USD","Period=FQ","BEST_FPERIOD_OVERRIDE=FQ","FILING_STATUS=MR","SCALING_FORMAT=MLN","Sort=A","Dates=H","DateFormat=P","Fill=—","Direction=H","UseDPDF=Y")</f>
        <v>0</v>
      </c>
      <c r="R26" s="17">
        <f>_xll.BDH("WMT US Equity","OTHER_INTANGIBLE_ASSETS_DETAILED","FQ2 2020","FQ2 2020","Currency=USD","Period=FQ","BEST_FPERIOD_OVERRIDE=FQ","FILING_STATUS=MR","SCALING_FORMAT=MLN","Sort=A","Dates=H","DateFormat=P","Fill=—","Direction=H","UseDPDF=Y")</f>
        <v>0</v>
      </c>
      <c r="S26" s="17">
        <f>_xll.BDH("WMT US Equity","OTHER_INTANGIBLE_ASSETS_DETAILED","FQ3 2020","FQ3 2020","Currency=USD","Period=FQ","BEST_FPERIOD_OVERRIDE=FQ","FILING_STATUS=MR","SCALING_FORMAT=MLN","Sort=A","Dates=H","DateFormat=P","Fill=—","Direction=H","UseDPDF=Y")</f>
        <v>0</v>
      </c>
      <c r="T26" s="17">
        <f>_xll.BDH("WMT US Equity","OTHER_INTANGIBLE_ASSETS_DETAILED","FQ4 2020","FQ4 2020","Currency=USD","Period=FQ","BEST_FPERIOD_OVERRIDE=FQ","FILING_STATUS=MR","SCALING_FORMAT=MLN","Sort=A","Dates=H","DateFormat=P","Fill=—","Direction=H","UseDPDF=Y")</f>
        <v>0</v>
      </c>
      <c r="U26" s="17">
        <f>_xll.BDH("WMT US Equity","OTHER_INTANGIBLE_ASSETS_DETAILED","FQ1 2021","FQ1 2021","Currency=USD","Period=FQ","BEST_FPERIOD_OVERRIDE=FQ","FILING_STATUS=MR","SCALING_FORMAT=MLN","Sort=A","Dates=H","DateFormat=P","Fill=—","Direction=H","UseDPDF=Y")</f>
        <v>0</v>
      </c>
      <c r="V26" s="17">
        <f>_xll.BDH("WMT US Equity","OTHER_INTANGIBLE_ASSETS_DETAILED","FQ2 2021","FQ2 2021","Currency=USD","Period=FQ","BEST_FPERIOD_OVERRIDE=FQ","FILING_STATUS=MR","SCALING_FORMAT=MLN","Sort=A","Dates=H","DateFormat=P","Fill=—","Direction=H","UseDPDF=Y")</f>
        <v>0</v>
      </c>
      <c r="W26" s="17">
        <f>_xll.BDH("WMT US Equity","OTHER_INTANGIBLE_ASSETS_DETAILED","FQ3 2021","FQ3 2021","Currency=USD","Period=FQ","BEST_FPERIOD_OVERRIDE=FQ","FILING_STATUS=MR","SCALING_FORMAT=MLN","Sort=A","Dates=H","DateFormat=P","Fill=—","Direction=H","UseDPDF=Y")</f>
        <v>0</v>
      </c>
      <c r="X26" s="17">
        <f>_xll.BDH("WMT US Equity","OTHER_INTANGIBLE_ASSETS_DETAILED","FQ4 2021","FQ4 2021","Currency=USD","Period=FQ","BEST_FPERIOD_OVERRIDE=FQ","FILING_STATUS=MR","SCALING_FORMAT=MLN","Sort=A","Dates=H","DateFormat=P","Fill=—","Direction=H","UseDPDF=Y")</f>
        <v>4900</v>
      </c>
      <c r="Y26" s="17">
        <f>_xll.BDH("WMT US Equity","OTHER_INTANGIBLE_ASSETS_DETAILED","FQ1 2022","FQ1 2022","Currency=USD","Period=FQ","BEST_FPERIOD_OVERRIDE=FQ","FILING_STATUS=MR","SCALING_FORMAT=MLN","Sort=A","Dates=H","DateFormat=P","Fill=—","Direction=H","UseDPDF=Y")</f>
        <v>0</v>
      </c>
      <c r="Z26" s="17">
        <f>_xll.BDH("WMT US Equity","OTHER_INTANGIBLE_ASSETS_DETAILED","FQ2 2022","FQ2 2022","Currency=USD","Period=FQ","BEST_FPERIOD_OVERRIDE=FQ","FILING_STATUS=MR","SCALING_FORMAT=MLN","Sort=A","Dates=H","DateFormat=P","Fill=—","Direction=H","UseDPDF=Y")</f>
        <v>0</v>
      </c>
      <c r="AA26" s="17">
        <f>_xll.BDH("WMT US Equity","OTHER_INTANGIBLE_ASSETS_DETAILED","FQ3 2022","FQ3 2022","Currency=USD","Period=FQ","BEST_FPERIOD_OVERRIDE=FQ","FILING_STATUS=MR","SCALING_FORMAT=MLN","Sort=A","Dates=H","DateFormat=P","Fill=—","Direction=H","UseDPDF=Y")</f>
        <v>0</v>
      </c>
      <c r="AB26" s="17">
        <f>_xll.BDH("WMT US Equity","OTHER_INTANGIBLE_ASSETS_DETAILED","FQ4 2022","FQ4 2022","Currency=USD","Period=FQ","BEST_FPERIOD_OVERRIDE=FQ","FILING_STATUS=MR","SCALING_FORMAT=MLN","Sort=A","Dates=H","DateFormat=P","Fill=—","Direction=H","UseDPDF=Y")</f>
        <v>4800</v>
      </c>
      <c r="AC26" s="17">
        <f>_xll.BDH("WMT US Equity","OTHER_INTANGIBLE_ASSETS_DETAILED","FQ1 2023","FQ1 2023","Currency=USD","Period=FQ","BEST_FPERIOD_OVERRIDE=FQ","FILING_STATUS=MR","SCALING_FORMAT=MLN","Sort=A","Dates=H","DateFormat=P","Fill=—","Direction=H","UseDPDF=Y")</f>
        <v>0</v>
      </c>
      <c r="AD26" s="17">
        <f>_xll.BDH("WMT US Equity","OTHER_INTANGIBLE_ASSETS_DETAILED","FQ2 2023","FQ2 2023","Currency=USD","Period=FQ","BEST_FPERIOD_OVERRIDE=FQ","FILING_STATUS=MR","SCALING_FORMAT=MLN","Sort=A","Dates=H","DateFormat=P","Fill=—","Direction=H","UseDPDF=Y")</f>
        <v>0</v>
      </c>
      <c r="AE26" s="17">
        <f>_xll.BDH("WMT US Equity","OTHER_INTANGIBLE_ASSETS_DETAILED","FQ3 2023","FQ3 2023","Currency=USD","Period=FQ","BEST_FPERIOD_OVERRIDE=FQ","FILING_STATUS=MR","SCALING_FORMAT=MLN","Sort=A","Dates=H","DateFormat=P","Fill=—","Direction=H","UseDPDF=Y")</f>
        <v>0</v>
      </c>
      <c r="AF26" s="17">
        <f>_xll.BDH("WMT US Equity","OTHER_INTANGIBLE_ASSETS_DETAILED","FQ4 2023","FQ4 2023","Currency=USD","Period=FQ","BEST_FPERIOD_OVERRIDE=FQ","FILING_STATUS=MR","SCALING_FORMAT=MLN","Sort=A","Dates=H","DateFormat=P","Fill=—","Direction=H","UseDPDF=Y")</f>
        <v>4300</v>
      </c>
      <c r="AG26" s="17">
        <f>_xll.BDH("WMT US Equity","OTHER_INTANGIBLE_ASSETS_DETAILED","FQ1 2024","FQ1 2024","Currency=USD","Period=FQ","BEST_FPERIOD_OVERRIDE=FQ","FILING_STATUS=MR","SCALING_FORMAT=MLN","Sort=A","Dates=H","DateFormat=P","Fill=—","Direction=H","UseDPDF=Y")</f>
        <v>0</v>
      </c>
      <c r="AH26" s="17">
        <f>_xll.BDH("WMT US Equity","OTHER_INTANGIBLE_ASSETS_DETAILED","FQ2 2024","FQ2 2024","Currency=USD","Period=FQ","BEST_FPERIOD_OVERRIDE=FQ","FILING_STATUS=MR","SCALING_FORMAT=MLN","Sort=A","Dates=H","DateFormat=P","Fill=—","Direction=H","UseDPDF=Y")</f>
        <v>0</v>
      </c>
      <c r="AI26" s="17">
        <f>_xll.BDH("WMT US Equity","OTHER_INTANGIBLE_ASSETS_DETAILED","FQ3 2024","FQ3 2024","Currency=USD","Period=FQ","BEST_FPERIOD_OVERRIDE=FQ","FILING_STATUS=MR","SCALING_FORMAT=MLN","Sort=A","Dates=H","DateFormat=P","Fill=—","Direction=H","UseDPDF=Y")</f>
        <v>0</v>
      </c>
      <c r="AJ26" s="17">
        <f>_xll.BDH("WMT US Equity","OTHER_INTANGIBLE_ASSETS_DETAILED","FQ4 2024","FQ4 2024","Currency=USD","Period=FQ","BEST_FPERIOD_OVERRIDE=FQ","FILING_STATUS=MR","SCALING_FORMAT=MLN","Sort=A","Dates=H","DateFormat=P","Fill=—","Direction=H","UseDPDF=Y")</f>
        <v>4100</v>
      </c>
      <c r="AK26" s="17">
        <f>_xll.BDH("WMT US Equity","OTHER_INTANGIBLE_ASSETS_DETAILED","FQ1 2025","FQ1 2025","Currency=USD","Period=FQ","BEST_FPERIOD_OVERRIDE=FQ","FILING_STATUS=MR","SCALING_FORMAT=MLN","Sort=A","Dates=H","DateFormat=P","Fill=—","Direction=H","UseDPDF=Y")</f>
        <v>0</v>
      </c>
      <c r="AL26" s="17">
        <f>_xll.BDH("WMT US Equity","OTHER_INTANGIBLE_ASSETS_DETAILED","FQ2 2025","FQ2 2025","Currency=USD","Period=FQ","BEST_FPERIOD_OVERRIDE=FQ","FILING_STATUS=MR","SCALING_FORMAT=MLN","Sort=A","Dates=H","DateFormat=P","Fill=—","Direction=H","UseDPDF=Y")</f>
        <v>0</v>
      </c>
      <c r="AM26" s="17">
        <f>_xll.BDH("WMT US Equity","OTHER_INTANGIBLE_ASSETS_DETAILED","FQ3 2025","FQ3 2025","Currency=USD","Period=FQ","BEST_FPERIOD_OVERRIDE=FQ","FILING_STATUS=MR","SCALING_FORMAT=MLN","Sort=A","Dates=H","DateFormat=P","Fill=—","Direction=H","UseDPDF=Y")</f>
        <v>0</v>
      </c>
      <c r="AN26" s="17">
        <f>_xll.BDH("WMT US Equity","OTHER_INTANGIBLE_ASSETS_DETAILED","FQ4 2025","FQ4 2025","Currency=USD","Period=FQ","BEST_FPERIOD_OVERRIDE=FQ","FILING_STATUS=MR","SCALING_FORMAT=MLN","Sort=A","Dates=H","DateFormat=P","Fill=—","Direction=H","UseDPDF=Y")</f>
        <v>4500</v>
      </c>
      <c r="AO26" s="17">
        <f>_xll.BDH("WMT US Equity","OTHER_INTANGIBLE_ASSETS_DETAILED","FQ1 2026","FQ1 2026","Currency=USD","Period=FQ","BEST_FPERIOD_OVERRIDE=FQ","FILING_STATUS=MR","SCALING_FORMAT=MLN","Sort=A","Dates=H","DateFormat=P","Fill=—","Direction=H","UseDPDF=Y")</f>
        <v>0</v>
      </c>
      <c r="AP26" s="17">
        <f>_xll.BDH("WMT US Equity","OTHER_INTANGIBLE_ASSETS_DETAILED","FQ2 2026","FQ2 2026","Currency=USD","Period=FQ","BEST_FPERIOD_OVERRIDE=FQ","FILING_STATUS=MR","SCALING_FORMAT=MLN","Sort=A","Dates=H","DateFormat=P","Fill=—","Direction=H","UseDPDF=Y")</f>
        <v>0</v>
      </c>
    </row>
    <row r="27" spans="1:42" x14ac:dyDescent="0.3">
      <c r="A27" s="10" t="s">
        <v>199</v>
      </c>
      <c r="B27" s="10" t="s">
        <v>106</v>
      </c>
      <c r="C27" s="13" t="str">
        <f>_xll.BDH("WMT US Equity","BS_DEFERRED_TAX_ASSETS_LT","FQ3 2016","FQ3 2016","Currency=USD","Period=FQ","BEST_FPERIOD_OVERRIDE=FQ","FILING_STATUS=MR","SCALING_FORMAT=MLN","Sort=A","Dates=H","DateFormat=P","Fill=—","Direction=H","UseDPDF=Y")</f>
        <v>—</v>
      </c>
      <c r="D27" s="13">
        <f>_xll.BDH("WMT US Equity","BS_DEFERRED_TAX_ASSETS_LT","FQ4 2016","FQ4 2016","Currency=USD","Period=FQ","BEST_FPERIOD_OVERRIDE=FQ","FILING_STATUS=MR","SCALING_FORMAT=MLN","Sort=A","Dates=H","DateFormat=P","Fill=—","Direction=H","UseDPDF=Y")</f>
        <v>1504</v>
      </c>
      <c r="E27" s="13" t="str">
        <f>_xll.BDH("WMT US Equity","BS_DEFERRED_TAX_ASSETS_LT","FQ1 2017","FQ1 2017","Currency=USD","Period=FQ","BEST_FPERIOD_OVERRIDE=FQ","FILING_STATUS=MR","SCALING_FORMAT=MLN","Sort=A","Dates=H","DateFormat=P","Fill=—","Direction=H","UseDPDF=Y")</f>
        <v>—</v>
      </c>
      <c r="F27" s="13" t="str">
        <f>_xll.BDH("WMT US Equity","BS_DEFERRED_TAX_ASSETS_LT","FQ2 2017","FQ2 2017","Currency=USD","Period=FQ","BEST_FPERIOD_OVERRIDE=FQ","FILING_STATUS=MR","SCALING_FORMAT=MLN","Sort=A","Dates=H","DateFormat=P","Fill=—","Direction=H","UseDPDF=Y")</f>
        <v>—</v>
      </c>
      <c r="G27" s="13" t="str">
        <f>_xll.BDH("WMT US Equity","BS_DEFERRED_TAX_ASSETS_LT","FQ3 2017","FQ3 2017","Currency=USD","Period=FQ","BEST_FPERIOD_OVERRIDE=FQ","FILING_STATUS=MR","SCALING_FORMAT=MLN","Sort=A","Dates=H","DateFormat=P","Fill=—","Direction=H","UseDPDF=Y")</f>
        <v>—</v>
      </c>
      <c r="H27" s="13">
        <f>_xll.BDH("WMT US Equity","BS_DEFERRED_TAX_ASSETS_LT","FQ4 2017","FQ4 2017","Currency=USD","Period=FQ","BEST_FPERIOD_OVERRIDE=FQ","FILING_STATUS=MR","SCALING_FORMAT=MLN","Sort=A","Dates=H","DateFormat=P","Fill=—","Direction=H","UseDPDF=Y")</f>
        <v>1565</v>
      </c>
      <c r="I27" s="13" t="str">
        <f>_xll.BDH("WMT US Equity","BS_DEFERRED_TAX_ASSETS_LT","FQ1 2018","FQ1 2018","Currency=USD","Period=FQ","BEST_FPERIOD_OVERRIDE=FQ","FILING_STATUS=MR","SCALING_FORMAT=MLN","Sort=A","Dates=H","DateFormat=P","Fill=—","Direction=H","UseDPDF=Y")</f>
        <v>—</v>
      </c>
      <c r="J27" s="13" t="str">
        <f>_xll.BDH("WMT US Equity","BS_DEFERRED_TAX_ASSETS_LT","FQ2 2018","FQ2 2018","Currency=USD","Period=FQ","BEST_FPERIOD_OVERRIDE=FQ","FILING_STATUS=MR","SCALING_FORMAT=MLN","Sort=A","Dates=H","DateFormat=P","Fill=—","Direction=H","UseDPDF=Y")</f>
        <v>—</v>
      </c>
      <c r="K27" s="13" t="str">
        <f>_xll.BDH("WMT US Equity","BS_DEFERRED_TAX_ASSETS_LT","FQ3 2018","FQ3 2018","Currency=USD","Period=FQ","BEST_FPERIOD_OVERRIDE=FQ","FILING_STATUS=MR","SCALING_FORMAT=MLN","Sort=A","Dates=H","DateFormat=P","Fill=—","Direction=H","UseDPDF=Y")</f>
        <v>—</v>
      </c>
      <c r="L27" s="13">
        <f>_xll.BDH("WMT US Equity","BS_DEFERRED_TAX_ASSETS_LT","FQ4 2018","FQ4 2018","Currency=USD","Period=FQ","BEST_FPERIOD_OVERRIDE=FQ","FILING_STATUS=MR","SCALING_FORMAT=MLN","Sort=A","Dates=H","DateFormat=P","Fill=—","Direction=H","UseDPDF=Y")</f>
        <v>1879</v>
      </c>
      <c r="M27" s="13" t="str">
        <f>_xll.BDH("WMT US Equity","BS_DEFERRED_TAX_ASSETS_LT","FQ1 2019","FQ1 2019","Currency=USD","Period=FQ","BEST_FPERIOD_OVERRIDE=FQ","FILING_STATUS=MR","SCALING_FORMAT=MLN","Sort=A","Dates=H","DateFormat=P","Fill=—","Direction=H","UseDPDF=Y")</f>
        <v>—</v>
      </c>
      <c r="N27" s="13" t="str">
        <f>_xll.BDH("WMT US Equity","BS_DEFERRED_TAX_ASSETS_LT","FQ2 2019","FQ2 2019","Currency=USD","Period=FQ","BEST_FPERIOD_OVERRIDE=FQ","FILING_STATUS=MR","SCALING_FORMAT=MLN","Sort=A","Dates=H","DateFormat=P","Fill=—","Direction=H","UseDPDF=Y")</f>
        <v>—</v>
      </c>
      <c r="O27" s="13" t="str">
        <f>_xll.BDH("WMT US Equity","BS_DEFERRED_TAX_ASSETS_LT","FQ3 2019","FQ3 2019","Currency=USD","Period=FQ","BEST_FPERIOD_OVERRIDE=FQ","FILING_STATUS=MR","SCALING_FORMAT=MLN","Sort=A","Dates=H","DateFormat=P","Fill=—","Direction=H","UseDPDF=Y")</f>
        <v>—</v>
      </c>
      <c r="P27" s="13">
        <f>_xll.BDH("WMT US Equity","BS_DEFERRED_TAX_ASSETS_LT","FQ4 2019","FQ4 2019","Currency=USD","Period=FQ","BEST_FPERIOD_OVERRIDE=FQ","FILING_STATUS=MR","SCALING_FORMAT=MLN","Sort=A","Dates=H","DateFormat=P","Fill=—","Direction=H","UseDPDF=Y")</f>
        <v>1796</v>
      </c>
      <c r="Q27" s="13" t="str">
        <f>_xll.BDH("WMT US Equity","BS_DEFERRED_TAX_ASSETS_LT","FQ1 2020","FQ1 2020","Currency=USD","Period=FQ","BEST_FPERIOD_OVERRIDE=FQ","FILING_STATUS=MR","SCALING_FORMAT=MLN","Sort=A","Dates=H","DateFormat=P","Fill=—","Direction=H","UseDPDF=Y")</f>
        <v>—</v>
      </c>
      <c r="R27" s="13" t="str">
        <f>_xll.BDH("WMT US Equity","BS_DEFERRED_TAX_ASSETS_LT","FQ2 2020","FQ2 2020","Currency=USD","Period=FQ","BEST_FPERIOD_OVERRIDE=FQ","FILING_STATUS=MR","SCALING_FORMAT=MLN","Sort=A","Dates=H","DateFormat=P","Fill=—","Direction=H","UseDPDF=Y")</f>
        <v>—</v>
      </c>
      <c r="S27" s="13" t="str">
        <f>_xll.BDH("WMT US Equity","BS_DEFERRED_TAX_ASSETS_LT","FQ3 2020","FQ3 2020","Currency=USD","Period=FQ","BEST_FPERIOD_OVERRIDE=FQ","FILING_STATUS=MR","SCALING_FORMAT=MLN","Sort=A","Dates=H","DateFormat=P","Fill=—","Direction=H","UseDPDF=Y")</f>
        <v>—</v>
      </c>
      <c r="T27" s="13">
        <f>_xll.BDH("WMT US Equity","BS_DEFERRED_TAX_ASSETS_LT","FQ4 2020","FQ4 2020","Currency=USD","Period=FQ","BEST_FPERIOD_OVERRIDE=FQ","FILING_STATUS=MR","SCALING_FORMAT=MLN","Sort=A","Dates=H","DateFormat=P","Fill=—","Direction=H","UseDPDF=Y")</f>
        <v>1914</v>
      </c>
      <c r="U27" s="13" t="str">
        <f>_xll.BDH("WMT US Equity","BS_DEFERRED_TAX_ASSETS_LT","FQ1 2021","FQ1 2021","Currency=USD","Period=FQ","BEST_FPERIOD_OVERRIDE=FQ","FILING_STATUS=MR","SCALING_FORMAT=MLN","Sort=A","Dates=H","DateFormat=P","Fill=—","Direction=H","UseDPDF=Y")</f>
        <v>—</v>
      </c>
      <c r="V27" s="13" t="str">
        <f>_xll.BDH("WMT US Equity","BS_DEFERRED_TAX_ASSETS_LT","FQ2 2021","FQ2 2021","Currency=USD","Period=FQ","BEST_FPERIOD_OVERRIDE=FQ","FILING_STATUS=MR","SCALING_FORMAT=MLN","Sort=A","Dates=H","DateFormat=P","Fill=—","Direction=H","UseDPDF=Y")</f>
        <v>—</v>
      </c>
      <c r="W27" s="13" t="str">
        <f>_xll.BDH("WMT US Equity","BS_DEFERRED_TAX_ASSETS_LT","FQ3 2021","FQ3 2021","Currency=USD","Period=FQ","BEST_FPERIOD_OVERRIDE=FQ","FILING_STATUS=MR","SCALING_FORMAT=MLN","Sort=A","Dates=H","DateFormat=P","Fill=—","Direction=H","UseDPDF=Y")</f>
        <v>—</v>
      </c>
      <c r="X27" s="13">
        <f>_xll.BDH("WMT US Equity","BS_DEFERRED_TAX_ASSETS_LT","FQ4 2021","FQ4 2021","Currency=USD","Period=FQ","BEST_FPERIOD_OVERRIDE=FQ","FILING_STATUS=MR","SCALING_FORMAT=MLN","Sort=A","Dates=H","DateFormat=P","Fill=—","Direction=H","UseDPDF=Y")</f>
        <v>1836</v>
      </c>
      <c r="Y27" s="13" t="str">
        <f>_xll.BDH("WMT US Equity","BS_DEFERRED_TAX_ASSETS_LT","FQ1 2022","FQ1 2022","Currency=USD","Period=FQ","BEST_FPERIOD_OVERRIDE=FQ","FILING_STATUS=MR","SCALING_FORMAT=MLN","Sort=A","Dates=H","DateFormat=P","Fill=—","Direction=H","UseDPDF=Y")</f>
        <v>—</v>
      </c>
      <c r="Z27" s="13" t="str">
        <f>_xll.BDH("WMT US Equity","BS_DEFERRED_TAX_ASSETS_LT","FQ2 2022","FQ2 2022","Currency=USD","Period=FQ","BEST_FPERIOD_OVERRIDE=FQ","FILING_STATUS=MR","SCALING_FORMAT=MLN","Sort=A","Dates=H","DateFormat=P","Fill=—","Direction=H","UseDPDF=Y")</f>
        <v>—</v>
      </c>
      <c r="AA27" s="13" t="str">
        <f>_xll.BDH("WMT US Equity","BS_DEFERRED_TAX_ASSETS_LT","FQ3 2022","FQ3 2022","Currency=USD","Period=FQ","BEST_FPERIOD_OVERRIDE=FQ","FILING_STATUS=MR","SCALING_FORMAT=MLN","Sort=A","Dates=H","DateFormat=P","Fill=—","Direction=H","UseDPDF=Y")</f>
        <v>—</v>
      </c>
      <c r="AB27" s="13">
        <f>_xll.BDH("WMT US Equity","BS_DEFERRED_TAX_ASSETS_LT","FQ4 2022","FQ4 2022","Currency=USD","Period=FQ","BEST_FPERIOD_OVERRIDE=FQ","FILING_STATUS=MR","SCALING_FORMAT=MLN","Sort=A","Dates=H","DateFormat=P","Fill=—","Direction=H","UseDPDF=Y")</f>
        <v>1473</v>
      </c>
      <c r="AC27" s="13" t="str">
        <f>_xll.BDH("WMT US Equity","BS_DEFERRED_TAX_ASSETS_LT","FQ1 2023","FQ1 2023","Currency=USD","Period=FQ","BEST_FPERIOD_OVERRIDE=FQ","FILING_STATUS=MR","SCALING_FORMAT=MLN","Sort=A","Dates=H","DateFormat=P","Fill=—","Direction=H","UseDPDF=Y")</f>
        <v>—</v>
      </c>
      <c r="AD27" s="13" t="str">
        <f>_xll.BDH("WMT US Equity","BS_DEFERRED_TAX_ASSETS_LT","FQ2 2023","FQ2 2023","Currency=USD","Period=FQ","BEST_FPERIOD_OVERRIDE=FQ","FILING_STATUS=MR","SCALING_FORMAT=MLN","Sort=A","Dates=H","DateFormat=P","Fill=—","Direction=H","UseDPDF=Y")</f>
        <v>—</v>
      </c>
      <c r="AE27" s="13" t="str">
        <f>_xll.BDH("WMT US Equity","BS_DEFERRED_TAX_ASSETS_LT","FQ3 2023","FQ3 2023","Currency=USD","Period=FQ","BEST_FPERIOD_OVERRIDE=FQ","FILING_STATUS=MR","SCALING_FORMAT=MLN","Sort=A","Dates=H","DateFormat=P","Fill=—","Direction=H","UseDPDF=Y")</f>
        <v>—</v>
      </c>
      <c r="AF27" s="13">
        <f>_xll.BDH("WMT US Equity","BS_DEFERRED_TAX_ASSETS_LT","FQ4 2023","FQ4 2023","Currency=USD","Period=FQ","BEST_FPERIOD_OVERRIDE=FQ","FILING_STATUS=MR","SCALING_FORMAT=MLN","Sort=A","Dates=H","DateFormat=P","Fill=—","Direction=H","UseDPDF=Y")</f>
        <v>1503</v>
      </c>
      <c r="AG27" s="13" t="str">
        <f>_xll.BDH("WMT US Equity","BS_DEFERRED_TAX_ASSETS_LT","FQ1 2024","FQ1 2024","Currency=USD","Period=FQ","BEST_FPERIOD_OVERRIDE=FQ","FILING_STATUS=MR","SCALING_FORMAT=MLN","Sort=A","Dates=H","DateFormat=P","Fill=—","Direction=H","UseDPDF=Y")</f>
        <v>—</v>
      </c>
      <c r="AH27" s="13" t="str">
        <f>_xll.BDH("WMT US Equity","BS_DEFERRED_TAX_ASSETS_LT","FQ2 2024","FQ2 2024","Currency=USD","Period=FQ","BEST_FPERIOD_OVERRIDE=FQ","FILING_STATUS=MR","SCALING_FORMAT=MLN","Sort=A","Dates=H","DateFormat=P","Fill=—","Direction=H","UseDPDF=Y")</f>
        <v>—</v>
      </c>
      <c r="AI27" s="13" t="str">
        <f>_xll.BDH("WMT US Equity","BS_DEFERRED_TAX_ASSETS_LT","FQ3 2024","FQ3 2024","Currency=USD","Period=FQ","BEST_FPERIOD_OVERRIDE=FQ","FILING_STATUS=MR","SCALING_FORMAT=MLN","Sort=A","Dates=H","DateFormat=P","Fill=—","Direction=H","UseDPDF=Y")</f>
        <v>—</v>
      </c>
      <c r="AJ27" s="13">
        <f>_xll.BDH("WMT US Equity","BS_DEFERRED_TAX_ASSETS_LT","FQ4 2024","FQ4 2024","Currency=USD","Period=FQ","BEST_FPERIOD_OVERRIDE=FQ","FILING_STATUS=MR","SCALING_FORMAT=MLN","Sort=A","Dates=H","DateFormat=P","Fill=—","Direction=H","UseDPDF=Y")</f>
        <v>1663</v>
      </c>
      <c r="AK27" s="13" t="str">
        <f>_xll.BDH("WMT US Equity","BS_DEFERRED_TAX_ASSETS_LT","FQ1 2025","FQ1 2025","Currency=USD","Period=FQ","BEST_FPERIOD_OVERRIDE=FQ","FILING_STATUS=MR","SCALING_FORMAT=MLN","Sort=A","Dates=H","DateFormat=P","Fill=—","Direction=H","UseDPDF=Y")</f>
        <v>—</v>
      </c>
      <c r="AL27" s="13" t="str">
        <f>_xll.BDH("WMT US Equity","BS_DEFERRED_TAX_ASSETS_LT","FQ2 2025","FQ2 2025","Currency=USD","Period=FQ","BEST_FPERIOD_OVERRIDE=FQ","FILING_STATUS=MR","SCALING_FORMAT=MLN","Sort=A","Dates=H","DateFormat=P","Fill=—","Direction=H","UseDPDF=Y")</f>
        <v>—</v>
      </c>
      <c r="AM27" s="13" t="str">
        <f>_xll.BDH("WMT US Equity","BS_DEFERRED_TAX_ASSETS_LT","FQ3 2025","FQ3 2025","Currency=USD","Period=FQ","BEST_FPERIOD_OVERRIDE=FQ","FILING_STATUS=MR","SCALING_FORMAT=MLN","Sort=A","Dates=H","DateFormat=P","Fill=—","Direction=H","UseDPDF=Y")</f>
        <v>—</v>
      </c>
      <c r="AN27" s="13">
        <f>_xll.BDH("WMT US Equity","BS_DEFERRED_TAX_ASSETS_LT","FQ4 2025","FQ4 2025","Currency=USD","Period=FQ","BEST_FPERIOD_OVERRIDE=FQ","FILING_STATUS=MR","SCALING_FORMAT=MLN","Sort=A","Dates=H","DateFormat=P","Fill=—","Direction=H","UseDPDF=Y")</f>
        <v>1748</v>
      </c>
      <c r="AO27" s="13" t="str">
        <f>_xll.BDH("WMT US Equity","BS_DEFERRED_TAX_ASSETS_LT","FQ1 2026","FQ1 2026","Currency=USD","Period=FQ","BEST_FPERIOD_OVERRIDE=FQ","FILING_STATUS=MR","SCALING_FORMAT=MLN","Sort=A","Dates=H","DateFormat=P","Fill=—","Direction=H","UseDPDF=Y")</f>
        <v>—</v>
      </c>
      <c r="AP27" s="13" t="str">
        <f>_xll.BDH("WMT US Equity","BS_DEFERRED_TAX_ASSETS_LT","FQ2 2026","FQ2 2026","Currency=USD","Period=FQ","BEST_FPERIOD_OVERRIDE=FQ","FILING_STATUS=MR","SCALING_FORMAT=MLN","Sort=A","Dates=H","DateFormat=P","Fill=—","Direction=H","UseDPDF=Y")</f>
        <v>—</v>
      </c>
    </row>
    <row r="28" spans="1:42" x14ac:dyDescent="0.3">
      <c r="A28" s="10" t="s">
        <v>198</v>
      </c>
      <c r="B28" s="10" t="s">
        <v>107</v>
      </c>
      <c r="C28" s="13">
        <f>_xll.BDH("WMT US Equity","BS_DERIV_HEDGING_ASST_LT","FQ3 2016","FQ3 2016","Currency=USD","Period=FQ","BEST_FPERIOD_OVERRIDE=FQ","FILING_STATUS=MR","SCALING_FORMAT=MLN","Sort=A","Dates=H","DateFormat=P","Fill=—","Direction=H","UseDPDF=Y")</f>
        <v>575</v>
      </c>
      <c r="D28" s="13">
        <f>_xll.BDH("WMT US Equity","BS_DERIV_HEDGING_ASST_LT","FQ4 2016","FQ4 2016","Currency=USD","Period=FQ","BEST_FPERIOD_OVERRIDE=FQ","FILING_STATUS=MR","SCALING_FORMAT=MLN","Sort=A","Dates=H","DateFormat=P","Fill=—","Direction=H","UseDPDF=Y")</f>
        <v>621</v>
      </c>
      <c r="E28" s="13">
        <f>_xll.BDH("WMT US Equity","BS_DERIV_HEDGING_ASST_LT","FQ1 2017","FQ1 2017","Currency=USD","Period=FQ","BEST_FPERIOD_OVERRIDE=FQ","FILING_STATUS=MR","SCALING_FORMAT=MLN","Sort=A","Dates=H","DateFormat=P","Fill=—","Direction=H","UseDPDF=Y")</f>
        <v>648</v>
      </c>
      <c r="F28" s="13">
        <f>_xll.BDH("WMT US Equity","BS_DERIV_HEDGING_ASST_LT","FQ2 2017","FQ2 2017","Currency=USD","Period=FQ","BEST_FPERIOD_OVERRIDE=FQ","FILING_STATUS=MR","SCALING_FORMAT=MLN","Sort=A","Dates=H","DateFormat=P","Fill=—","Direction=H","UseDPDF=Y")</f>
        <v>717</v>
      </c>
      <c r="G28" s="13">
        <f>_xll.BDH("WMT US Equity","BS_DERIV_HEDGING_ASST_LT","FQ3 2017","FQ3 2017","Currency=USD","Period=FQ","BEST_FPERIOD_OVERRIDE=FQ","FILING_STATUS=MR","SCALING_FORMAT=MLN","Sort=A","Dates=H","DateFormat=P","Fill=—","Direction=H","UseDPDF=Y")</f>
        <v>704</v>
      </c>
      <c r="H28" s="13">
        <f>_xll.BDH("WMT US Equity","BS_DERIV_HEDGING_ASST_LT","FQ4 2017","FQ4 2017","Currency=USD","Period=FQ","BEST_FPERIOD_OVERRIDE=FQ","FILING_STATUS=MR","SCALING_FORMAT=MLN","Sort=A","Dates=H","DateFormat=P","Fill=—","Direction=H","UseDPDF=Y")</f>
        <v>479</v>
      </c>
      <c r="I28" s="13">
        <f>_xll.BDH("WMT US Equity","BS_DERIV_HEDGING_ASST_LT","FQ1 2018","FQ1 2018","Currency=USD","Period=FQ","BEST_FPERIOD_OVERRIDE=FQ","FILING_STATUS=MR","SCALING_FORMAT=MLN","Sort=A","Dates=H","DateFormat=P","Fill=—","Direction=H","UseDPDF=Y")</f>
        <v>499</v>
      </c>
      <c r="J28" s="13">
        <f>_xll.BDH("WMT US Equity","BS_DERIV_HEDGING_ASST_LT","FQ2 2018","FQ2 2018","Currency=USD","Period=FQ","BEST_FPERIOD_OVERRIDE=FQ","FILING_STATUS=MR","SCALING_FORMAT=MLN","Sort=A","Dates=H","DateFormat=P","Fill=—","Direction=H","UseDPDF=Y")</f>
        <v>499</v>
      </c>
      <c r="K28" s="13">
        <f>_xll.BDH("WMT US Equity","BS_DERIV_HEDGING_ASST_LT","FQ3 2018","FQ3 2018","Currency=USD","Period=FQ","BEST_FPERIOD_OVERRIDE=FQ","FILING_STATUS=MR","SCALING_FORMAT=MLN","Sort=A","Dates=H","DateFormat=P","Fill=—","Direction=H","UseDPDF=Y")</f>
        <v>492</v>
      </c>
      <c r="L28" s="13">
        <f>_xll.BDH("WMT US Equity","BS_DERIV_HEDGING_ASST_LT","FQ4 2018","FQ4 2018","Currency=USD","Period=FQ","BEST_FPERIOD_OVERRIDE=FQ","FILING_STATUS=MR","SCALING_FORMAT=MLN","Sort=A","Dates=H","DateFormat=P","Fill=—","Direction=H","UseDPDF=Y")</f>
        <v>508</v>
      </c>
      <c r="M28" s="13">
        <f>_xll.BDH("WMT US Equity","BS_DERIV_HEDGING_ASST_LT","FQ1 2019","FQ1 2019","Currency=USD","Period=FQ","BEST_FPERIOD_OVERRIDE=FQ","FILING_STATUS=MR","SCALING_FORMAT=MLN","Sort=A","Dates=H","DateFormat=P","Fill=—","Direction=H","UseDPDF=Y")</f>
        <v>469</v>
      </c>
      <c r="N28" s="13">
        <f>_xll.BDH("WMT US Equity","BS_DERIV_HEDGING_ASST_LT","FQ2 2019","FQ2 2019","Currency=USD","Period=FQ","BEST_FPERIOD_OVERRIDE=FQ","FILING_STATUS=MR","SCALING_FORMAT=MLN","Sort=A","Dates=H","DateFormat=P","Fill=—","Direction=H","UseDPDF=Y")</f>
        <v>439</v>
      </c>
      <c r="O28" s="13">
        <f>_xll.BDH("WMT US Equity","BS_DERIV_HEDGING_ASST_LT","FQ3 2019","FQ3 2019","Currency=USD","Period=FQ","BEST_FPERIOD_OVERRIDE=FQ","FILING_STATUS=MR","SCALING_FORMAT=MLN","Sort=A","Dates=H","DateFormat=P","Fill=—","Direction=H","UseDPDF=Y")</f>
        <v>426</v>
      </c>
      <c r="P28" s="13">
        <f>_xll.BDH("WMT US Equity","BS_DERIV_HEDGING_ASST_LT","FQ4 2019","FQ4 2019","Currency=USD","Period=FQ","BEST_FPERIOD_OVERRIDE=FQ","FILING_STATUS=MR","SCALING_FORMAT=MLN","Sort=A","Dates=H","DateFormat=P","Fill=—","Direction=H","UseDPDF=Y")</f>
        <v>412</v>
      </c>
      <c r="Q28" s="13">
        <f>_xll.BDH("WMT US Equity","BS_DERIV_HEDGING_ASST_LT","FQ1 2020","FQ1 2020","Currency=USD","Period=FQ","BEST_FPERIOD_OVERRIDE=FQ","FILING_STATUS=MR","SCALING_FORMAT=MLN","Sort=A","Dates=H","DateFormat=P","Fill=—","Direction=H","UseDPDF=Y")</f>
        <v>433</v>
      </c>
      <c r="R28" s="13">
        <f>_xll.BDH("WMT US Equity","BS_DERIV_HEDGING_ASST_LT","FQ2 2020","FQ2 2020","Currency=USD","Period=FQ","BEST_FPERIOD_OVERRIDE=FQ","FILING_STATUS=MR","SCALING_FORMAT=MLN","Sort=A","Dates=H","DateFormat=P","Fill=—","Direction=H","UseDPDF=Y")</f>
        <v>506</v>
      </c>
      <c r="S28" s="13">
        <f>_xll.BDH("WMT US Equity","BS_DERIV_HEDGING_ASST_LT","FQ3 2020","FQ3 2020","Currency=USD","Period=FQ","BEST_FPERIOD_OVERRIDE=FQ","FILING_STATUS=MR","SCALING_FORMAT=MLN","Sort=A","Dates=H","DateFormat=P","Fill=—","Direction=H","UseDPDF=Y")</f>
        <v>507</v>
      </c>
      <c r="T28" s="13" t="str">
        <f>_xll.BDH("WMT US Equity","BS_DERIV_HEDGING_ASST_LT","FQ4 2020","FQ4 2020","Currency=USD","Period=FQ","BEST_FPERIOD_OVERRIDE=FQ","FILING_STATUS=MR","SCALING_FORMAT=MLN","Sort=A","Dates=H","DateFormat=P","Fill=—","Direction=H","UseDPDF=Y")</f>
        <v>—</v>
      </c>
      <c r="U28" s="13" t="str">
        <f>_xll.BDH("WMT US Equity","BS_DERIV_HEDGING_ASST_LT","FQ1 2021","FQ1 2021","Currency=USD","Period=FQ","BEST_FPERIOD_OVERRIDE=FQ","FILING_STATUS=MR","SCALING_FORMAT=MLN","Sort=A","Dates=H","DateFormat=P","Fill=—","Direction=H","UseDPDF=Y")</f>
        <v>—</v>
      </c>
      <c r="V28" s="13" t="str">
        <f>_xll.BDH("WMT US Equity","BS_DERIV_HEDGING_ASST_LT","FQ2 2021","FQ2 2021","Currency=USD","Period=FQ","BEST_FPERIOD_OVERRIDE=FQ","FILING_STATUS=MR","SCALING_FORMAT=MLN","Sort=A","Dates=H","DateFormat=P","Fill=—","Direction=H","UseDPDF=Y")</f>
        <v>—</v>
      </c>
      <c r="W28" s="13" t="str">
        <f>_xll.BDH("WMT US Equity","BS_DERIV_HEDGING_ASST_LT","FQ3 2021","FQ3 2021","Currency=USD","Period=FQ","BEST_FPERIOD_OVERRIDE=FQ","FILING_STATUS=MR","SCALING_FORMAT=MLN","Sort=A","Dates=H","DateFormat=P","Fill=—","Direction=H","UseDPDF=Y")</f>
        <v>—</v>
      </c>
      <c r="X28" s="13">
        <f>_xll.BDH("WMT US Equity","BS_DERIV_HEDGING_ASST_LT","FQ4 2021","FQ4 2021","Currency=USD","Period=FQ","BEST_FPERIOD_OVERRIDE=FQ","FILING_STATUS=MR","SCALING_FORMAT=MLN","Sort=A","Dates=H","DateFormat=P","Fill=—","Direction=H","UseDPDF=Y")</f>
        <v>9573</v>
      </c>
      <c r="Y28" s="13" t="str">
        <f>_xll.BDH("WMT US Equity","BS_DERIV_HEDGING_ASST_LT","FQ1 2022","FQ1 2022","Currency=USD","Period=FQ","BEST_FPERIOD_OVERRIDE=FQ","FILING_STATUS=MR","SCALING_FORMAT=MLN","Sort=A","Dates=H","DateFormat=P","Fill=—","Direction=H","UseDPDF=Y")</f>
        <v>—</v>
      </c>
      <c r="Z28" s="13" t="str">
        <f>_xll.BDH("WMT US Equity","BS_DERIV_HEDGING_ASST_LT","FQ2 2022","FQ2 2022","Currency=USD","Period=FQ","BEST_FPERIOD_OVERRIDE=FQ","FILING_STATUS=MR","SCALING_FORMAT=MLN","Sort=A","Dates=H","DateFormat=P","Fill=—","Direction=H","UseDPDF=Y")</f>
        <v>—</v>
      </c>
      <c r="AA28" s="13" t="str">
        <f>_xll.BDH("WMT US Equity","BS_DERIV_HEDGING_ASST_LT","FQ3 2022","FQ3 2022","Currency=USD","Period=FQ","BEST_FPERIOD_OVERRIDE=FQ","FILING_STATUS=MR","SCALING_FORMAT=MLN","Sort=A","Dates=H","DateFormat=P","Fill=—","Direction=H","UseDPDF=Y")</f>
        <v>—</v>
      </c>
      <c r="AB28" s="13">
        <f>_xll.BDH("WMT US Equity","BS_DERIV_HEDGING_ASST_LT","FQ4 2022","FQ4 2022","Currency=USD","Period=FQ","BEST_FPERIOD_OVERRIDE=FQ","FILING_STATUS=MR","SCALING_FORMAT=MLN","Sort=A","Dates=H","DateFormat=P","Fill=—","Direction=H","UseDPDF=Y")</f>
        <v>15876</v>
      </c>
      <c r="AC28" s="13" t="str">
        <f>_xll.BDH("WMT US Equity","BS_DERIV_HEDGING_ASST_LT","FQ1 2023","FQ1 2023","Currency=USD","Period=FQ","BEST_FPERIOD_OVERRIDE=FQ","FILING_STATUS=MR","SCALING_FORMAT=MLN","Sort=A","Dates=H","DateFormat=P","Fill=—","Direction=H","UseDPDF=Y")</f>
        <v>—</v>
      </c>
      <c r="AD28" s="13" t="str">
        <f>_xll.BDH("WMT US Equity","BS_DERIV_HEDGING_ASST_LT","FQ2 2023","FQ2 2023","Currency=USD","Period=FQ","BEST_FPERIOD_OVERRIDE=FQ","FILING_STATUS=MR","SCALING_FORMAT=MLN","Sort=A","Dates=H","DateFormat=P","Fill=—","Direction=H","UseDPDF=Y")</f>
        <v>—</v>
      </c>
      <c r="AE28" s="13" t="str">
        <f>_xll.BDH("WMT US Equity","BS_DERIV_HEDGING_ASST_LT","FQ3 2023","FQ3 2023","Currency=USD","Period=FQ","BEST_FPERIOD_OVERRIDE=FQ","FILING_STATUS=MR","SCALING_FORMAT=MLN","Sort=A","Dates=H","DateFormat=P","Fill=—","Direction=H","UseDPDF=Y")</f>
        <v>—</v>
      </c>
      <c r="AF28" s="13">
        <f>_xll.BDH("WMT US Equity","BS_DERIV_HEDGING_ASST_LT","FQ4 2023","FQ4 2023","Currency=USD","Period=FQ","BEST_FPERIOD_OVERRIDE=FQ","FILING_STATUS=MR","SCALING_FORMAT=MLN","Sort=A","Dates=H","DateFormat=P","Fill=—","Direction=H","UseDPDF=Y")</f>
        <v>13921</v>
      </c>
      <c r="AG28" s="13" t="str">
        <f>_xll.BDH("WMT US Equity","BS_DERIV_HEDGING_ASST_LT","FQ1 2024","FQ1 2024","Currency=USD","Period=FQ","BEST_FPERIOD_OVERRIDE=FQ","FILING_STATUS=MR","SCALING_FORMAT=MLN","Sort=A","Dates=H","DateFormat=P","Fill=—","Direction=H","UseDPDF=Y")</f>
        <v>—</v>
      </c>
      <c r="AH28" s="13" t="str">
        <f>_xll.BDH("WMT US Equity","BS_DERIV_HEDGING_ASST_LT","FQ2 2024","FQ2 2024","Currency=USD","Period=FQ","BEST_FPERIOD_OVERRIDE=FQ","FILING_STATUS=MR","SCALING_FORMAT=MLN","Sort=A","Dates=H","DateFormat=P","Fill=—","Direction=H","UseDPDF=Y")</f>
        <v>—</v>
      </c>
      <c r="AI28" s="13" t="str">
        <f>_xll.BDH("WMT US Equity","BS_DERIV_HEDGING_ASST_LT","FQ3 2024","FQ3 2024","Currency=USD","Period=FQ","BEST_FPERIOD_OVERRIDE=FQ","FILING_STATUS=MR","SCALING_FORMAT=MLN","Sort=A","Dates=H","DateFormat=P","Fill=—","Direction=H","UseDPDF=Y")</f>
        <v>—</v>
      </c>
      <c r="AJ28" s="13">
        <f>_xll.BDH("WMT US Equity","BS_DERIV_HEDGING_ASST_LT","FQ4 2024","FQ4 2024","Currency=USD","Period=FQ","BEST_FPERIOD_OVERRIDE=FQ","FILING_STATUS=MR","SCALING_FORMAT=MLN","Sort=A","Dates=H","DateFormat=P","Fill=—","Direction=H","UseDPDF=Y")</f>
        <v>11308</v>
      </c>
      <c r="AK28" s="13">
        <f>_xll.BDH("WMT US Equity","BS_DERIV_HEDGING_ASST_LT","FQ1 2025","FQ1 2025","Currency=USD","Period=FQ","BEST_FPERIOD_OVERRIDE=FQ","FILING_STATUS=MR","SCALING_FORMAT=MLN","Sort=A","Dates=H","DateFormat=P","Fill=—","Direction=H","UseDPDF=Y")</f>
        <v>10555</v>
      </c>
      <c r="AL28" s="13">
        <f>_xll.BDH("WMT US Equity","BS_DERIV_HEDGING_ASST_LT","FQ2 2025","FQ2 2025","Currency=USD","Period=FQ","BEST_FPERIOD_OVERRIDE=FQ","FILING_STATUS=MR","SCALING_FORMAT=MLN","Sort=A","Dates=H","DateFormat=P","Fill=—","Direction=H","UseDPDF=Y")</f>
        <v>10397</v>
      </c>
      <c r="AM28" s="13" t="str">
        <f>_xll.BDH("WMT US Equity","BS_DERIV_HEDGING_ASST_LT","FQ3 2025","FQ3 2025","Currency=USD","Period=FQ","BEST_FPERIOD_OVERRIDE=FQ","FILING_STATUS=MR","SCALING_FORMAT=MLN","Sort=A","Dates=H","DateFormat=P","Fill=—","Direction=H","UseDPDF=Y")</f>
        <v>—</v>
      </c>
      <c r="AN28" s="13">
        <f>_xll.BDH("WMT US Equity","BS_DERIV_HEDGING_ASST_LT","FQ4 2025","FQ4 2025","Currency=USD","Period=FQ","BEST_FPERIOD_OVERRIDE=FQ","FILING_STATUS=MR","SCALING_FORMAT=MLN","Sort=A","Dates=H","DateFormat=P","Fill=—","Direction=H","UseDPDF=Y")</f>
        <v>6621</v>
      </c>
      <c r="AO28" s="13">
        <f>_xll.BDH("WMT US Equity","BS_DERIV_HEDGING_ASST_LT","FQ1 2026","FQ1 2026","Currency=USD","Period=FQ","BEST_FPERIOD_OVERRIDE=FQ","FILING_STATUS=MR","SCALING_FORMAT=MLN","Sort=A","Dates=H","DateFormat=P","Fill=—","Direction=H","UseDPDF=Y")</f>
        <v>10674</v>
      </c>
      <c r="AP28" s="13">
        <f>_xll.BDH("WMT US Equity","BS_DERIV_HEDGING_ASST_LT","FQ2 2026","FQ2 2026","Currency=USD","Period=FQ","BEST_FPERIOD_OVERRIDE=FQ","FILING_STATUS=MR","SCALING_FORMAT=MLN","Sort=A","Dates=H","DateFormat=P","Fill=—","Direction=H","UseDPDF=Y")</f>
        <v>10611</v>
      </c>
    </row>
    <row r="29" spans="1:42" x14ac:dyDescent="0.3">
      <c r="A29" s="10" t="s">
        <v>208</v>
      </c>
      <c r="B29" s="10" t="s">
        <v>108</v>
      </c>
      <c r="C29" s="13">
        <f>_xll.BDH("WMT US Equity","OTHER_NONCURRENT_ASSETS_DETAILED","FQ3 2016","FQ3 2016","Currency=USD","Period=FQ","BEST_FPERIOD_OVERRIDE=FQ","FILING_STATUS=MR","SCALING_FORMAT=MLN","Sort=A","Dates=H","DateFormat=P","Fill=—","Direction=H","UseDPDF=Y")</f>
        <v>5450</v>
      </c>
      <c r="D29" s="13">
        <f>_xll.BDH("WMT US Equity","OTHER_NONCURRENT_ASSETS_DETAILED","FQ4 2016","FQ4 2016","Currency=USD","Period=FQ","BEST_FPERIOD_OVERRIDE=FQ","FILING_STATUS=MR","SCALING_FORMAT=MLN","Sort=A","Dates=H","DateFormat=P","Fill=—","Direction=H","UseDPDF=Y")</f>
        <v>4006</v>
      </c>
      <c r="E29" s="13">
        <f>_xll.BDH("WMT US Equity","OTHER_NONCURRENT_ASSETS_DETAILED","FQ1 2017","FQ1 2017","Currency=USD","Period=FQ","BEST_FPERIOD_OVERRIDE=FQ","FILING_STATUS=MR","SCALING_FORMAT=MLN","Sort=A","Dates=H","DateFormat=P","Fill=—","Direction=H","UseDPDF=Y")</f>
        <v>5715</v>
      </c>
      <c r="F29" s="13">
        <f>_xll.BDH("WMT US Equity","OTHER_NONCURRENT_ASSETS_DETAILED","FQ2 2017","FQ2 2017","Currency=USD","Period=FQ","BEST_FPERIOD_OVERRIDE=FQ","FILING_STATUS=MR","SCALING_FORMAT=MLN","Sort=A","Dates=H","DateFormat=P","Fill=—","Direction=H","UseDPDF=Y")</f>
        <v>7188</v>
      </c>
      <c r="G29" s="13">
        <f>_xll.BDH("WMT US Equity","OTHER_NONCURRENT_ASSETS_DETAILED","FQ3 2017","FQ3 2017","Currency=USD","Period=FQ","BEST_FPERIOD_OVERRIDE=FQ","FILING_STATUS=MR","SCALING_FORMAT=MLN","Sort=A","Dates=H","DateFormat=P","Fill=—","Direction=H","UseDPDF=Y")</f>
        <v>9872</v>
      </c>
      <c r="H29" s="13">
        <f>_xll.BDH("WMT US Equity","OTHER_NONCURRENT_ASSETS_DETAILED","FQ4 2017","FQ4 2017","Currency=USD","Period=FQ","BEST_FPERIOD_OVERRIDE=FQ","FILING_STATUS=MR","SCALING_FORMAT=MLN","Sort=A","Dates=H","DateFormat=P","Fill=—","Direction=H","UseDPDF=Y")</f>
        <v>7877</v>
      </c>
      <c r="I29" s="13">
        <f>_xll.BDH("WMT US Equity","OTHER_NONCURRENT_ASSETS_DETAILED","FQ1 2018","FQ1 2018","Currency=USD","Period=FQ","BEST_FPERIOD_OVERRIDE=FQ","FILING_STATUS=MR","SCALING_FORMAT=MLN","Sort=A","Dates=H","DateFormat=P","Fill=—","Direction=H","UseDPDF=Y")</f>
        <v>10139</v>
      </c>
      <c r="J29" s="13">
        <f>_xll.BDH("WMT US Equity","OTHER_NONCURRENT_ASSETS_DETAILED","FQ2 2018","FQ2 2018","Currency=USD","Period=FQ","BEST_FPERIOD_OVERRIDE=FQ","FILING_STATUS=MR","SCALING_FORMAT=MLN","Sort=A","Dates=H","DateFormat=P","Fill=—","Direction=H","UseDPDF=Y")</f>
        <v>10914</v>
      </c>
      <c r="K29" s="13">
        <f>_xll.BDH("WMT US Equity","OTHER_NONCURRENT_ASSETS_DETAILED","FQ3 2018","FQ3 2018","Currency=USD","Period=FQ","BEST_FPERIOD_OVERRIDE=FQ","FILING_STATUS=MR","SCALING_FORMAT=MLN","Sort=A","Dates=H","DateFormat=P","Fill=—","Direction=H","UseDPDF=Y")</f>
        <v>10051</v>
      </c>
      <c r="L29" s="13">
        <f>_xll.BDH("WMT US Equity","OTHER_NONCURRENT_ASSETS_DETAILED","FQ4 2018","FQ4 2018","Currency=USD","Period=FQ","BEST_FPERIOD_OVERRIDE=FQ","FILING_STATUS=MR","SCALING_FORMAT=MLN","Sort=A","Dates=H","DateFormat=P","Fill=—","Direction=H","UseDPDF=Y")</f>
        <v>9411</v>
      </c>
      <c r="M29" s="13">
        <f>_xll.BDH("WMT US Equity","OTHER_NONCURRENT_ASSETS_DETAILED","FQ1 2019","FQ1 2019","Currency=USD","Period=FQ","BEST_FPERIOD_OVERRIDE=FQ","FILING_STATUS=MR","SCALING_FORMAT=MLN","Sort=A","Dates=H","DateFormat=P","Fill=—","Direction=H","UseDPDF=Y")</f>
        <v>11566</v>
      </c>
      <c r="N29" s="13">
        <f>_xll.BDH("WMT US Equity","OTHER_NONCURRENT_ASSETS_DETAILED","FQ2 2019","FQ2 2019","Currency=USD","Period=FQ","BEST_FPERIOD_OVERRIDE=FQ","FILING_STATUS=MR","SCALING_FORMAT=MLN","Sort=A","Dates=H","DateFormat=P","Fill=—","Direction=H","UseDPDF=Y")</f>
        <v>10396</v>
      </c>
      <c r="O29" s="13">
        <f>_xll.BDH("WMT US Equity","OTHER_NONCURRENT_ASSETS_DETAILED","FQ3 2019","FQ3 2019","Currency=USD","Period=FQ","BEST_FPERIOD_OVERRIDE=FQ","FILING_STATUS=MR","SCALING_FORMAT=MLN","Sort=A","Dates=H","DateFormat=P","Fill=—","Direction=H","UseDPDF=Y")</f>
        <v>14318</v>
      </c>
      <c r="P29" s="13">
        <f>_xll.BDH("WMT US Equity","OTHER_NONCURRENT_ASSETS_DETAILED","FQ4 2019","FQ4 2019","Currency=USD","Period=FQ","BEST_FPERIOD_OVERRIDE=FQ","FILING_STATUS=MR","SCALING_FORMAT=MLN","Sort=A","Dates=H","DateFormat=P","Fill=—","Direction=H","UseDPDF=Y")</f>
        <v>12614</v>
      </c>
      <c r="Q29" s="13">
        <f>_xll.BDH("WMT US Equity","OTHER_NONCURRENT_ASSETS_DETAILED","FQ1 2020","FQ1 2020","Currency=USD","Period=FQ","BEST_FPERIOD_OVERRIDE=FQ","FILING_STATUS=MR","SCALING_FORMAT=MLN","Sort=A","Dates=H","DateFormat=P","Fill=—","Direction=H","UseDPDF=Y")</f>
        <v>15715</v>
      </c>
      <c r="R29" s="13">
        <f>_xll.BDH("WMT US Equity","OTHER_NONCURRENT_ASSETS_DETAILED","FQ2 2020","FQ2 2020","Currency=USD","Period=FQ","BEST_FPERIOD_OVERRIDE=FQ","FILING_STATUS=MR","SCALING_FORMAT=MLN","Sort=A","Dates=H","DateFormat=P","Fill=—","Direction=H","UseDPDF=Y")</f>
        <v>15668</v>
      </c>
      <c r="S29" s="13">
        <f>_xll.BDH("WMT US Equity","OTHER_NONCURRENT_ASSETS_DETAILED","FQ3 2020","FQ3 2020","Currency=USD","Period=FQ","BEST_FPERIOD_OVERRIDE=FQ","FILING_STATUS=MR","SCALING_FORMAT=MLN","Sort=A","Dates=H","DateFormat=P","Fill=—","Direction=H","UseDPDF=Y")</f>
        <v>15270</v>
      </c>
      <c r="T29" s="13">
        <f>_xll.BDH("WMT US Equity","OTHER_NONCURRENT_ASSETS_DETAILED","FQ4 2020","FQ4 2020","Currency=USD","Period=FQ","BEST_FPERIOD_OVERRIDE=FQ","FILING_STATUS=MR","SCALING_FORMAT=MLN","Sort=A","Dates=H","DateFormat=P","Fill=—","Direction=H","UseDPDF=Y")</f>
        <v>14653</v>
      </c>
      <c r="U29" s="13">
        <f>_xll.BDH("WMT US Equity","OTHER_NONCURRENT_ASSETS_DETAILED","FQ1 2021","FQ1 2021","Currency=USD","Period=FQ","BEST_FPERIOD_OVERRIDE=FQ","FILING_STATUS=MR","SCALING_FORMAT=MLN","Sort=A","Dates=H","DateFormat=P","Fill=—","Direction=H","UseDPDF=Y")</f>
        <v>16770</v>
      </c>
      <c r="V29" s="13">
        <f>_xll.BDH("WMT US Equity","OTHER_NONCURRENT_ASSETS_DETAILED","FQ2 2021","FQ2 2021","Currency=USD","Period=FQ","BEST_FPERIOD_OVERRIDE=FQ","FILING_STATUS=MR","SCALING_FORMAT=MLN","Sort=A","Dates=H","DateFormat=P","Fill=—","Direction=H","UseDPDF=Y")</f>
        <v>19950</v>
      </c>
      <c r="W29" s="13">
        <f>_xll.BDH("WMT US Equity","OTHER_NONCURRENT_ASSETS_DETAILED","FQ3 2021","FQ3 2021","Currency=USD","Period=FQ","BEST_FPERIOD_OVERRIDE=FQ","FILING_STATUS=MR","SCALING_FORMAT=MLN","Sort=A","Dates=H","DateFormat=P","Fill=—","Direction=H","UseDPDF=Y")</f>
        <v>22736</v>
      </c>
      <c r="X29" s="13">
        <f>_xll.BDH("WMT US Equity","OTHER_NONCURRENT_ASSETS_DETAILED","FQ4 2021","FQ4 2021","Currency=USD","Period=FQ","BEST_FPERIOD_OVERRIDE=FQ","FILING_STATUS=MR","SCALING_FORMAT=MLN","Sort=A","Dates=H","DateFormat=P","Fill=—","Direction=H","UseDPDF=Y")</f>
        <v>7289</v>
      </c>
      <c r="Y29" s="13">
        <f>_xll.BDH("WMT US Equity","OTHER_NONCURRENT_ASSETS_DETAILED","FQ1 2022","FQ1 2022","Currency=USD","Period=FQ","BEST_FPERIOD_OVERRIDE=FQ","FILING_STATUS=MR","SCALING_FORMAT=MLN","Sort=A","Dates=H","DateFormat=P","Fill=—","Direction=H","UseDPDF=Y")</f>
        <v>22493</v>
      </c>
      <c r="Z29" s="13">
        <f>_xll.BDH("WMT US Equity","OTHER_NONCURRENT_ASSETS_DETAILED","FQ2 2022","FQ2 2022","Currency=USD","Period=FQ","BEST_FPERIOD_OVERRIDE=FQ","FILING_STATUS=MR","SCALING_FORMAT=MLN","Sort=A","Dates=H","DateFormat=P","Fill=—","Direction=H","UseDPDF=Y")</f>
        <v>21552</v>
      </c>
      <c r="AA29" s="13">
        <f>_xll.BDH("WMT US Equity","OTHER_NONCURRENT_ASSETS_DETAILED","FQ3 2022","FQ3 2022","Currency=USD","Period=FQ","BEST_FPERIOD_OVERRIDE=FQ","FILING_STATUS=MR","SCALING_FORMAT=MLN","Sort=A","Dates=H","DateFormat=P","Fill=—","Direction=H","UseDPDF=Y")</f>
        <v>22633</v>
      </c>
      <c r="AB29" s="13">
        <f>_xll.BDH("WMT US Equity","OTHER_NONCURRENT_ASSETS_DETAILED","FQ4 2022","FQ4 2022","Currency=USD","Period=FQ","BEST_FPERIOD_OVERRIDE=FQ","FILING_STATUS=MR","SCALING_FORMAT=MLN","Sort=A","Dates=H","DateFormat=P","Fill=—","Direction=H","UseDPDF=Y")</f>
        <v>3</v>
      </c>
      <c r="AC29" s="13">
        <f>_xll.BDH("WMT US Equity","OTHER_NONCURRENT_ASSETS_DETAILED","FQ1 2023","FQ1 2023","Currency=USD","Period=FQ","BEST_FPERIOD_OVERRIDE=FQ","FILING_STATUS=MR","SCALING_FORMAT=MLN","Sort=A","Dates=H","DateFormat=P","Fill=—","Direction=H","UseDPDF=Y")</f>
        <v>20267</v>
      </c>
      <c r="AD29" s="13">
        <f>_xll.BDH("WMT US Equity","OTHER_NONCURRENT_ASSETS_DETAILED","FQ2 2023","FQ2 2023","Currency=USD","Period=FQ","BEST_FPERIOD_OVERRIDE=FQ","FILING_STATUS=MR","SCALING_FORMAT=MLN","Sort=A","Dates=H","DateFormat=P","Fill=—","Direction=H","UseDPDF=Y")</f>
        <v>19979</v>
      </c>
      <c r="AE29" s="13">
        <f>_xll.BDH("WMT US Equity","OTHER_NONCURRENT_ASSETS_DETAILED","FQ3 2023","FQ3 2023","Currency=USD","Period=FQ","BEST_FPERIOD_OVERRIDE=FQ","FILING_STATUS=MR","SCALING_FORMAT=MLN","Sort=A","Dates=H","DateFormat=P","Fill=—","Direction=H","UseDPDF=Y")</f>
        <v>16295</v>
      </c>
      <c r="AF29" s="13">
        <f>_xll.BDH("WMT US Equity","OTHER_NONCURRENT_ASSETS_DETAILED","FQ4 2023","FQ4 2023","Currency=USD","Period=FQ","BEST_FPERIOD_OVERRIDE=FQ","FILING_STATUS=MR","SCALING_FORMAT=MLN","Sort=A","Dates=H","DateFormat=P","Fill=—","Direction=H","UseDPDF=Y")</f>
        <v>410</v>
      </c>
      <c r="AG29" s="13">
        <f>_xll.BDH("WMT US Equity","OTHER_NONCURRENT_ASSETS_DETAILED","FQ1 2024","FQ1 2024","Currency=USD","Period=FQ","BEST_FPERIOD_OVERRIDE=FQ","FILING_STATUS=MR","SCALING_FORMAT=MLN","Sort=A","Dates=H","DateFormat=P","Fill=—","Direction=H","UseDPDF=Y")</f>
        <v>17098</v>
      </c>
      <c r="AH29" s="13">
        <f>_xll.BDH("WMT US Equity","OTHER_NONCURRENT_ASSETS_DETAILED","FQ2 2024","FQ2 2024","Currency=USD","Period=FQ","BEST_FPERIOD_OVERRIDE=FQ","FILING_STATUS=MR","SCALING_FORMAT=MLN","Sort=A","Dates=H","DateFormat=P","Fill=—","Direction=H","UseDPDF=Y")</f>
        <v>20826</v>
      </c>
      <c r="AI29" s="13">
        <f>_xll.BDH("WMT US Equity","OTHER_NONCURRENT_ASSETS_DETAILED","FQ3 2024","FQ3 2024","Currency=USD","Period=FQ","BEST_FPERIOD_OVERRIDE=FQ","FILING_STATUS=MR","SCALING_FORMAT=MLN","Sort=A","Dates=H","DateFormat=P","Fill=—","Direction=H","UseDPDF=Y")</f>
        <v>15944</v>
      </c>
      <c r="AJ29" s="13">
        <f>_xll.BDH("WMT US Equity","OTHER_NONCURRENT_ASSETS_DETAILED","FQ4 2024","FQ4 2024","Currency=USD","Period=FQ","BEST_FPERIOD_OVERRIDE=FQ","FILING_STATUS=MR","SCALING_FORMAT=MLN","Sort=A","Dates=H","DateFormat=P","Fill=—","Direction=H","UseDPDF=Y")</f>
        <v>0</v>
      </c>
      <c r="AK29" s="13">
        <f>_xll.BDH("WMT US Equity","OTHER_NONCURRENT_ASSETS_DETAILED","FQ1 2025","FQ1 2025","Currency=USD","Period=FQ","BEST_FPERIOD_OVERRIDE=FQ","FILING_STATUS=MR","SCALING_FORMAT=MLN","Sort=A","Dates=H","DateFormat=P","Fill=—","Direction=H","UseDPDF=Y")</f>
        <v>7003</v>
      </c>
      <c r="AL29" s="13">
        <f>_xll.BDH("WMT US Equity","OTHER_NONCURRENT_ASSETS_DETAILED","FQ2 2025","FQ2 2025","Currency=USD","Period=FQ","BEST_FPERIOD_OVERRIDE=FQ","FILING_STATUS=MR","SCALING_FORMAT=MLN","Sort=A","Dates=H","DateFormat=P","Fill=—","Direction=H","UseDPDF=Y")</f>
        <v>5865</v>
      </c>
      <c r="AM29" s="13">
        <f>_xll.BDH("WMT US Equity","OTHER_NONCURRENT_ASSETS_DETAILED","FQ3 2025","FQ3 2025","Currency=USD","Period=FQ","BEST_FPERIOD_OVERRIDE=FQ","FILING_STATUS=MR","SCALING_FORMAT=MLN","Sort=A","Dates=H","DateFormat=P","Fill=—","Direction=H","UseDPDF=Y")</f>
        <v>11993</v>
      </c>
      <c r="AN29" s="13">
        <f>_xll.BDH("WMT US Equity","OTHER_NONCURRENT_ASSETS_DETAILED","FQ4 2025","FQ4 2025","Currency=USD","Period=FQ","BEST_FPERIOD_OVERRIDE=FQ","FILING_STATUS=MR","SCALING_FORMAT=MLN","Sort=A","Dates=H","DateFormat=P","Fill=—","Direction=H","UseDPDF=Y")</f>
        <v>0</v>
      </c>
      <c r="AO29" s="13">
        <f>_xll.BDH("WMT US Equity","OTHER_NONCURRENT_ASSETS_DETAILED","FQ1 2026","FQ1 2026","Currency=USD","Period=FQ","BEST_FPERIOD_OVERRIDE=FQ","FILING_STATUS=MR","SCALING_FORMAT=MLN","Sort=A","Dates=H","DateFormat=P","Fill=—","Direction=H","UseDPDF=Y")</f>
        <v>1695</v>
      </c>
      <c r="AP29" s="13">
        <f>_xll.BDH("WMT US Equity","OTHER_NONCURRENT_ASSETS_DETAILED","FQ2 2026","FQ2 2026","Currency=USD","Period=FQ","BEST_FPERIOD_OVERRIDE=FQ","FILING_STATUS=MR","SCALING_FORMAT=MLN","Sort=A","Dates=H","DateFormat=P","Fill=—","Direction=H","UseDPDF=Y")</f>
        <v>3576</v>
      </c>
    </row>
    <row r="30" spans="1:42" x14ac:dyDescent="0.3">
      <c r="A30" s="6" t="s">
        <v>109</v>
      </c>
      <c r="B30" s="6" t="s">
        <v>110</v>
      </c>
      <c r="C30" s="16">
        <f>_xll.BDH("WMT US Equity","BS_TOT_NON_CUR_ASSET","FQ3 2016","FQ3 2016","Currency=USD","Period=FQ","BEST_FPERIOD_OVERRIDE=FQ","FILING_STATUS=MR","SCALING_FORMAT=MLN","Sort=A","Dates=H","DateFormat=P","Fill=—","Direction=H","UseDPDF=Y")</f>
        <v>140032</v>
      </c>
      <c r="D30" s="16">
        <f>_xll.BDH("WMT US Equity","BS_TOT_NON_CUR_ASSET","FQ4 2016","FQ4 2016","Currency=USD","Period=FQ","BEST_FPERIOD_OVERRIDE=FQ","FILING_STATUS=MR","SCALING_FORMAT=MLN","Sort=A","Dates=H","DateFormat=P","Fill=—","Direction=H","UseDPDF=Y")</f>
        <v>139342</v>
      </c>
      <c r="E30" s="16">
        <f>_xll.BDH("WMT US Equity","BS_TOT_NON_CUR_ASSET","FQ1 2017","FQ1 2017","Currency=USD","Period=FQ","BEST_FPERIOD_OVERRIDE=FQ","FILING_STATUS=MR","SCALING_FORMAT=MLN","Sort=A","Dates=H","DateFormat=P","Fill=—","Direction=H","UseDPDF=Y")</f>
        <v>139608</v>
      </c>
      <c r="F30" s="16">
        <f>_xll.BDH("WMT US Equity","BS_TOT_NON_CUR_ASSET","FQ2 2017","FQ2 2017","Currency=USD","Period=FQ","BEST_FPERIOD_OVERRIDE=FQ","FILING_STATUS=MR","SCALING_FORMAT=MLN","Sort=A","Dates=H","DateFormat=P","Fill=—","Direction=H","UseDPDF=Y")</f>
        <v>139654</v>
      </c>
      <c r="G30" s="16">
        <f>_xll.BDH("WMT US Equity","BS_TOT_NON_CUR_ASSET","FQ3 2017","FQ3 2017","Currency=USD","Period=FQ","BEST_FPERIOD_OVERRIDE=FQ","FILING_STATUS=MR","SCALING_FORMAT=MLN","Sort=A","Dates=H","DateFormat=P","Fill=—","Direction=H","UseDPDF=Y")</f>
        <v>143456</v>
      </c>
      <c r="H30" s="16">
        <f>_xll.BDH("WMT US Equity","BS_TOT_NON_CUR_ASSET","FQ4 2017","FQ4 2017","Currency=USD","Period=FQ","BEST_FPERIOD_OVERRIDE=FQ","FILING_STATUS=MR","SCALING_FORMAT=MLN","Sort=A","Dates=H","DateFormat=P","Fill=—","Direction=H","UseDPDF=Y")</f>
        <v>141136</v>
      </c>
      <c r="I30" s="16">
        <f>_xll.BDH("WMT US Equity","BS_TOT_NON_CUR_ASSET","FQ1 2018","FQ1 2018","Currency=USD","Period=FQ","BEST_FPERIOD_OVERRIDE=FQ","FILING_STATUS=MR","SCALING_FORMAT=MLN","Sort=A","Dates=H","DateFormat=P","Fill=—","Direction=H","UseDPDF=Y")</f>
        <v>142382</v>
      </c>
      <c r="J30" s="16">
        <f>_xll.BDH("WMT US Equity","BS_TOT_NON_CUR_ASSET","FQ2 2018","FQ2 2018","Currency=USD","Period=FQ","BEST_FPERIOD_OVERRIDE=FQ","FILING_STATUS=MR","SCALING_FORMAT=MLN","Sort=A","Dates=H","DateFormat=P","Fill=—","Direction=H","UseDPDF=Y")</f>
        <v>144803</v>
      </c>
      <c r="K30" s="16">
        <f>_xll.BDH("WMT US Equity","BS_TOT_NON_CUR_ASSET","FQ3 2018","FQ3 2018","Currency=USD","Period=FQ","BEST_FPERIOD_OVERRIDE=FQ","FILING_STATUS=MR","SCALING_FORMAT=MLN","Sort=A","Dates=H","DateFormat=P","Fill=—","Direction=H","UseDPDF=Y")</f>
        <v>144046</v>
      </c>
      <c r="L30" s="16">
        <f>_xll.BDH("WMT US Equity","BS_TOT_NON_CUR_ASSET","FQ4 2018","FQ4 2018","Currency=USD","Period=FQ","BEST_FPERIOD_OVERRIDE=FQ","FILING_STATUS=MR","SCALING_FORMAT=MLN","Sort=A","Dates=H","DateFormat=P","Fill=—","Direction=H","UseDPDF=Y")</f>
        <v>144858</v>
      </c>
      <c r="M30" s="16">
        <f>_xll.BDH("WMT US Equity","BS_TOT_NON_CUR_ASSET","FQ1 2019","FQ1 2019","Currency=USD","Period=FQ","BEST_FPERIOD_OVERRIDE=FQ","FILING_STATUS=MR","SCALING_FORMAT=MLN","Sort=A","Dates=H","DateFormat=P","Fill=—","Direction=H","UseDPDF=Y")</f>
        <v>145685</v>
      </c>
      <c r="N30" s="16">
        <f>_xll.BDH("WMT US Equity","BS_TOT_NON_CUR_ASSET","FQ2 2019","FQ2 2019","Currency=USD","Period=FQ","BEST_FPERIOD_OVERRIDE=FQ","FILING_STATUS=MR","SCALING_FORMAT=MLN","Sort=A","Dates=H","DateFormat=P","Fill=—","Direction=H","UseDPDF=Y")</f>
        <v>139692</v>
      </c>
      <c r="O30" s="16">
        <f>_xll.BDH("WMT US Equity","BS_TOT_NON_CUR_ASSET","FQ3 2019","FQ3 2019","Currency=USD","Period=FQ","BEST_FPERIOD_OVERRIDE=FQ","FILING_STATUS=MR","SCALING_FORMAT=MLN","Sort=A","Dates=H","DateFormat=P","Fill=—","Direction=H","UseDPDF=Y")</f>
        <v>157137</v>
      </c>
      <c r="P30" s="16">
        <f>_xll.BDH("WMT US Equity","BS_TOT_NON_CUR_ASSET","FQ4 2019","FQ4 2019","Currency=USD","Period=FQ","BEST_FPERIOD_OVERRIDE=FQ","FILING_STATUS=MR","SCALING_FORMAT=MLN","Sort=A","Dates=H","DateFormat=P","Fill=—","Direction=H","UseDPDF=Y")</f>
        <v>157398</v>
      </c>
      <c r="Q30" s="16">
        <f>_xll.BDH("WMT US Equity","BS_TOT_NON_CUR_ASSET","FQ1 2020","FQ1 2020","Currency=USD","Period=FQ","BEST_FPERIOD_OVERRIDE=FQ","FILING_STATUS=MR","SCALING_FORMAT=MLN","Sort=A","Dates=H","DateFormat=P","Fill=—","Direction=H","UseDPDF=Y")</f>
        <v>172805</v>
      </c>
      <c r="R30" s="16">
        <f>_xll.BDH("WMT US Equity","BS_TOT_NON_CUR_ASSET","FQ2 2020","FQ2 2020","Currency=USD","Period=FQ","BEST_FPERIOD_OVERRIDE=FQ","FILING_STATUS=MR","SCALING_FORMAT=MLN","Sort=A","Dates=H","DateFormat=P","Fill=—","Direction=H","UseDPDF=Y")</f>
        <v>173490</v>
      </c>
      <c r="S30" s="16">
        <f>_xll.BDH("WMT US Equity","BS_TOT_NON_CUR_ASSET","FQ3 2020","FQ3 2020","Currency=USD","Period=FQ","BEST_FPERIOD_OVERRIDE=FQ","FILING_STATUS=MR","SCALING_FORMAT=MLN","Sort=A","Dates=H","DateFormat=P","Fill=—","Direction=H","UseDPDF=Y")</f>
        <v>171918</v>
      </c>
      <c r="T30" s="16">
        <f>_xll.BDH("WMT US Equity","BS_TOT_NON_CUR_ASSET","FQ4 2020","FQ4 2020","Currency=USD","Period=FQ","BEST_FPERIOD_OVERRIDE=FQ","FILING_STATUS=MR","SCALING_FORMAT=MLN","Sort=A","Dates=H","DateFormat=P","Fill=—","Direction=H","UseDPDF=Y")</f>
        <v>174689</v>
      </c>
      <c r="U30" s="16">
        <f>_xll.BDH("WMT US Equity","BS_TOT_NON_CUR_ASSET","FQ1 2021","FQ1 2021","Currency=USD","Period=FQ","BEST_FPERIOD_OVERRIDE=FQ","FILING_STATUS=MR","SCALING_FORMAT=MLN","Sort=A","Dates=H","DateFormat=P","Fill=—","Direction=H","UseDPDF=Y")</f>
        <v>169564</v>
      </c>
      <c r="V30" s="16">
        <f>_xll.BDH("WMT US Equity","BS_TOT_NON_CUR_ASSET","FQ2 2021","FQ2 2021","Currency=USD","Period=FQ","BEST_FPERIOD_OVERRIDE=FQ","FILING_STATUS=MR","SCALING_FORMAT=MLN","Sort=A","Dates=H","DateFormat=P","Fill=—","Direction=H","UseDPDF=Y")</f>
        <v>172386</v>
      </c>
      <c r="W30" s="16">
        <f>_xll.BDH("WMT US Equity","BS_TOT_NON_CUR_ASSET","FQ3 2021","FQ3 2021","Currency=USD","Period=FQ","BEST_FPERIOD_OVERRIDE=FQ","FILING_STATUS=MR","SCALING_FORMAT=MLN","Sort=A","Dates=H","DateFormat=P","Fill=—","Direction=H","UseDPDF=Y")</f>
        <v>177261</v>
      </c>
      <c r="X30" s="16">
        <f>_xll.BDH("WMT US Equity","BS_TOT_NON_CUR_ASSET","FQ4 2021","FQ4 2021","Currency=USD","Period=FQ","BEST_FPERIOD_OVERRIDE=FQ","FILING_STATUS=MR","SCALING_FORMAT=MLN","Sort=A","Dates=H","DateFormat=P","Fill=—","Direction=H","UseDPDF=Y")</f>
        <v>162429</v>
      </c>
      <c r="Y30" s="16">
        <f>_xll.BDH("WMT US Equity","BS_TOT_NON_CUR_ASSET","FQ1 2022","FQ1 2022","Currency=USD","Period=FQ","BEST_FPERIOD_OVERRIDE=FQ","FILING_STATUS=MR","SCALING_FORMAT=MLN","Sort=A","Dates=H","DateFormat=P","Fill=—","Direction=H","UseDPDF=Y")</f>
        <v>159990</v>
      </c>
      <c r="Z30" s="16">
        <f>_xll.BDH("WMT US Equity","BS_TOT_NON_CUR_ASSET","FQ2 2022","FQ2 2022","Currency=USD","Period=FQ","BEST_FPERIOD_OVERRIDE=FQ","FILING_STATUS=MR","SCALING_FORMAT=MLN","Sort=A","Dates=H","DateFormat=P","Fill=—","Direction=H","UseDPDF=Y")</f>
        <v>160309</v>
      </c>
      <c r="AA30" s="16">
        <f>_xll.BDH("WMT US Equity","BS_TOT_NON_CUR_ASSET","FQ3 2022","FQ3 2022","Currency=USD","Period=FQ","BEST_FPERIOD_OVERRIDE=FQ","FILING_STATUS=MR","SCALING_FORMAT=MLN","Sort=A","Dates=H","DateFormat=P","Fill=—","Direction=H","UseDPDF=Y")</f>
        <v>161887</v>
      </c>
      <c r="AB30" s="16">
        <f>_xll.BDH("WMT US Equity","BS_TOT_NON_CUR_ASSET","FQ4 2022","FQ4 2022","Currency=USD","Period=FQ","BEST_FPERIOD_OVERRIDE=FQ","FILING_STATUS=MR","SCALING_FORMAT=MLN","Sort=A","Dates=H","DateFormat=P","Fill=—","Direction=H","UseDPDF=Y")</f>
        <v>163790</v>
      </c>
      <c r="AC30" s="16">
        <f>_xll.BDH("WMT US Equity","BS_TOT_NON_CUR_ASSET","FQ1 2023","FQ1 2023","Currency=USD","Period=FQ","BEST_FPERIOD_OVERRIDE=FQ","FILING_STATUS=MR","SCALING_FORMAT=MLN","Sort=A","Dates=H","DateFormat=P","Fill=—","Direction=H","UseDPDF=Y")</f>
        <v>162922</v>
      </c>
      <c r="AD30" s="16">
        <f>_xll.BDH("WMT US Equity","BS_TOT_NON_CUR_ASSET","FQ2 2023","FQ2 2023","Currency=USD","Period=FQ","BEST_FPERIOD_OVERRIDE=FQ","FILING_STATUS=MR","SCALING_FORMAT=MLN","Sort=A","Dates=H","DateFormat=P","Fill=—","Direction=H","UseDPDF=Y")</f>
        <v>163035</v>
      </c>
      <c r="AE30" s="16">
        <f>_xll.BDH("WMT US Equity","BS_TOT_NON_CUR_ASSET","FQ3 2023","FQ3 2023","Currency=USD","Period=FQ","BEST_FPERIOD_OVERRIDE=FQ","FILING_STATUS=MR","SCALING_FORMAT=MLN","Sort=A","Dates=H","DateFormat=P","Fill=—","Direction=H","UseDPDF=Y")</f>
        <v>159976</v>
      </c>
      <c r="AF30" s="16">
        <f>_xll.BDH("WMT US Equity","BS_TOT_NON_CUR_ASSET","FQ4 2023","FQ4 2023","Currency=USD","Period=FQ","BEST_FPERIOD_OVERRIDE=FQ","FILING_STATUS=MR","SCALING_FORMAT=MLN","Sort=A","Dates=H","DateFormat=P","Fill=—","Direction=H","UseDPDF=Y")</f>
        <v>167542</v>
      </c>
      <c r="AG30" s="16">
        <f>_xll.BDH("WMT US Equity","BS_TOT_NON_CUR_ASSET","FQ1 2024","FQ1 2024","Currency=USD","Period=FQ","BEST_FPERIOD_OVERRIDE=FQ","FILING_STATUS=MR","SCALING_FORMAT=MLN","Sort=A","Dates=H","DateFormat=P","Fill=—","Direction=H","UseDPDF=Y")</f>
        <v>166542</v>
      </c>
      <c r="AH30" s="16">
        <f>_xll.BDH("WMT US Equity","BS_TOT_NON_CUR_ASSET","FQ2 2024","FQ2 2024","Currency=USD","Period=FQ","BEST_FPERIOD_OVERRIDE=FQ","FILING_STATUS=MR","SCALING_FORMAT=MLN","Sort=A","Dates=H","DateFormat=P","Fill=—","Direction=H","UseDPDF=Y")</f>
        <v>173089</v>
      </c>
      <c r="AI30" s="16">
        <f>_xll.BDH("WMT US Equity","BS_TOT_NON_CUR_ASSET","FQ3 2024","FQ3 2024","Currency=USD","Period=FQ","BEST_FPERIOD_OVERRIDE=FQ","FILING_STATUS=MR","SCALING_FORMAT=MLN","Sort=A","Dates=H","DateFormat=P","Fill=—","Direction=H","UseDPDF=Y")</f>
        <v>170783</v>
      </c>
      <c r="AJ30" s="16">
        <f>_xll.BDH("WMT US Equity","BS_TOT_NON_CUR_ASSET","FQ4 2024","FQ4 2024","Currency=USD","Period=FQ","BEST_FPERIOD_OVERRIDE=FQ","FILING_STATUS=MR","SCALING_FORMAT=MLN","Sort=A","Dates=H","DateFormat=P","Fill=—","Direction=H","UseDPDF=Y")</f>
        <v>175522</v>
      </c>
      <c r="AK30" s="16">
        <f>_xll.BDH("WMT US Equity","BS_TOT_NON_CUR_ASSET","FQ1 2025","FQ1 2025","Currency=USD","Period=FQ","BEST_FPERIOD_OVERRIDE=FQ","FILING_STATUS=MR","SCALING_FORMAT=MLN","Sort=A","Dates=H","DateFormat=P","Fill=—","Direction=H","UseDPDF=Y")</f>
        <v>176902</v>
      </c>
      <c r="AL30" s="16">
        <f>_xll.BDH("WMT US Equity","BS_TOT_NON_CUR_ASSET","FQ2 2025","FQ2 2025","Currency=USD","Period=FQ","BEST_FPERIOD_OVERRIDE=FQ","FILING_STATUS=MR","SCALING_FORMAT=MLN","Sort=A","Dates=H","DateFormat=P","Fill=—","Direction=H","UseDPDF=Y")</f>
        <v>177930</v>
      </c>
      <c r="AM30" s="16">
        <f>_xll.BDH("WMT US Equity","BS_TOT_NON_CUR_ASSET","FQ3 2025","FQ3 2025","Currency=USD","Period=FQ","BEST_FPERIOD_OVERRIDE=FQ","FILING_STATUS=MR","SCALING_FORMAT=MLN","Sort=A","Dates=H","DateFormat=P","Fill=—","Direction=H","UseDPDF=Y")</f>
        <v>176461</v>
      </c>
      <c r="AN30" s="16">
        <f>_xll.BDH("WMT US Equity","BS_TOT_NON_CUR_ASSET","FQ4 2025","FQ4 2025","Currency=USD","Period=FQ","BEST_FPERIOD_OVERRIDE=FQ","FILING_STATUS=MR","SCALING_FORMAT=MLN","Sort=A","Dates=H","DateFormat=P","Fill=—","Direction=H","UseDPDF=Y")</f>
        <v>181365</v>
      </c>
      <c r="AO30" s="16">
        <f>_xll.BDH("WMT US Equity","BS_TOT_NON_CUR_ASSET","FQ1 2026","FQ1 2026","Currency=USD","Period=FQ","BEST_FPERIOD_OVERRIDE=FQ","FILING_STATUS=MR","SCALING_FORMAT=MLN","Sort=A","Dates=H","DateFormat=P","Fill=—","Direction=H","UseDPDF=Y")</f>
        <v>182119</v>
      </c>
      <c r="AP30" s="16">
        <f>_xll.BDH("WMT US Equity","BS_TOT_NON_CUR_ASSET","FQ2 2026","FQ2 2026","Currency=USD","Period=FQ","BEST_FPERIOD_OVERRIDE=FQ","FILING_STATUS=MR","SCALING_FORMAT=MLN","Sort=A","Dates=H","DateFormat=P","Fill=—","Direction=H","UseDPDF=Y")</f>
        <v>188804</v>
      </c>
    </row>
    <row r="31" spans="1:42" x14ac:dyDescent="0.3">
      <c r="A31" s="6" t="s">
        <v>84</v>
      </c>
      <c r="B31" s="6" t="s">
        <v>111</v>
      </c>
      <c r="C31" s="16">
        <f>_xll.BDH("WMT US Equity","BS_TOT_ASSET","FQ3 2016","FQ3 2016","Currency=USD","Period=FQ","BEST_FPERIOD_OVERRIDE=FQ","FILING_STATUS=MR","SCALING_FORMAT=MLN","Sort=A","Dates=H","DateFormat=P","Fill=—","Direction=H","UseDPDF=Y")</f>
        <v>205144</v>
      </c>
      <c r="D31" s="16">
        <f>_xll.BDH("WMT US Equity","BS_TOT_ASSET","FQ4 2016","FQ4 2016","Currency=USD","Period=FQ","BEST_FPERIOD_OVERRIDE=FQ","FILING_STATUS=MR","SCALING_FORMAT=MLN","Sort=A","Dates=H","DateFormat=P","Fill=—","Direction=H","UseDPDF=Y")</f>
        <v>199581</v>
      </c>
      <c r="E31" s="16">
        <f>_xll.BDH("WMT US Equity","BS_TOT_ASSET","FQ1 2017","FQ1 2017","Currency=USD","Period=FQ","BEST_FPERIOD_OVERRIDE=FQ","FILING_STATUS=MR","SCALING_FORMAT=MLN","Sort=A","Dates=H","DateFormat=P","Fill=—","Direction=H","UseDPDF=Y")</f>
        <v>198705</v>
      </c>
      <c r="F31" s="16">
        <f>_xll.BDH("WMT US Equity","BS_TOT_ASSET","FQ2 2017","FQ2 2017","Currency=USD","Period=FQ","BEST_FPERIOD_OVERRIDE=FQ","FILING_STATUS=MR","SCALING_FORMAT=MLN","Sort=A","Dates=H","DateFormat=P","Fill=—","Direction=H","UseDPDF=Y")</f>
        <v>197886</v>
      </c>
      <c r="G31" s="16">
        <f>_xll.BDH("WMT US Equity","BS_TOT_ASSET","FQ3 2017","FQ3 2017","Currency=USD","Period=FQ","BEST_FPERIOD_OVERRIDE=FQ","FILING_STATUS=MR","SCALING_FORMAT=MLN","Sort=A","Dates=H","DateFormat=P","Fill=—","Direction=H","UseDPDF=Y")</f>
        <v>206857</v>
      </c>
      <c r="H31" s="16">
        <f>_xll.BDH("WMT US Equity","BS_TOT_ASSET","FQ4 2017","FQ4 2017","Currency=USD","Period=FQ","BEST_FPERIOD_OVERRIDE=FQ","FILING_STATUS=MR","SCALING_FORMAT=MLN","Sort=A","Dates=H","DateFormat=P","Fill=—","Direction=H","UseDPDF=Y")</f>
        <v>198825</v>
      </c>
      <c r="I31" s="16">
        <f>_xll.BDH("WMT US Equity","BS_TOT_ASSET","FQ1 2018","FQ1 2018","Currency=USD","Period=FQ","BEST_FPERIOD_OVERRIDE=FQ","FILING_STATUS=MR","SCALING_FORMAT=MLN","Sort=A","Dates=H","DateFormat=P","Fill=—","Direction=H","UseDPDF=Y")</f>
        <v>199718</v>
      </c>
      <c r="J31" s="16">
        <f>_xll.BDH("WMT US Equity","BS_TOT_ASSET","FQ2 2018","FQ2 2018","Currency=USD","Period=FQ","BEST_FPERIOD_OVERRIDE=FQ","FILING_STATUS=MR","SCALING_FORMAT=MLN","Sort=A","Dates=H","DateFormat=P","Fill=—","Direction=H","UseDPDF=Y")</f>
        <v>201566</v>
      </c>
      <c r="K31" s="16">
        <f>_xll.BDH("WMT US Equity","BS_TOT_ASSET","FQ3 2018","FQ3 2018","Currency=USD","Period=FQ","BEST_FPERIOD_OVERRIDE=FQ","FILING_STATUS=MR","SCALING_FORMAT=MLN","Sort=A","Dates=H","DateFormat=P","Fill=—","Direction=H","UseDPDF=Y")</f>
        <v>209414</v>
      </c>
      <c r="L31" s="16">
        <f>_xll.BDH("WMT US Equity","BS_TOT_ASSET","FQ4 2018","FQ4 2018","Currency=USD","Period=FQ","BEST_FPERIOD_OVERRIDE=FQ","FILING_STATUS=MR","SCALING_FORMAT=MLN","Sort=A","Dates=H","DateFormat=P","Fill=—","Direction=H","UseDPDF=Y")</f>
        <v>204522</v>
      </c>
      <c r="M31" s="16">
        <f>_xll.BDH("WMT US Equity","BS_TOT_ASSET","FQ1 2019","FQ1 2019","Currency=USD","Period=FQ","BEST_FPERIOD_OVERRIDE=FQ","FILING_STATUS=MR","SCALING_FORMAT=MLN","Sort=A","Dates=H","DateFormat=P","Fill=—","Direction=H","UseDPDF=Y")</f>
        <v>204927</v>
      </c>
      <c r="N31" s="16">
        <f>_xll.BDH("WMT US Equity","BS_TOT_ASSET","FQ2 2019","FQ2 2019","Currency=USD","Period=FQ","BEST_FPERIOD_OVERRIDE=FQ","FILING_STATUS=MR","SCALING_FORMAT=MLN","Sort=A","Dates=H","DateFormat=P","Fill=—","Direction=H","UseDPDF=Y")</f>
        <v>206062</v>
      </c>
      <c r="O31" s="16">
        <f>_xll.BDH("WMT US Equity","BS_TOT_ASSET","FQ3 2019","FQ3 2019","Currency=USD","Period=FQ","BEST_FPERIOD_OVERRIDE=FQ","FILING_STATUS=MR","SCALING_FORMAT=MLN","Sort=A","Dates=H","DateFormat=P","Fill=—","Direction=H","UseDPDF=Y")</f>
        <v>226583</v>
      </c>
      <c r="P31" s="16">
        <f>_xll.BDH("WMT US Equity","BS_TOT_ASSET","FQ4 2019","FQ4 2019","Currency=USD","Period=FQ","BEST_FPERIOD_OVERRIDE=FQ","FILING_STATUS=MR","SCALING_FORMAT=MLN","Sort=A","Dates=H","DateFormat=P","Fill=—","Direction=H","UseDPDF=Y")</f>
        <v>219295</v>
      </c>
      <c r="Q31" s="16">
        <f>_xll.BDH("WMT US Equity","BS_TOT_ASSET","FQ1 2020","FQ1 2020","Currency=USD","Period=FQ","BEST_FPERIOD_OVERRIDE=FQ","FILING_STATUS=MR","SCALING_FORMAT=MLN","Sort=A","Dates=H","DateFormat=P","Fill=—","Direction=H","UseDPDF=Y")</f>
        <v>234544</v>
      </c>
      <c r="R31" s="16">
        <f>_xll.BDH("WMT US Equity","BS_TOT_ASSET","FQ2 2020","FQ2 2020","Currency=USD","Period=FQ","BEST_FPERIOD_OVERRIDE=FQ","FILING_STATUS=MR","SCALING_FORMAT=MLN","Sort=A","Dates=H","DateFormat=P","Fill=—","Direction=H","UseDPDF=Y")</f>
        <v>234861</v>
      </c>
      <c r="S31" s="16">
        <f>_xll.BDH("WMT US Equity","BS_TOT_ASSET","FQ3 2020","FQ3 2020","Currency=USD","Period=FQ","BEST_FPERIOD_OVERRIDE=FQ","FILING_STATUS=MR","SCALING_FORMAT=MLN","Sort=A","Dates=H","DateFormat=P","Fill=—","Direction=H","UseDPDF=Y")</f>
        <v>239830</v>
      </c>
      <c r="T31" s="16">
        <f>_xll.BDH("WMT US Equity","BS_TOT_ASSET","FQ4 2020","FQ4 2020","Currency=USD","Period=FQ","BEST_FPERIOD_OVERRIDE=FQ","FILING_STATUS=MR","SCALING_FORMAT=MLN","Sort=A","Dates=H","DateFormat=P","Fill=—","Direction=H","UseDPDF=Y")</f>
        <v>236495</v>
      </c>
      <c r="U31" s="16">
        <f>_xll.BDH("WMT US Equity","BS_TOT_ASSET","FQ1 2021","FQ1 2021","Currency=USD","Period=FQ","BEST_FPERIOD_OVERRIDE=FQ","FILING_STATUS=MR","SCALING_FORMAT=MLN","Sort=A","Dates=H","DateFormat=P","Fill=—","Direction=H","UseDPDF=Y")</f>
        <v>232892</v>
      </c>
      <c r="V31" s="16">
        <f>_xll.BDH("WMT US Equity","BS_TOT_ASSET","FQ2 2021","FQ2 2021","Currency=USD","Period=FQ","BEST_FPERIOD_OVERRIDE=FQ","FILING_STATUS=MR","SCALING_FORMAT=MLN","Sort=A","Dates=H","DateFormat=P","Fill=—","Direction=H","UseDPDF=Y")</f>
        <v>237382</v>
      </c>
      <c r="W31" s="16">
        <f>_xll.BDH("WMT US Equity","BS_TOT_ASSET","FQ3 2021","FQ3 2021","Currency=USD","Period=FQ","BEST_FPERIOD_OVERRIDE=FQ","FILING_STATUS=MR","SCALING_FORMAT=MLN","Sort=A","Dates=H","DateFormat=P","Fill=—","Direction=H","UseDPDF=Y")</f>
        <v>250863</v>
      </c>
      <c r="X31" s="16">
        <f>_xll.BDH("WMT US Equity","BS_TOT_ASSET","FQ4 2021","FQ4 2021","Currency=USD","Period=FQ","BEST_FPERIOD_OVERRIDE=FQ","FILING_STATUS=MR","SCALING_FORMAT=MLN","Sort=A","Dates=H","DateFormat=P","Fill=—","Direction=H","UseDPDF=Y")</f>
        <v>252496</v>
      </c>
      <c r="Y31" s="16">
        <f>_xll.BDH("WMT US Equity","BS_TOT_ASSET","FQ1 2022","FQ1 2022","Currency=USD","Period=FQ","BEST_FPERIOD_OVERRIDE=FQ","FILING_STATUS=MR","SCALING_FORMAT=MLN","Sort=A","Dates=H","DateFormat=P","Fill=—","Direction=H","UseDPDF=Y")</f>
        <v>236581</v>
      </c>
      <c r="Z31" s="16">
        <f>_xll.BDH("WMT US Equity","BS_TOT_ASSET","FQ2 2022","FQ2 2022","Currency=USD","Period=FQ","BEST_FPERIOD_OVERRIDE=FQ","FILING_STATUS=MR","SCALING_FORMAT=MLN","Sort=A","Dates=H","DateFormat=P","Fill=—","Direction=H","UseDPDF=Y")</f>
        <v>238552</v>
      </c>
      <c r="AA31" s="16">
        <f>_xll.BDH("WMT US Equity","BS_TOT_ASSET","FQ3 2022","FQ3 2022","Currency=USD","Period=FQ","BEST_FPERIOD_OVERRIDE=FQ","FILING_STATUS=MR","SCALING_FORMAT=MLN","Sort=A","Dates=H","DateFormat=P","Fill=—","Direction=H","UseDPDF=Y")</f>
        <v>244851</v>
      </c>
      <c r="AB31" s="16">
        <f>_xll.BDH("WMT US Equity","BS_TOT_ASSET","FQ4 2022","FQ4 2022","Currency=USD","Period=FQ","BEST_FPERIOD_OVERRIDE=FQ","FILING_STATUS=MR","SCALING_FORMAT=MLN","Sort=A","Dates=H","DateFormat=P","Fill=—","Direction=H","UseDPDF=Y")</f>
        <v>244860</v>
      </c>
      <c r="AC31" s="16">
        <f>_xll.BDH("WMT US Equity","BS_TOT_ASSET","FQ1 2023","FQ1 2023","Currency=USD","Period=FQ","BEST_FPERIOD_OVERRIDE=FQ","FILING_STATUS=MR","SCALING_FORMAT=MLN","Sort=A","Dates=H","DateFormat=P","Fill=—","Direction=H","UseDPDF=Y")</f>
        <v>246142</v>
      </c>
      <c r="AD31" s="16">
        <f>_xll.BDH("WMT US Equity","BS_TOT_ASSET","FQ2 2023","FQ2 2023","Currency=USD","Period=FQ","BEST_FPERIOD_OVERRIDE=FQ","FILING_STATUS=MR","SCALING_FORMAT=MLN","Sort=A","Dates=H","DateFormat=P","Fill=—","Direction=H","UseDPDF=Y")</f>
        <v>247199</v>
      </c>
      <c r="AE31" s="16">
        <f>_xll.BDH("WMT US Equity","BS_TOT_ASSET","FQ3 2023","FQ3 2023","Currency=USD","Period=FQ","BEST_FPERIOD_OVERRIDE=FQ","FILING_STATUS=MR","SCALING_FORMAT=MLN","Sort=A","Dates=H","DateFormat=P","Fill=—","Direction=H","UseDPDF=Y")</f>
        <v>247656</v>
      </c>
      <c r="AF31" s="16">
        <f>_xll.BDH("WMT US Equity","BS_TOT_ASSET","FQ4 2023","FQ4 2023","Currency=USD","Period=FQ","BEST_FPERIOD_OVERRIDE=FQ","FILING_STATUS=MR","SCALING_FORMAT=MLN","Sort=A","Dates=H","DateFormat=P","Fill=—","Direction=H","UseDPDF=Y")</f>
        <v>243197</v>
      </c>
      <c r="AG31" s="16">
        <f>_xll.BDH("WMT US Equity","BS_TOT_ASSET","FQ1 2024","FQ1 2024","Currency=USD","Period=FQ","BEST_FPERIOD_OVERRIDE=FQ","FILING_STATUS=MR","SCALING_FORMAT=MLN","Sort=A","Dates=H","DateFormat=P","Fill=—","Direction=H","UseDPDF=Y")</f>
        <v>245053</v>
      </c>
      <c r="AH31" s="16">
        <f>_xll.BDH("WMT US Equity","BS_TOT_ASSET","FQ2 2024","FQ2 2024","Currency=USD","Period=FQ","BEST_FPERIOD_OVERRIDE=FQ","FILING_STATUS=MR","SCALING_FORMAT=MLN","Sort=A","Dates=H","DateFormat=P","Fill=—","Direction=H","UseDPDF=Y")</f>
        <v>255121</v>
      </c>
      <c r="AI31" s="16">
        <f>_xll.BDH("WMT US Equity","BS_TOT_ASSET","FQ3 2024","FQ3 2024","Currency=USD","Period=FQ","BEST_FPERIOD_OVERRIDE=FQ","FILING_STATUS=MR","SCALING_FORMAT=MLN","Sort=A","Dates=H","DateFormat=P","Fill=—","Direction=H","UseDPDF=Y")</f>
        <v>259174</v>
      </c>
      <c r="AJ31" s="16">
        <f>_xll.BDH("WMT US Equity","BS_TOT_ASSET","FQ4 2024","FQ4 2024","Currency=USD","Period=FQ","BEST_FPERIOD_OVERRIDE=FQ","FILING_STATUS=MR","SCALING_FORMAT=MLN","Sort=A","Dates=H","DateFormat=P","Fill=—","Direction=H","UseDPDF=Y")</f>
        <v>252399</v>
      </c>
      <c r="AK31" s="16">
        <f>_xll.BDH("WMT US Equity","BS_TOT_ASSET","FQ1 2025","FQ1 2025","Currency=USD","Period=FQ","BEST_FPERIOD_OVERRIDE=FQ","FILING_STATUS=MR","SCALING_FORMAT=MLN","Sort=A","Dates=H","DateFormat=P","Fill=—","Direction=H","UseDPDF=Y")</f>
        <v>254054</v>
      </c>
      <c r="AL31" s="16">
        <f>_xll.BDH("WMT US Equity","BS_TOT_ASSET","FQ2 2025","FQ2 2025","Currency=USD","Period=FQ","BEST_FPERIOD_OVERRIDE=FQ","FILING_STATUS=MR","SCALING_FORMAT=MLN","Sort=A","Dates=H","DateFormat=P","Fill=—","Direction=H","UseDPDF=Y")</f>
        <v>254440</v>
      </c>
      <c r="AM31" s="16">
        <f>_xll.BDH("WMT US Equity","BS_TOT_ASSET","FQ3 2025","FQ3 2025","Currency=USD","Period=FQ","BEST_FPERIOD_OVERRIDE=FQ","FILING_STATUS=MR","SCALING_FORMAT=MLN","Sort=A","Dates=H","DateFormat=P","Fill=—","Direction=H","UseDPDF=Y")</f>
        <v>263399</v>
      </c>
      <c r="AN31" s="16">
        <f>_xll.BDH("WMT US Equity","BS_TOT_ASSET","FQ4 2025","FQ4 2025","Currency=USD","Period=FQ","BEST_FPERIOD_OVERRIDE=FQ","FILING_STATUS=MR","SCALING_FORMAT=MLN","Sort=A","Dates=H","DateFormat=P","Fill=—","Direction=H","UseDPDF=Y")</f>
        <v>260823</v>
      </c>
      <c r="AO31" s="16">
        <f>_xll.BDH("WMT US Equity","BS_TOT_ASSET","FQ1 2026","FQ1 2026","Currency=USD","Period=FQ","BEST_FPERIOD_OVERRIDE=FQ","FILING_STATUS=MR","SCALING_FORMAT=MLN","Sort=A","Dates=H","DateFormat=P","Fill=—","Direction=H","UseDPDF=Y")</f>
        <v>262372</v>
      </c>
      <c r="AP31" s="16">
        <f>_xll.BDH("WMT US Equity","BS_TOT_ASSET","FQ2 2026","FQ2 2026","Currency=USD","Period=FQ","BEST_FPERIOD_OVERRIDE=FQ","FILING_STATUS=MR","SCALING_FORMAT=MLN","Sort=A","Dates=H","DateFormat=P","Fill=—","Direction=H","UseDPDF=Y")</f>
        <v>270837</v>
      </c>
    </row>
    <row r="32" spans="1:42" x14ac:dyDescent="0.3">
      <c r="A32" s="6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1:42" x14ac:dyDescent="0.3">
      <c r="A33" s="6" t="s">
        <v>112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1:42" x14ac:dyDescent="0.3">
      <c r="A34" s="10" t="s">
        <v>209</v>
      </c>
      <c r="B34" s="10" t="s">
        <v>113</v>
      </c>
      <c r="C34" s="13">
        <f>_xll.BDH("WMT US Equity","ACCT_PAYABLE_ACCRUALS_DETAILED","FQ3 2016","FQ3 2016","Currency=USD","Period=FQ","BEST_FPERIOD_OVERRIDE=FQ","FILING_STATUS=MR","SCALING_FORMAT=MLN","Sort=A","Dates=H","DateFormat=P","Fill=—","Direction=H","UseDPDF=Y")</f>
        <v>62228</v>
      </c>
      <c r="D34" s="13">
        <f>_xll.BDH("WMT US Equity","ACCT_PAYABLE_ACCRUALS_DETAILED","FQ4 2016","FQ4 2016","Currency=USD","Period=FQ","BEST_FPERIOD_OVERRIDE=FQ","FILING_STATUS=MR","SCALING_FORMAT=MLN","Sort=A","Dates=H","DateFormat=P","Fill=—","Direction=H","UseDPDF=Y")</f>
        <v>58615</v>
      </c>
      <c r="E34" s="13">
        <f>_xll.BDH("WMT US Equity","ACCT_PAYABLE_ACCRUALS_DETAILED","FQ1 2017","FQ1 2017","Currency=USD","Period=FQ","BEST_FPERIOD_OVERRIDE=FQ","FILING_STATUS=MR","SCALING_FORMAT=MLN","Sort=A","Dates=H","DateFormat=P","Fill=—","Direction=H","UseDPDF=Y")</f>
        <v>63653</v>
      </c>
      <c r="F34" s="13">
        <f>_xll.BDH("WMT US Equity","ACCT_PAYABLE_ACCRUALS_DETAILED","FQ2 2017","FQ2 2017","Currency=USD","Period=FQ","BEST_FPERIOD_OVERRIDE=FQ","FILING_STATUS=MR","SCALING_FORMAT=MLN","Sort=A","Dates=H","DateFormat=P","Fill=—","Direction=H","UseDPDF=Y")</f>
        <v>63374</v>
      </c>
      <c r="G34" s="13">
        <f>_xll.BDH("WMT US Equity","ACCT_PAYABLE_ACCRUALS_DETAILED","FQ3 2017","FQ3 2017","Currency=USD","Period=FQ","BEST_FPERIOD_OVERRIDE=FQ","FILING_STATUS=MR","SCALING_FORMAT=MLN","Sort=A","Dates=H","DateFormat=P","Fill=—","Direction=H","UseDPDF=Y")</f>
        <v>66233</v>
      </c>
      <c r="H34" s="13">
        <f>_xll.BDH("WMT US Equity","ACCT_PAYABLE_ACCRUALS_DETAILED","FQ4 2017","FQ4 2017","Currency=USD","Period=FQ","BEST_FPERIOD_OVERRIDE=FQ","FILING_STATUS=MR","SCALING_FORMAT=MLN","Sort=A","Dates=H","DateFormat=P","Fill=—","Direction=H","UseDPDF=Y")</f>
        <v>63008</v>
      </c>
      <c r="I34" s="13">
        <f>_xll.BDH("WMT US Equity","ACCT_PAYABLE_ACCRUALS_DETAILED","FQ1 2018","FQ1 2018","Currency=USD","Period=FQ","BEST_FPERIOD_OVERRIDE=FQ","FILING_STATUS=MR","SCALING_FORMAT=MLN","Sort=A","Dates=H","DateFormat=P","Fill=—","Direction=H","UseDPDF=Y")</f>
        <v>67721</v>
      </c>
      <c r="J34" s="13">
        <f>_xll.BDH("WMT US Equity","ACCT_PAYABLE_ACCRUALS_DETAILED","FQ2 2018","FQ2 2018","Currency=USD","Period=FQ","BEST_FPERIOD_OVERRIDE=FQ","FILING_STATUS=MR","SCALING_FORMAT=MLN","Sort=A","Dates=H","DateFormat=P","Fill=—","Direction=H","UseDPDF=Y")</f>
        <v>65637</v>
      </c>
      <c r="K34" s="13">
        <f>_xll.BDH("WMT US Equity","ACCT_PAYABLE_ACCRUALS_DETAILED","FQ3 2018","FQ3 2018","Currency=USD","Period=FQ","BEST_FPERIOD_OVERRIDE=FQ","FILING_STATUS=MR","SCALING_FORMAT=MLN","Sort=A","Dates=H","DateFormat=P","Fill=—","Direction=H","UseDPDF=Y")</f>
        <v>71414</v>
      </c>
      <c r="L34" s="13">
        <f>_xll.BDH("WMT US Equity","ACCT_PAYABLE_ACCRUALS_DETAILED","FQ4 2018","FQ4 2018","Currency=USD","Period=FQ","BEST_FPERIOD_OVERRIDE=FQ","FILING_STATUS=MR","SCALING_FORMAT=MLN","Sort=A","Dates=H","DateFormat=P","Fill=—","Direction=H","UseDPDF=Y")</f>
        <v>68859</v>
      </c>
      <c r="M34" s="13">
        <f>_xll.BDH("WMT US Equity","ACCT_PAYABLE_ACCRUALS_DETAILED","FQ1 2019","FQ1 2019","Currency=USD","Period=FQ","BEST_FPERIOD_OVERRIDE=FQ","FILING_STATUS=MR","SCALING_FORMAT=MLN","Sort=A","Dates=H","DateFormat=P","Fill=—","Direction=H","UseDPDF=Y")</f>
        <v>70719</v>
      </c>
      <c r="N34" s="13">
        <f>_xll.BDH("WMT US Equity","ACCT_PAYABLE_ACCRUALS_DETAILED","FQ2 2019","FQ2 2019","Currency=USD","Period=FQ","BEST_FPERIOD_OVERRIDE=FQ","FILING_STATUS=MR","SCALING_FORMAT=MLN","Sort=A","Dates=H","DateFormat=P","Fill=—","Direction=H","UseDPDF=Y")</f>
        <v>69455</v>
      </c>
      <c r="O34" s="13">
        <f>_xll.BDH("WMT US Equity","ACCT_PAYABLE_ACCRUALS_DETAILED","FQ3 2019","FQ3 2019","Currency=USD","Period=FQ","BEST_FPERIOD_OVERRIDE=FQ","FILING_STATUS=MR","SCALING_FORMAT=MLN","Sort=A","Dates=H","DateFormat=P","Fill=—","Direction=H","UseDPDF=Y")</f>
        <v>74656</v>
      </c>
      <c r="P34" s="13">
        <f>_xll.BDH("WMT US Equity","ACCT_PAYABLE_ACCRUALS_DETAILED","FQ4 2019","FQ4 2019","Currency=USD","Period=FQ","BEST_FPERIOD_OVERRIDE=FQ","FILING_STATUS=MR","SCALING_FORMAT=MLN","Sort=A","Dates=H","DateFormat=P","Fill=—","Direction=H","UseDPDF=Y")</f>
        <v>67715</v>
      </c>
      <c r="Q34" s="13">
        <f>_xll.BDH("WMT US Equity","ACCT_PAYABLE_ACCRUALS_DETAILED","FQ1 2020","FQ1 2020","Currency=USD","Period=FQ","BEST_FPERIOD_OVERRIDE=FQ","FILING_STATUS=MR","SCALING_FORMAT=MLN","Sort=A","Dates=H","DateFormat=P","Fill=—","Direction=H","UseDPDF=Y")</f>
        <v>71413</v>
      </c>
      <c r="R34" s="13">
        <f>_xll.BDH("WMT US Equity","ACCT_PAYABLE_ACCRUALS_DETAILED","FQ2 2020","FQ2 2020","Currency=USD","Period=FQ","BEST_FPERIOD_OVERRIDE=FQ","FILING_STATUS=MR","SCALING_FORMAT=MLN","Sort=A","Dates=H","DateFormat=P","Fill=—","Direction=H","UseDPDF=Y")</f>
        <v>69972</v>
      </c>
      <c r="S34" s="13">
        <f>_xll.BDH("WMT US Equity","ACCT_PAYABLE_ACCRUALS_DETAILED","FQ3 2020","FQ3 2020","Currency=USD","Period=FQ","BEST_FPERIOD_OVERRIDE=FQ","FILING_STATUS=MR","SCALING_FORMAT=MLN","Sort=A","Dates=H","DateFormat=P","Fill=—","Direction=H","UseDPDF=Y")</f>
        <v>72557</v>
      </c>
      <c r="T34" s="13">
        <f>_xll.BDH("WMT US Equity","ACCT_PAYABLE_ACCRUALS_DETAILED","FQ4 2020","FQ4 2020","Currency=USD","Period=FQ","BEST_FPERIOD_OVERRIDE=FQ","FILING_STATUS=MR","SCALING_FORMAT=MLN","Sort=A","Dates=H","DateFormat=P","Fill=—","Direction=H","UseDPDF=Y")</f>
        <v>67559</v>
      </c>
      <c r="U34" s="13">
        <f>_xll.BDH("WMT US Equity","ACCT_PAYABLE_ACCRUALS_DETAILED","FQ1 2021","FQ1 2021","Currency=USD","Period=FQ","BEST_FPERIOD_OVERRIDE=FQ","FILING_STATUS=MR","SCALING_FORMAT=MLN","Sort=A","Dates=H","DateFormat=P","Fill=—","Direction=H","UseDPDF=Y")</f>
        <v>70364</v>
      </c>
      <c r="V34" s="13">
        <f>_xll.BDH("WMT US Equity","ACCT_PAYABLE_ACCRUALS_DETAILED","FQ2 2021","FQ2 2021","Currency=USD","Period=FQ","BEST_FPERIOD_OVERRIDE=FQ","FILING_STATUS=MR","SCALING_FORMAT=MLN","Sort=A","Dates=H","DateFormat=P","Fill=—","Direction=H","UseDPDF=Y")</f>
        <v>73764</v>
      </c>
      <c r="W34" s="13">
        <f>_xll.BDH("WMT US Equity","ACCT_PAYABLE_ACCRUALS_DETAILED","FQ3 2021","FQ3 2021","Currency=USD","Period=FQ","BEST_FPERIOD_OVERRIDE=FQ","FILING_STATUS=MR","SCALING_FORMAT=MLN","Sort=A","Dates=H","DateFormat=P","Fill=—","Direction=H","UseDPDF=Y")</f>
        <v>81224</v>
      </c>
      <c r="X34" s="13">
        <f>_xll.BDH("WMT US Equity","ACCT_PAYABLE_ACCRUALS_DETAILED","FQ4 2021","FQ4 2021","Currency=USD","Period=FQ","BEST_FPERIOD_OVERRIDE=FQ","FILING_STATUS=MR","SCALING_FORMAT=MLN","Sort=A","Dates=H","DateFormat=P","Fill=—","Direction=H","UseDPDF=Y")</f>
        <v>85039</v>
      </c>
      <c r="Y34" s="13">
        <f>_xll.BDH("WMT US Equity","ACCT_PAYABLE_ACCRUALS_DETAILED","FQ1 2022","FQ1 2022","Currency=USD","Period=FQ","BEST_FPERIOD_OVERRIDE=FQ","FILING_STATUS=MR","SCALING_FORMAT=MLN","Sort=A","Dates=H","DateFormat=P","Fill=—","Direction=H","UseDPDF=Y")</f>
        <v>75024</v>
      </c>
      <c r="Z34" s="13">
        <f>_xll.BDH("WMT US Equity","ACCT_PAYABLE_ACCRUALS_DETAILED","FQ2 2022","FQ2 2022","Currency=USD","Period=FQ","BEST_FPERIOD_OVERRIDE=FQ","FILING_STATUS=MR","SCALING_FORMAT=MLN","Sort=A","Dates=H","DateFormat=P","Fill=—","Direction=H","UseDPDF=Y")</f>
        <v>76892</v>
      </c>
      <c r="AA34" s="13">
        <f>_xll.BDH("WMT US Equity","ACCT_PAYABLE_ACCRUALS_DETAILED","FQ3 2022","FQ3 2022","Currency=USD","Period=FQ","BEST_FPERIOD_OVERRIDE=FQ","FILING_STATUS=MR","SCALING_FORMAT=MLN","Sort=A","Dates=H","DateFormat=P","Fill=—","Direction=H","UseDPDF=Y")</f>
        <v>83604</v>
      </c>
      <c r="AB34" s="13">
        <f>_xll.BDH("WMT US Equity","ACCT_PAYABLE_ACCRUALS_DETAILED","FQ4 2022","FQ4 2022","Currency=USD","Period=FQ","BEST_FPERIOD_OVERRIDE=FQ","FILING_STATUS=MR","SCALING_FORMAT=MLN","Sort=A","Dates=H","DateFormat=P","Fill=—","Direction=H","UseDPDF=Y")</f>
        <v>79613</v>
      </c>
      <c r="AC34" s="13">
        <f>_xll.BDH("WMT US Equity","ACCT_PAYABLE_ACCRUALS_DETAILED","FQ1 2023","FQ1 2023","Currency=USD","Period=FQ","BEST_FPERIOD_OVERRIDE=FQ","FILING_STATUS=MR","SCALING_FORMAT=MLN","Sort=A","Dates=H","DateFormat=P","Fill=—","Direction=H","UseDPDF=Y")</f>
        <v>79522</v>
      </c>
      <c r="AD34" s="13">
        <f>_xll.BDH("WMT US Equity","ACCT_PAYABLE_ACCRUALS_DETAILED","FQ2 2023","FQ2 2023","Currency=USD","Period=FQ","BEST_FPERIOD_OVERRIDE=FQ","FILING_STATUS=MR","SCALING_FORMAT=MLN","Sort=A","Dates=H","DateFormat=P","Fill=—","Direction=H","UseDPDF=Y")</f>
        <v>81951</v>
      </c>
      <c r="AE34" s="13">
        <f>_xll.BDH("WMT US Equity","ACCT_PAYABLE_ACCRUALS_DETAILED","FQ3 2023","FQ3 2023","Currency=USD","Period=FQ","BEST_FPERIOD_OVERRIDE=FQ","FILING_STATUS=MR","SCALING_FORMAT=MLN","Sort=A","Dates=H","DateFormat=P","Fill=—","Direction=H","UseDPDF=Y")</f>
        <v>87133</v>
      </c>
      <c r="AF34" s="13">
        <f>_xll.BDH("WMT US Equity","ACCT_PAYABLE_ACCRUALS_DETAILED","FQ4 2023","FQ4 2023","Currency=USD","Period=FQ","BEST_FPERIOD_OVERRIDE=FQ","FILING_STATUS=MR","SCALING_FORMAT=MLN","Sort=A","Dates=H","DateFormat=P","Fill=—","Direction=H","UseDPDF=Y")</f>
        <v>83107</v>
      </c>
      <c r="AG34" s="13">
        <f>_xll.BDH("WMT US Equity","ACCT_PAYABLE_ACCRUALS_DETAILED","FQ1 2024","FQ1 2024","Currency=USD","Period=FQ","BEST_FPERIOD_OVERRIDE=FQ","FILING_STATUS=MR","SCALING_FORMAT=MLN","Sort=A","Dates=H","DateFormat=P","Fill=—","Direction=H","UseDPDF=Y")</f>
        <v>87722</v>
      </c>
      <c r="AH34" s="13">
        <f>_xll.BDH("WMT US Equity","ACCT_PAYABLE_ACCRUALS_DETAILED","FQ2 2024","FQ2 2024","Currency=USD","Period=FQ","BEST_FPERIOD_OVERRIDE=FQ","FILING_STATUS=MR","SCALING_FORMAT=MLN","Sort=A","Dates=H","DateFormat=P","Fill=—","Direction=H","UseDPDF=Y")</f>
        <v>89652</v>
      </c>
      <c r="AI34" s="13">
        <f>_xll.BDH("WMT US Equity","ACCT_PAYABLE_ACCRUALS_DETAILED","FQ3 2024","FQ3 2024","Currency=USD","Period=FQ","BEST_FPERIOD_OVERRIDE=FQ","FILING_STATUS=MR","SCALING_FORMAT=MLN","Sort=A","Dates=H","DateFormat=P","Fill=—","Direction=H","UseDPDF=Y")</f>
        <v>89320</v>
      </c>
      <c r="AJ34" s="13">
        <f>_xll.BDH("WMT US Equity","ACCT_PAYABLE_ACCRUALS_DETAILED","FQ4 2024","FQ4 2024","Currency=USD","Period=FQ","BEST_FPERIOD_OVERRIDE=FQ","FILING_STATUS=MR","SCALING_FORMAT=MLN","Sort=A","Dates=H","DateFormat=P","Fill=—","Direction=H","UseDPDF=Y")</f>
        <v>83214</v>
      </c>
      <c r="AK34" s="13">
        <f>_xll.BDH("WMT US Equity","ACCT_PAYABLE_ACCRUALS_DETAILED","FQ1 2025","FQ1 2025","Currency=USD","Period=FQ","BEST_FPERIOD_OVERRIDE=FQ","FILING_STATUS=MR","SCALING_FORMAT=MLN","Sort=A","Dates=H","DateFormat=P","Fill=—","Direction=H","UseDPDF=Y")</f>
        <v>86452</v>
      </c>
      <c r="AL34" s="13">
        <f>_xll.BDH("WMT US Equity","ACCT_PAYABLE_ACCRUALS_DETAILED","FQ2 2025","FQ2 2025","Currency=USD","Period=FQ","BEST_FPERIOD_OVERRIDE=FQ","FILING_STATUS=MR","SCALING_FORMAT=MLN","Sort=A","Dates=H","DateFormat=P","Fill=—","Direction=H","UseDPDF=Y")</f>
        <v>88291</v>
      </c>
      <c r="AM34" s="13">
        <f>_xll.BDH("WMT US Equity","ACCT_PAYABLE_ACCRUALS_DETAILED","FQ3 2025","FQ3 2025","Currency=USD","Period=FQ","BEST_FPERIOD_OVERRIDE=FQ","FILING_STATUS=MR","SCALING_FORMAT=MLN","Sort=A","Dates=H","DateFormat=P","Fill=—","Direction=H","UseDPDF=Y")</f>
        <v>93437</v>
      </c>
      <c r="AN34" s="13">
        <f>_xll.BDH("WMT US Equity","ACCT_PAYABLE_ACCRUALS_DETAILED","FQ4 2025","FQ4 2025","Currency=USD","Period=FQ","BEST_FPERIOD_OVERRIDE=FQ","FILING_STATUS=MR","SCALING_FORMAT=MLN","Sort=A","Dates=H","DateFormat=P","Fill=—","Direction=H","UseDPDF=Y")</f>
        <v>85864</v>
      </c>
      <c r="AO34" s="13">
        <f>_xll.BDH("WMT US Equity","ACCT_PAYABLE_ACCRUALS_DETAILED","FQ1 2026","FQ1 2026","Currency=USD","Period=FQ","BEST_FPERIOD_OVERRIDE=FQ","FILING_STATUS=MR","SCALING_FORMAT=MLN","Sort=A","Dates=H","DateFormat=P","Fill=—","Direction=H","UseDPDF=Y")</f>
        <v>90910</v>
      </c>
      <c r="AP34" s="13">
        <f>_xll.BDH("WMT US Equity","ACCT_PAYABLE_ACCRUALS_DETAILED","FQ2 2026","FQ2 2026","Currency=USD","Period=FQ","BEST_FPERIOD_OVERRIDE=FQ","FILING_STATUS=MR","SCALING_FORMAT=MLN","Sort=A","Dates=H","DateFormat=P","Fill=—","Direction=H","UseDPDF=Y")</f>
        <v>93310</v>
      </c>
    </row>
    <row r="35" spans="1:42" x14ac:dyDescent="0.3">
      <c r="A35" s="10" t="s">
        <v>210</v>
      </c>
      <c r="B35" s="10" t="s">
        <v>114</v>
      </c>
      <c r="C35" s="13">
        <f>_xll.BDH("WMT US Equity","BS_ACCT_PAYABLE","FQ3 2016","FQ3 2016","Currency=USD","Period=FQ","BEST_FPERIOD_OVERRIDE=FQ","FILING_STATUS=MR","SCALING_FORMAT=MLN","Sort=A","Dates=H","DateFormat=P","Fill=—","Direction=H","UseDPDF=Y")</f>
        <v>40553</v>
      </c>
      <c r="D35" s="13">
        <f>_xll.BDH("WMT US Equity","BS_ACCT_PAYABLE","FQ4 2016","FQ4 2016","Currency=USD","Period=FQ","BEST_FPERIOD_OVERRIDE=FQ","FILING_STATUS=MR","SCALING_FORMAT=MLN","Sort=A","Dates=H","DateFormat=P","Fill=—","Direction=H","UseDPDF=Y")</f>
        <v>38487</v>
      </c>
      <c r="E35" s="13">
        <f>_xll.BDH("WMT US Equity","BS_ACCT_PAYABLE","FQ1 2017","FQ1 2017","Currency=USD","Period=FQ","BEST_FPERIOD_OVERRIDE=FQ","FILING_STATUS=MR","SCALING_FORMAT=MLN","Sort=A","Dates=H","DateFormat=P","Fill=—","Direction=H","UseDPDF=Y")</f>
        <v>37997</v>
      </c>
      <c r="F35" s="13">
        <f>_xll.BDH("WMT US Equity","BS_ACCT_PAYABLE","FQ2 2017","FQ2 2017","Currency=USD","Period=FQ","BEST_FPERIOD_OVERRIDE=FQ","FILING_STATUS=MR","SCALING_FORMAT=MLN","Sort=A","Dates=H","DateFormat=P","Fill=—","Direction=H","UseDPDF=Y")</f>
        <v>39902</v>
      </c>
      <c r="G35" s="13">
        <f>_xll.BDH("WMT US Equity","BS_ACCT_PAYABLE","FQ3 2017","FQ3 2017","Currency=USD","Period=FQ","BEST_FPERIOD_OVERRIDE=FQ","FILING_STATUS=MR","SCALING_FORMAT=MLN","Sort=A","Dates=H","DateFormat=P","Fill=—","Direction=H","UseDPDF=Y")</f>
        <v>42990</v>
      </c>
      <c r="H35" s="13">
        <f>_xll.BDH("WMT US Equity","BS_ACCT_PAYABLE","FQ4 2017","FQ4 2017","Currency=USD","Period=FQ","BEST_FPERIOD_OVERRIDE=FQ","FILING_STATUS=MR","SCALING_FORMAT=MLN","Sort=A","Dates=H","DateFormat=P","Fill=—","Direction=H","UseDPDF=Y")</f>
        <v>41433</v>
      </c>
      <c r="I35" s="13">
        <f>_xll.BDH("WMT US Equity","BS_ACCT_PAYABLE","FQ1 2018","FQ1 2018","Currency=USD","Period=FQ","BEST_FPERIOD_OVERRIDE=FQ","FILING_STATUS=MR","SCALING_FORMAT=MLN","Sort=A","Dates=H","DateFormat=P","Fill=—","Direction=H","UseDPDF=Y")</f>
        <v>41367</v>
      </c>
      <c r="J35" s="13">
        <f>_xll.BDH("WMT US Equity","BS_ACCT_PAYABLE","FQ2 2018","FQ2 2018","Currency=USD","Period=FQ","BEST_FPERIOD_OVERRIDE=FQ","FILING_STATUS=MR","SCALING_FORMAT=MLN","Sort=A","Dates=H","DateFormat=P","Fill=—","Direction=H","UseDPDF=Y")</f>
        <v>42389</v>
      </c>
      <c r="K35" s="13">
        <f>_xll.BDH("WMT US Equity","BS_ACCT_PAYABLE","FQ3 2018","FQ3 2018","Currency=USD","Period=FQ","BEST_FPERIOD_OVERRIDE=FQ","FILING_STATUS=MR","SCALING_FORMAT=MLN","Sort=A","Dates=H","DateFormat=P","Fill=—","Direction=H","UseDPDF=Y")</f>
        <v>47587</v>
      </c>
      <c r="L35" s="13">
        <f>_xll.BDH("WMT US Equity","BS_ACCT_PAYABLE","FQ4 2018","FQ4 2018","Currency=USD","Period=FQ","BEST_FPERIOD_OVERRIDE=FQ","FILING_STATUS=MR","SCALING_FORMAT=MLN","Sort=A","Dates=H","DateFormat=P","Fill=—","Direction=H","UseDPDF=Y")</f>
        <v>46092</v>
      </c>
      <c r="M35" s="13">
        <f>_xll.BDH("WMT US Equity","BS_ACCT_PAYABLE","FQ1 2019","FQ1 2019","Currency=USD","Period=FQ","BEST_FPERIOD_OVERRIDE=FQ","FILING_STATUS=MR","SCALING_FORMAT=MLN","Sort=A","Dates=H","DateFormat=P","Fill=—","Direction=H","UseDPDF=Y")</f>
        <v>44612</v>
      </c>
      <c r="N35" s="13">
        <f>_xll.BDH("WMT US Equity","BS_ACCT_PAYABLE","FQ2 2019","FQ2 2019","Currency=USD","Period=FQ","BEST_FPERIOD_OVERRIDE=FQ","FILING_STATUS=MR","SCALING_FORMAT=MLN","Sort=A","Dates=H","DateFormat=P","Fill=—","Direction=H","UseDPDF=Y")</f>
        <v>43128</v>
      </c>
      <c r="O35" s="13">
        <f>_xll.BDH("WMT US Equity","BS_ACCT_PAYABLE","FQ3 2019","FQ3 2019","Currency=USD","Period=FQ","BEST_FPERIOD_OVERRIDE=FQ","FILING_STATUS=MR","SCALING_FORMAT=MLN","Sort=A","Dates=H","DateFormat=P","Fill=—","Direction=H","UseDPDF=Y")</f>
        <v>49729</v>
      </c>
      <c r="P35" s="13">
        <f>_xll.BDH("WMT US Equity","BS_ACCT_PAYABLE","FQ4 2019","FQ4 2019","Currency=USD","Period=FQ","BEST_FPERIOD_OVERRIDE=FQ","FILING_STATUS=MR","SCALING_FORMAT=MLN","Sort=A","Dates=H","DateFormat=P","Fill=—","Direction=H","UseDPDF=Y")</f>
        <v>47060</v>
      </c>
      <c r="Q35" s="13">
        <f>_xll.BDH("WMT US Equity","BS_ACCT_PAYABLE","FQ1 2020","FQ1 2020","Currency=USD","Period=FQ","BEST_FPERIOD_OVERRIDE=FQ","FILING_STATUS=MR","SCALING_FORMAT=MLN","Sort=A","Dates=H","DateFormat=P","Fill=—","Direction=H","UseDPDF=Y")</f>
        <v>45110</v>
      </c>
      <c r="R35" s="13">
        <f>_xll.BDH("WMT US Equity","BS_ACCT_PAYABLE","FQ2 2020","FQ2 2020","Currency=USD","Period=FQ","BEST_FPERIOD_OVERRIDE=FQ","FILING_STATUS=MR","SCALING_FORMAT=MLN","Sort=A","Dates=H","DateFormat=P","Fill=—","Direction=H","UseDPDF=Y")</f>
        <v>45871</v>
      </c>
      <c r="S35" s="13">
        <f>_xll.BDH("WMT US Equity","BS_ACCT_PAYABLE","FQ3 2020","FQ3 2020","Currency=USD","Period=FQ","BEST_FPERIOD_OVERRIDE=FQ","FILING_STATUS=MR","SCALING_FORMAT=MLN","Sort=A","Dates=H","DateFormat=P","Fill=—","Direction=H","UseDPDF=Y")</f>
        <v>49750</v>
      </c>
      <c r="T35" s="13">
        <f>_xll.BDH("WMT US Equity","BS_ACCT_PAYABLE","FQ4 2020","FQ4 2020","Currency=USD","Period=FQ","BEST_FPERIOD_OVERRIDE=FQ","FILING_STATUS=MR","SCALING_FORMAT=MLN","Sort=A","Dates=H","DateFormat=P","Fill=—","Direction=H","UseDPDF=Y")</f>
        <v>46973</v>
      </c>
      <c r="U35" s="13">
        <f>_xll.BDH("WMT US Equity","BS_ACCT_PAYABLE","FQ1 2021","FQ1 2021","Currency=USD","Period=FQ","BEST_FPERIOD_OVERRIDE=FQ","FILING_STATUS=MR","SCALING_FORMAT=MLN","Sort=A","Dates=H","DateFormat=P","Fill=—","Direction=H","UseDPDF=Y")</f>
        <v>44096</v>
      </c>
      <c r="V35" s="13">
        <f>_xll.BDH("WMT US Equity","BS_ACCT_PAYABLE","FQ2 2021","FQ2 2021","Currency=USD","Period=FQ","BEST_FPERIOD_OVERRIDE=FQ","FILING_STATUS=MR","SCALING_FORMAT=MLN","Sort=A","Dates=H","DateFormat=P","Fill=—","Direction=H","UseDPDF=Y")</f>
        <v>46326</v>
      </c>
      <c r="W35" s="13">
        <f>_xll.BDH("WMT US Equity","BS_ACCT_PAYABLE","FQ3 2021","FQ3 2021","Currency=USD","Period=FQ","BEST_FPERIOD_OVERRIDE=FQ","FILING_STATUS=MR","SCALING_FORMAT=MLN","Sort=A","Dates=H","DateFormat=P","Fill=—","Direction=H","UseDPDF=Y")</f>
        <v>54152</v>
      </c>
      <c r="X35" s="13">
        <f>_xll.BDH("WMT US Equity","BS_ACCT_PAYABLE","FQ4 2021","FQ4 2021","Currency=USD","Period=FQ","BEST_FPERIOD_OVERRIDE=FQ","FILING_STATUS=MR","SCALING_FORMAT=MLN","Sort=A","Dates=H","DateFormat=P","Fill=—","Direction=H","UseDPDF=Y")</f>
        <v>49141</v>
      </c>
      <c r="Y35" s="13">
        <f>_xll.BDH("WMT US Equity","BS_ACCT_PAYABLE","FQ1 2022","FQ1 2022","Currency=USD","Period=FQ","BEST_FPERIOD_OVERRIDE=FQ","FILING_STATUS=MR","SCALING_FORMAT=MLN","Sort=A","Dates=H","DateFormat=P","Fill=—","Direction=H","UseDPDF=Y")</f>
        <v>48151</v>
      </c>
      <c r="Z35" s="13">
        <f>_xll.BDH("WMT US Equity","BS_ACCT_PAYABLE","FQ2 2022","FQ2 2022","Currency=USD","Period=FQ","BEST_FPERIOD_OVERRIDE=FQ","FILING_STATUS=MR","SCALING_FORMAT=MLN","Sort=A","Dates=H","DateFormat=P","Fill=—","Direction=H","UseDPDF=Y")</f>
        <v>49601</v>
      </c>
      <c r="AA35" s="13">
        <f>_xll.BDH("WMT US Equity","BS_ACCT_PAYABLE","FQ3 2022","FQ3 2022","Currency=USD","Period=FQ","BEST_FPERIOD_OVERRIDE=FQ","FILING_STATUS=MR","SCALING_FORMAT=MLN","Sort=A","Dates=H","DateFormat=P","Fill=—","Direction=H","UseDPDF=Y")</f>
        <v>57156</v>
      </c>
      <c r="AB35" s="13">
        <f>_xll.BDH("WMT US Equity","BS_ACCT_PAYABLE","FQ4 2022","FQ4 2022","Currency=USD","Period=FQ","BEST_FPERIOD_OVERRIDE=FQ","FILING_STATUS=MR","SCALING_FORMAT=MLN","Sort=A","Dates=H","DateFormat=P","Fill=—","Direction=H","UseDPDF=Y")</f>
        <v>55261</v>
      </c>
      <c r="AC35" s="13">
        <f>_xll.BDH("WMT US Equity","BS_ACCT_PAYABLE","FQ1 2023","FQ1 2023","Currency=USD","Period=FQ","BEST_FPERIOD_OVERRIDE=FQ","FILING_STATUS=MR","SCALING_FORMAT=MLN","Sort=A","Dates=H","DateFormat=P","Fill=—","Direction=H","UseDPDF=Y")</f>
        <v>52926</v>
      </c>
      <c r="AD35" s="13">
        <f>_xll.BDH("WMT US Equity","BS_ACCT_PAYABLE","FQ2 2023","FQ2 2023","Currency=USD","Period=FQ","BEST_FPERIOD_OVERRIDE=FQ","FILING_STATUS=MR","SCALING_FORMAT=MLN","Sort=A","Dates=H","DateFormat=P","Fill=—","Direction=H","UseDPDF=Y")</f>
        <v>54191</v>
      </c>
      <c r="AE35" s="13">
        <f>_xll.BDH("WMT US Equity","BS_ACCT_PAYABLE","FQ3 2023","FQ3 2023","Currency=USD","Period=FQ","BEST_FPERIOD_OVERRIDE=FQ","FILING_STATUS=MR","SCALING_FORMAT=MLN","Sort=A","Dates=H","DateFormat=P","Fill=—","Direction=H","UseDPDF=Y")</f>
        <v>57263</v>
      </c>
      <c r="AF35" s="13">
        <f>_xll.BDH("WMT US Equity","BS_ACCT_PAYABLE","FQ4 2023","FQ4 2023","Currency=USD","Period=FQ","BEST_FPERIOD_OVERRIDE=FQ","FILING_STATUS=MR","SCALING_FORMAT=MLN","Sort=A","Dates=H","DateFormat=P","Fill=—","Direction=H","UseDPDF=Y")</f>
        <v>53742</v>
      </c>
      <c r="AG35" s="13">
        <f>_xll.BDH("WMT US Equity","BS_ACCT_PAYABLE","FQ1 2024","FQ1 2024","Currency=USD","Period=FQ","BEST_FPERIOD_OVERRIDE=FQ","FILING_STATUS=MR","SCALING_FORMAT=MLN","Sort=A","Dates=H","DateFormat=P","Fill=—","Direction=H","UseDPDF=Y")</f>
        <v>54268</v>
      </c>
      <c r="AH35" s="13">
        <f>_xll.BDH("WMT US Equity","BS_ACCT_PAYABLE","FQ2 2024","FQ2 2024","Currency=USD","Period=FQ","BEST_FPERIOD_OVERRIDE=FQ","FILING_STATUS=MR","SCALING_FORMAT=MLN","Sort=A","Dates=H","DateFormat=P","Fill=—","Direction=H","UseDPDF=Y")</f>
        <v>56576</v>
      </c>
      <c r="AI35" s="13">
        <f>_xll.BDH("WMT US Equity","BS_ACCT_PAYABLE","FQ3 2024","FQ3 2024","Currency=USD","Period=FQ","BEST_FPERIOD_OVERRIDE=FQ","FILING_STATUS=MR","SCALING_FORMAT=MLN","Sort=A","Dates=H","DateFormat=P","Fill=—","Direction=H","UseDPDF=Y")</f>
        <v>61049</v>
      </c>
      <c r="AJ35" s="13">
        <f>_xll.BDH("WMT US Equity","BS_ACCT_PAYABLE","FQ4 2024","FQ4 2024","Currency=USD","Period=FQ","BEST_FPERIOD_OVERRIDE=FQ","FILING_STATUS=MR","SCALING_FORMAT=MLN","Sort=A","Dates=H","DateFormat=P","Fill=—","Direction=H","UseDPDF=Y")</f>
        <v>56812</v>
      </c>
      <c r="AK35" s="13">
        <f>_xll.BDH("WMT US Equity","BS_ACCT_PAYABLE","FQ1 2025","FQ1 2025","Currency=USD","Period=FQ","BEST_FPERIOD_OVERRIDE=FQ","FILING_STATUS=MR","SCALING_FORMAT=MLN","Sort=A","Dates=H","DateFormat=P","Fill=—","Direction=H","UseDPDF=Y")</f>
        <v>56071</v>
      </c>
      <c r="AL35" s="13">
        <f>_xll.BDH("WMT US Equity","BS_ACCT_PAYABLE","FQ2 2025","FQ2 2025","Currency=USD","Period=FQ","BEST_FPERIOD_OVERRIDE=FQ","FILING_STATUS=MR","SCALING_FORMAT=MLN","Sort=A","Dates=H","DateFormat=P","Fill=—","Direction=H","UseDPDF=Y")</f>
        <v>56716</v>
      </c>
      <c r="AM35" s="13">
        <f>_xll.BDH("WMT US Equity","BS_ACCT_PAYABLE","FQ3 2025","FQ3 2025","Currency=USD","Period=FQ","BEST_FPERIOD_OVERRIDE=FQ","FILING_STATUS=MR","SCALING_FORMAT=MLN","Sort=A","Dates=H","DateFormat=P","Fill=—","Direction=H","UseDPDF=Y")</f>
        <v>62863</v>
      </c>
      <c r="AN35" s="13">
        <f>_xll.BDH("WMT US Equity","BS_ACCT_PAYABLE","FQ4 2025","FQ4 2025","Currency=USD","Period=FQ","BEST_FPERIOD_OVERRIDE=FQ","FILING_STATUS=MR","SCALING_FORMAT=MLN","Sort=A","Dates=H","DateFormat=P","Fill=—","Direction=H","UseDPDF=Y")</f>
        <v>58666</v>
      </c>
      <c r="AO35" s="13">
        <f>_xll.BDH("WMT US Equity","BS_ACCT_PAYABLE","FQ1 2026","FQ1 2026","Currency=USD","Period=FQ","BEST_FPERIOD_OVERRIDE=FQ","FILING_STATUS=MR","SCALING_FORMAT=MLN","Sort=A","Dates=H","DateFormat=P","Fill=—","Direction=H","UseDPDF=Y")</f>
        <v>57700</v>
      </c>
      <c r="AP35" s="13">
        <f>_xll.BDH("WMT US Equity","BS_ACCT_PAYABLE","FQ2 2026","FQ2 2026","Currency=USD","Period=FQ","BEST_FPERIOD_OVERRIDE=FQ","FILING_STATUS=MR","SCALING_FORMAT=MLN","Sort=A","Dates=H","DateFormat=P","Fill=—","Direction=H","UseDPDF=Y")</f>
        <v>60086</v>
      </c>
    </row>
    <row r="36" spans="1:42" x14ac:dyDescent="0.3">
      <c r="A36" s="10" t="s">
        <v>211</v>
      </c>
      <c r="B36" s="10" t="s">
        <v>115</v>
      </c>
      <c r="C36" s="13">
        <f>_xll.BDH("WMT US Equity","BS_TAXES_PAYABLE","FQ3 2016","FQ3 2016","Currency=USD","Period=FQ","BEST_FPERIOD_OVERRIDE=FQ","FILING_STATUS=MR","SCALING_FORMAT=MLN","Sort=A","Dates=H","DateFormat=P","Fill=—","Direction=H","UseDPDF=Y")</f>
        <v>587</v>
      </c>
      <c r="D36" s="13">
        <f>_xll.BDH("WMT US Equity","BS_TAXES_PAYABLE","FQ4 2016","FQ4 2016","Currency=USD","Period=FQ","BEST_FPERIOD_OVERRIDE=FQ","FILING_STATUS=MR","SCALING_FORMAT=MLN","Sort=A","Dates=H","DateFormat=P","Fill=—","Direction=H","UseDPDF=Y")</f>
        <v>521</v>
      </c>
      <c r="E36" s="13">
        <f>_xll.BDH("WMT US Equity","BS_TAXES_PAYABLE","FQ1 2017","FQ1 2017","Currency=USD","Period=FQ","BEST_FPERIOD_OVERRIDE=FQ","FILING_STATUS=MR","SCALING_FORMAT=MLN","Sort=A","Dates=H","DateFormat=P","Fill=—","Direction=H","UseDPDF=Y")</f>
        <v>1328</v>
      </c>
      <c r="F36" s="13">
        <f>_xll.BDH("WMT US Equity","BS_TAXES_PAYABLE","FQ2 2017","FQ2 2017","Currency=USD","Period=FQ","BEST_FPERIOD_OVERRIDE=FQ","FILING_STATUS=MR","SCALING_FORMAT=MLN","Sort=A","Dates=H","DateFormat=P","Fill=—","Direction=H","UseDPDF=Y")</f>
        <v>720</v>
      </c>
      <c r="G36" s="13">
        <f>_xll.BDH("WMT US Equity","BS_TAXES_PAYABLE","FQ3 2017","FQ3 2017","Currency=USD","Period=FQ","BEST_FPERIOD_OVERRIDE=FQ","FILING_STATUS=MR","SCALING_FORMAT=MLN","Sort=A","Dates=H","DateFormat=P","Fill=—","Direction=H","UseDPDF=Y")</f>
        <v>459</v>
      </c>
      <c r="H36" s="13">
        <f>_xll.BDH("WMT US Equity","BS_TAXES_PAYABLE","FQ4 2017","FQ4 2017","Currency=USD","Period=FQ","BEST_FPERIOD_OVERRIDE=FQ","FILING_STATUS=MR","SCALING_FORMAT=MLN","Sort=A","Dates=H","DateFormat=P","Fill=—","Direction=H","UseDPDF=Y")</f>
        <v>921</v>
      </c>
      <c r="I36" s="13">
        <f>_xll.BDH("WMT US Equity","BS_TAXES_PAYABLE","FQ1 2018","FQ1 2018","Currency=USD","Period=FQ","BEST_FPERIOD_OVERRIDE=FQ","FILING_STATUS=MR","SCALING_FORMAT=MLN","Sort=A","Dates=H","DateFormat=P","Fill=—","Direction=H","UseDPDF=Y")</f>
        <v>2018</v>
      </c>
      <c r="J36" s="13">
        <f>_xll.BDH("WMT US Equity","BS_TAXES_PAYABLE","FQ2 2018","FQ2 2018","Currency=USD","Period=FQ","BEST_FPERIOD_OVERRIDE=FQ","FILING_STATUS=MR","SCALING_FORMAT=MLN","Sort=A","Dates=H","DateFormat=P","Fill=—","Direction=H","UseDPDF=Y")</f>
        <v>505</v>
      </c>
      <c r="K36" s="13">
        <f>_xll.BDH("WMT US Equity","BS_TAXES_PAYABLE","FQ3 2018","FQ3 2018","Currency=USD","Period=FQ","BEST_FPERIOD_OVERRIDE=FQ","FILING_STATUS=MR","SCALING_FORMAT=MLN","Sort=A","Dates=H","DateFormat=P","Fill=—","Direction=H","UseDPDF=Y")</f>
        <v>540</v>
      </c>
      <c r="L36" s="13">
        <f>_xll.BDH("WMT US Equity","BS_TAXES_PAYABLE","FQ4 2018","FQ4 2018","Currency=USD","Period=FQ","BEST_FPERIOD_OVERRIDE=FQ","FILING_STATUS=MR","SCALING_FORMAT=MLN","Sort=A","Dates=H","DateFormat=P","Fill=—","Direction=H","UseDPDF=Y")</f>
        <v>645</v>
      </c>
      <c r="M36" s="13">
        <f>_xll.BDH("WMT US Equity","BS_TAXES_PAYABLE","FQ1 2019","FQ1 2019","Currency=USD","Period=FQ","BEST_FPERIOD_OVERRIDE=FQ","FILING_STATUS=MR","SCALING_FORMAT=MLN","Sort=A","Dates=H","DateFormat=P","Fill=—","Direction=H","UseDPDF=Y")</f>
        <v>718</v>
      </c>
      <c r="N36" s="13">
        <f>_xll.BDH("WMT US Equity","BS_TAXES_PAYABLE","FQ2 2019","FQ2 2019","Currency=USD","Period=FQ","BEST_FPERIOD_OVERRIDE=FQ","FILING_STATUS=MR","SCALING_FORMAT=MLN","Sort=A","Dates=H","DateFormat=P","Fill=—","Direction=H","UseDPDF=Y")</f>
        <v>424</v>
      </c>
      <c r="O36" s="13">
        <f>_xll.BDH("WMT US Equity","BS_TAXES_PAYABLE","FQ3 2019","FQ3 2019","Currency=USD","Period=FQ","BEST_FPERIOD_OVERRIDE=FQ","FILING_STATUS=MR","SCALING_FORMAT=MLN","Sort=A","Dates=H","DateFormat=P","Fill=—","Direction=H","UseDPDF=Y")</f>
        <v>616</v>
      </c>
      <c r="P36" s="13">
        <f>_xll.BDH("WMT US Equity","BS_TAXES_PAYABLE","FQ4 2019","FQ4 2019","Currency=USD","Period=FQ","BEST_FPERIOD_OVERRIDE=FQ","FILING_STATUS=MR","SCALING_FORMAT=MLN","Sort=A","Dates=H","DateFormat=P","Fill=—","Direction=H","UseDPDF=Y")</f>
        <v>428</v>
      </c>
      <c r="Q36" s="13">
        <f>_xll.BDH("WMT US Equity","BS_TAXES_PAYABLE","FQ1 2020","FQ1 2020","Currency=USD","Period=FQ","BEST_FPERIOD_OVERRIDE=FQ","FILING_STATUS=MR","SCALING_FORMAT=MLN","Sort=A","Dates=H","DateFormat=P","Fill=—","Direction=H","UseDPDF=Y")</f>
        <v>729</v>
      </c>
      <c r="R36" s="13">
        <f>_xll.BDH("WMT US Equity","BS_TAXES_PAYABLE","FQ2 2020","FQ2 2020","Currency=USD","Period=FQ","BEST_FPERIOD_OVERRIDE=FQ","FILING_STATUS=MR","SCALING_FORMAT=MLN","Sort=A","Dates=H","DateFormat=P","Fill=—","Direction=H","UseDPDF=Y")</f>
        <v>387</v>
      </c>
      <c r="S36" s="13">
        <f>_xll.BDH("WMT US Equity","BS_TAXES_PAYABLE","FQ3 2020","FQ3 2020","Currency=USD","Period=FQ","BEST_FPERIOD_OVERRIDE=FQ","FILING_STATUS=MR","SCALING_FORMAT=MLN","Sort=A","Dates=H","DateFormat=P","Fill=—","Direction=H","UseDPDF=Y")</f>
        <v>327</v>
      </c>
      <c r="T36" s="13">
        <f>_xll.BDH("WMT US Equity","BS_TAXES_PAYABLE","FQ4 2020","FQ4 2020","Currency=USD","Period=FQ","BEST_FPERIOD_OVERRIDE=FQ","FILING_STATUS=MR","SCALING_FORMAT=MLN","Sort=A","Dates=H","DateFormat=P","Fill=—","Direction=H","UseDPDF=Y")</f>
        <v>280</v>
      </c>
      <c r="U36" s="13">
        <f>_xll.BDH("WMT US Equity","BS_TAXES_PAYABLE","FQ1 2021","FQ1 2021","Currency=USD","Period=FQ","BEST_FPERIOD_OVERRIDE=FQ","FILING_STATUS=MR","SCALING_FORMAT=MLN","Sort=A","Dates=H","DateFormat=P","Fill=—","Direction=H","UseDPDF=Y")</f>
        <v>1303</v>
      </c>
      <c r="V36" s="13">
        <f>_xll.BDH("WMT US Equity","BS_TAXES_PAYABLE","FQ2 2021","FQ2 2021","Currency=USD","Period=FQ","BEST_FPERIOD_OVERRIDE=FQ","FILING_STATUS=MR","SCALING_FORMAT=MLN","Sort=A","Dates=H","DateFormat=P","Fill=—","Direction=H","UseDPDF=Y")</f>
        <v>610</v>
      </c>
      <c r="W36" s="13">
        <f>_xll.BDH("WMT US Equity","BS_TAXES_PAYABLE","FQ3 2021","FQ3 2021","Currency=USD","Period=FQ","BEST_FPERIOD_OVERRIDE=FQ","FILING_STATUS=MR","SCALING_FORMAT=MLN","Sort=A","Dates=H","DateFormat=P","Fill=—","Direction=H","UseDPDF=Y")</f>
        <v>548</v>
      </c>
      <c r="X36" s="13">
        <f>_xll.BDH("WMT US Equity","BS_TAXES_PAYABLE","FQ4 2021","FQ4 2021","Currency=USD","Period=FQ","BEST_FPERIOD_OVERRIDE=FQ","FILING_STATUS=MR","SCALING_FORMAT=MLN","Sort=A","Dates=H","DateFormat=P","Fill=—","Direction=H","UseDPDF=Y")</f>
        <v>242</v>
      </c>
      <c r="Y36" s="13">
        <f>_xll.BDH("WMT US Equity","BS_TAXES_PAYABLE","FQ1 2022","FQ1 2022","Currency=USD","Period=FQ","BEST_FPERIOD_OVERRIDE=FQ","FILING_STATUS=MR","SCALING_FORMAT=MLN","Sort=A","Dates=H","DateFormat=P","Fill=—","Direction=H","UseDPDF=Y")</f>
        <v>851</v>
      </c>
      <c r="Z36" s="13">
        <f>_xll.BDH("WMT US Equity","BS_TAXES_PAYABLE","FQ2 2022","FQ2 2022","Currency=USD","Period=FQ","BEST_FPERIOD_OVERRIDE=FQ","FILING_STATUS=MR","SCALING_FORMAT=MLN","Sort=A","Dates=H","DateFormat=P","Fill=—","Direction=H","UseDPDF=Y")</f>
        <v>267</v>
      </c>
      <c r="AA36" s="13">
        <f>_xll.BDH("WMT US Equity","BS_TAXES_PAYABLE","FQ3 2022","FQ3 2022","Currency=USD","Period=FQ","BEST_FPERIOD_OVERRIDE=FQ","FILING_STATUS=MR","SCALING_FORMAT=MLN","Sort=A","Dates=H","DateFormat=P","Fill=—","Direction=H","UseDPDF=Y")</f>
        <v>446</v>
      </c>
      <c r="AB36" s="13">
        <f>_xll.BDH("WMT US Equity","BS_TAXES_PAYABLE","FQ4 2022","FQ4 2022","Currency=USD","Period=FQ","BEST_FPERIOD_OVERRIDE=FQ","FILING_STATUS=MR","SCALING_FORMAT=MLN","Sort=A","Dates=H","DateFormat=P","Fill=—","Direction=H","UseDPDF=Y")</f>
        <v>851</v>
      </c>
      <c r="AC36" s="13">
        <f>_xll.BDH("WMT US Equity","BS_TAXES_PAYABLE","FQ1 2023","FQ1 2023","Currency=USD","Period=FQ","BEST_FPERIOD_OVERRIDE=FQ","FILING_STATUS=MR","SCALING_FORMAT=MLN","Sort=A","Dates=H","DateFormat=P","Fill=—","Direction=H","UseDPDF=Y")</f>
        <v>904</v>
      </c>
      <c r="AD36" s="13">
        <f>_xll.BDH("WMT US Equity","BS_TAXES_PAYABLE","FQ2 2023","FQ2 2023","Currency=USD","Period=FQ","BEST_FPERIOD_OVERRIDE=FQ","FILING_STATUS=MR","SCALING_FORMAT=MLN","Sort=A","Dates=H","DateFormat=P","Fill=—","Direction=H","UseDPDF=Y")</f>
        <v>868</v>
      </c>
      <c r="AE36" s="13">
        <f>_xll.BDH("WMT US Equity","BS_TAXES_PAYABLE","FQ3 2023","FQ3 2023","Currency=USD","Period=FQ","BEST_FPERIOD_OVERRIDE=FQ","FILING_STATUS=MR","SCALING_FORMAT=MLN","Sort=A","Dates=H","DateFormat=P","Fill=—","Direction=H","UseDPDF=Y")</f>
        <v>900</v>
      </c>
      <c r="AF36" s="13">
        <f>_xll.BDH("WMT US Equity","BS_TAXES_PAYABLE","FQ4 2023","FQ4 2023","Currency=USD","Period=FQ","BEST_FPERIOD_OVERRIDE=FQ","FILING_STATUS=MR","SCALING_FORMAT=MLN","Sort=A","Dates=H","DateFormat=P","Fill=—","Direction=H","UseDPDF=Y")</f>
        <v>727</v>
      </c>
      <c r="AG36" s="13">
        <f>_xll.BDH("WMT US Equity","BS_TAXES_PAYABLE","FQ1 2024","FQ1 2024","Currency=USD","Period=FQ","BEST_FPERIOD_OVERRIDE=FQ","FILING_STATUS=MR","SCALING_FORMAT=MLN","Sort=A","Dates=H","DateFormat=P","Fill=—","Direction=H","UseDPDF=Y")</f>
        <v>1325</v>
      </c>
      <c r="AH36" s="13">
        <f>_xll.BDH("WMT US Equity","BS_TAXES_PAYABLE","FQ2 2024","FQ2 2024","Currency=USD","Period=FQ","BEST_FPERIOD_OVERRIDE=FQ","FILING_STATUS=MR","SCALING_FORMAT=MLN","Sort=A","Dates=H","DateFormat=P","Fill=—","Direction=H","UseDPDF=Y")</f>
        <v>770</v>
      </c>
      <c r="AI36" s="13">
        <f>_xll.BDH("WMT US Equity","BS_TAXES_PAYABLE","FQ3 2024","FQ3 2024","Currency=USD","Period=FQ","BEST_FPERIOD_OVERRIDE=FQ","FILING_STATUS=MR","SCALING_FORMAT=MLN","Sort=A","Dates=H","DateFormat=P","Fill=—","Direction=H","UseDPDF=Y")</f>
        <v>606</v>
      </c>
      <c r="AJ36" s="13">
        <f>_xll.BDH("WMT US Equity","BS_TAXES_PAYABLE","FQ4 2024","FQ4 2024","Currency=USD","Period=FQ","BEST_FPERIOD_OVERRIDE=FQ","FILING_STATUS=MR","SCALING_FORMAT=MLN","Sort=A","Dates=H","DateFormat=P","Fill=—","Direction=H","UseDPDF=Y")</f>
        <v>307</v>
      </c>
      <c r="AK36" s="13">
        <f>_xll.BDH("WMT US Equity","BS_TAXES_PAYABLE","FQ1 2025","FQ1 2025","Currency=USD","Period=FQ","BEST_FPERIOD_OVERRIDE=FQ","FILING_STATUS=MR","SCALING_FORMAT=MLN","Sort=A","Dates=H","DateFormat=P","Fill=—","Direction=H","UseDPDF=Y")</f>
        <v>1276</v>
      </c>
      <c r="AL36" s="13">
        <f>_xll.BDH("WMT US Equity","BS_TAXES_PAYABLE","FQ2 2025","FQ2 2025","Currency=USD","Period=FQ","BEST_FPERIOD_OVERRIDE=FQ","FILING_STATUS=MR","SCALING_FORMAT=MLN","Sort=A","Dates=H","DateFormat=P","Fill=—","Direction=H","UseDPDF=Y")</f>
        <v>576</v>
      </c>
      <c r="AM36" s="13">
        <f>_xll.BDH("WMT US Equity","BS_TAXES_PAYABLE","FQ3 2025","FQ3 2025","Currency=USD","Period=FQ","BEST_FPERIOD_OVERRIDE=FQ","FILING_STATUS=MR","SCALING_FORMAT=MLN","Sort=A","Dates=H","DateFormat=P","Fill=—","Direction=H","UseDPDF=Y")</f>
        <v>783</v>
      </c>
      <c r="AN36" s="13">
        <f>_xll.BDH("WMT US Equity","BS_TAXES_PAYABLE","FQ4 2025","FQ4 2025","Currency=USD","Period=FQ","BEST_FPERIOD_OVERRIDE=FQ","FILING_STATUS=MR","SCALING_FORMAT=MLN","Sort=A","Dates=H","DateFormat=P","Fill=—","Direction=H","UseDPDF=Y")</f>
        <v>608</v>
      </c>
      <c r="AO36" s="13">
        <f>_xll.BDH("WMT US Equity","BS_TAXES_PAYABLE","FQ1 2026","FQ1 2026","Currency=USD","Period=FQ","BEST_FPERIOD_OVERRIDE=FQ","FILING_STATUS=MR","SCALING_FORMAT=MLN","Sort=A","Dates=H","DateFormat=P","Fill=—","Direction=H","UseDPDF=Y")</f>
        <v>1465</v>
      </c>
      <c r="AP36" s="13">
        <f>_xll.BDH("WMT US Equity","BS_TAXES_PAYABLE","FQ2 2026","FQ2 2026","Currency=USD","Period=FQ","BEST_FPERIOD_OVERRIDE=FQ","FILING_STATUS=MR","SCALING_FORMAT=MLN","Sort=A","Dates=H","DateFormat=P","Fill=—","Direction=H","UseDPDF=Y")</f>
        <v>620</v>
      </c>
    </row>
    <row r="37" spans="1:42" x14ac:dyDescent="0.3">
      <c r="A37" s="10" t="s">
        <v>212</v>
      </c>
      <c r="B37" s="10" t="s">
        <v>116</v>
      </c>
      <c r="C37" s="13">
        <f>_xll.BDH("WMT US Equity","INTEREST_DIVIDENDS_PAYABLE","FQ3 2016","FQ3 2016","Currency=USD","Period=FQ","BEST_FPERIOD_OVERRIDE=FQ","FILING_STATUS=MR","SCALING_FORMAT=MLN","Sort=A","Dates=H","DateFormat=P","Fill=—","Direction=H","UseDPDF=Y")</f>
        <v>1589</v>
      </c>
      <c r="D37" s="13" t="str">
        <f>_xll.BDH("WMT US Equity","INTEREST_DIVIDENDS_PAYABLE","FQ4 2016","FQ4 2016","Currency=USD","Period=FQ","BEST_FPERIOD_OVERRIDE=FQ","FILING_STATUS=MR","SCALING_FORMAT=MLN","Sort=A","Dates=H","DateFormat=P","Fill=—","Direction=H","UseDPDF=Y")</f>
        <v>—</v>
      </c>
      <c r="E37" s="13">
        <f>_xll.BDH("WMT US Equity","INTEREST_DIVIDENDS_PAYABLE","FQ1 2017","FQ1 2017","Currency=USD","Period=FQ","BEST_FPERIOD_OVERRIDE=FQ","FILING_STATUS=MR","SCALING_FORMAT=MLN","Sort=A","Dates=H","DateFormat=P","Fill=—","Direction=H","UseDPDF=Y")</f>
        <v>4723</v>
      </c>
      <c r="F37" s="13">
        <f>_xll.BDH("WMT US Equity","INTEREST_DIVIDENDS_PAYABLE","FQ2 2017","FQ2 2017","Currency=USD","Period=FQ","BEST_FPERIOD_OVERRIDE=FQ","FILING_STATUS=MR","SCALING_FORMAT=MLN","Sort=A","Dates=H","DateFormat=P","Fill=—","Direction=H","UseDPDF=Y")</f>
        <v>3101</v>
      </c>
      <c r="G37" s="13">
        <f>_xll.BDH("WMT US Equity","INTEREST_DIVIDENDS_PAYABLE","FQ3 2017","FQ3 2017","Currency=USD","Period=FQ","BEST_FPERIOD_OVERRIDE=FQ","FILING_STATUS=MR","SCALING_FORMAT=MLN","Sort=A","Dates=H","DateFormat=P","Fill=—","Direction=H","UseDPDF=Y")</f>
        <v>1541</v>
      </c>
      <c r="H37" s="13" t="str">
        <f>_xll.BDH("WMT US Equity","INTEREST_DIVIDENDS_PAYABLE","FQ4 2017","FQ4 2017","Currency=USD","Period=FQ","BEST_FPERIOD_OVERRIDE=FQ","FILING_STATUS=MR","SCALING_FORMAT=MLN","Sort=A","Dates=H","DateFormat=P","Fill=—","Direction=H","UseDPDF=Y")</f>
        <v>—</v>
      </c>
      <c r="I37" s="13">
        <f>_xll.BDH("WMT US Equity","INTEREST_DIVIDENDS_PAYABLE","FQ1 2018","FQ1 2018","Currency=USD","Period=FQ","BEST_FPERIOD_OVERRIDE=FQ","FILING_STATUS=MR","SCALING_FORMAT=MLN","Sort=A","Dates=H","DateFormat=P","Fill=—","Direction=H","UseDPDF=Y")</f>
        <v>4628</v>
      </c>
      <c r="J37" s="13">
        <f>_xll.BDH("WMT US Equity","INTEREST_DIVIDENDS_PAYABLE","FQ2 2018","FQ2 2018","Currency=USD","Period=FQ","BEST_FPERIOD_OVERRIDE=FQ","FILING_STATUS=MR","SCALING_FORMAT=MLN","Sort=A","Dates=H","DateFormat=P","Fill=—","Direction=H","UseDPDF=Y")</f>
        <v>3057</v>
      </c>
      <c r="K37" s="13">
        <f>_xll.BDH("WMT US Equity","INTEREST_DIVIDENDS_PAYABLE","FQ3 2018","FQ3 2018","Currency=USD","Period=FQ","BEST_FPERIOD_OVERRIDE=FQ","FILING_STATUS=MR","SCALING_FORMAT=MLN","Sort=A","Dates=H","DateFormat=P","Fill=—","Direction=H","UseDPDF=Y")</f>
        <v>1530</v>
      </c>
      <c r="L37" s="13" t="str">
        <f>_xll.BDH("WMT US Equity","INTEREST_DIVIDENDS_PAYABLE","FQ4 2018","FQ4 2018","Currency=USD","Period=FQ","BEST_FPERIOD_OVERRIDE=FQ","FILING_STATUS=MR","SCALING_FORMAT=MLN","Sort=A","Dates=H","DateFormat=P","Fill=—","Direction=H","UseDPDF=Y")</f>
        <v>—</v>
      </c>
      <c r="M37" s="13">
        <f>_xll.BDH("WMT US Equity","INTEREST_DIVIDENDS_PAYABLE","FQ1 2019","FQ1 2019","Currency=USD","Period=FQ","BEST_FPERIOD_OVERRIDE=FQ","FILING_STATUS=MR","SCALING_FORMAT=MLN","Sort=A","Dates=H","DateFormat=P","Fill=—","Direction=H","UseDPDF=Y")</f>
        <v>4607</v>
      </c>
      <c r="N37" s="13">
        <f>_xll.BDH("WMT US Equity","INTEREST_DIVIDENDS_PAYABLE","FQ2 2019","FQ2 2019","Currency=USD","Period=FQ","BEST_FPERIOD_OVERRIDE=FQ","FILING_STATUS=MR","SCALING_FORMAT=MLN","Sort=A","Dates=H","DateFormat=P","Fill=—","Direction=H","UseDPDF=Y")</f>
        <v>3057</v>
      </c>
      <c r="O37" s="13">
        <f>_xll.BDH("WMT US Equity","INTEREST_DIVIDENDS_PAYABLE","FQ3 2019","FQ3 2019","Currency=USD","Period=FQ","BEST_FPERIOD_OVERRIDE=FQ","FILING_STATUS=MR","SCALING_FORMAT=MLN","Sort=A","Dates=H","DateFormat=P","Fill=—","Direction=H","UseDPDF=Y")</f>
        <v>1516</v>
      </c>
      <c r="P37" s="13" t="str">
        <f>_xll.BDH("WMT US Equity","INTEREST_DIVIDENDS_PAYABLE","FQ4 2019","FQ4 2019","Currency=USD","Period=FQ","BEST_FPERIOD_OVERRIDE=FQ","FILING_STATUS=MR","SCALING_FORMAT=MLN","Sort=A","Dates=H","DateFormat=P","Fill=—","Direction=H","UseDPDF=Y")</f>
        <v>—</v>
      </c>
      <c r="Q37" s="13">
        <f>_xll.BDH("WMT US Equity","INTEREST_DIVIDENDS_PAYABLE","FQ1 2020","FQ1 2020","Currency=USD","Period=FQ","BEST_FPERIOD_OVERRIDE=FQ","FILING_STATUS=MR","SCALING_FORMAT=MLN","Sort=A","Dates=H","DateFormat=P","Fill=—","Direction=H","UseDPDF=Y")</f>
        <v>4551</v>
      </c>
      <c r="R37" s="13">
        <f>_xll.BDH("WMT US Equity","INTEREST_DIVIDENDS_PAYABLE","FQ2 2020","FQ2 2020","Currency=USD","Period=FQ","BEST_FPERIOD_OVERRIDE=FQ","FILING_STATUS=MR","SCALING_FORMAT=MLN","Sort=A","Dates=H","DateFormat=P","Fill=—","Direction=H","UseDPDF=Y")</f>
        <v>3023</v>
      </c>
      <c r="S37" s="13">
        <f>_xll.BDH("WMT US Equity","INTEREST_DIVIDENDS_PAYABLE","FQ3 2020","FQ3 2020","Currency=USD","Period=FQ","BEST_FPERIOD_OVERRIDE=FQ","FILING_STATUS=MR","SCALING_FORMAT=MLN","Sort=A","Dates=H","DateFormat=P","Fill=—","Direction=H","UseDPDF=Y")</f>
        <v>1507</v>
      </c>
      <c r="T37" s="13" t="str">
        <f>_xll.BDH("WMT US Equity","INTEREST_DIVIDENDS_PAYABLE","FQ4 2020","FQ4 2020","Currency=USD","Period=FQ","BEST_FPERIOD_OVERRIDE=FQ","FILING_STATUS=MR","SCALING_FORMAT=MLN","Sort=A","Dates=H","DateFormat=P","Fill=—","Direction=H","UseDPDF=Y")</f>
        <v>—</v>
      </c>
      <c r="U37" s="13">
        <f>_xll.BDH("WMT US Equity","INTEREST_DIVIDENDS_PAYABLE","FQ1 2021","FQ1 2021","Currency=USD","Period=FQ","BEST_FPERIOD_OVERRIDE=FQ","FILING_STATUS=MR","SCALING_FORMAT=MLN","Sort=A","Dates=H","DateFormat=P","Fill=—","Direction=H","UseDPDF=Y")</f>
        <v>4588</v>
      </c>
      <c r="V37" s="13">
        <f>_xll.BDH("WMT US Equity","INTEREST_DIVIDENDS_PAYABLE","FQ2 2021","FQ2 2021","Currency=USD","Period=FQ","BEST_FPERIOD_OVERRIDE=FQ","FILING_STATUS=MR","SCALING_FORMAT=MLN","Sort=A","Dates=H","DateFormat=P","Fill=—","Direction=H","UseDPDF=Y")</f>
        <v>3060</v>
      </c>
      <c r="W37" s="13">
        <f>_xll.BDH("WMT US Equity","INTEREST_DIVIDENDS_PAYABLE","FQ3 2021","FQ3 2021","Currency=USD","Period=FQ","BEST_FPERIOD_OVERRIDE=FQ","FILING_STATUS=MR","SCALING_FORMAT=MLN","Sort=A","Dates=H","DateFormat=P","Fill=—","Direction=H","UseDPDF=Y")</f>
        <v>1529</v>
      </c>
      <c r="X37" s="13" t="str">
        <f>_xll.BDH("WMT US Equity","INTEREST_DIVIDENDS_PAYABLE","FQ4 2021","FQ4 2021","Currency=USD","Period=FQ","BEST_FPERIOD_OVERRIDE=FQ","FILING_STATUS=MR","SCALING_FORMAT=MLN","Sort=A","Dates=H","DateFormat=P","Fill=—","Direction=H","UseDPDF=Y")</f>
        <v>—</v>
      </c>
      <c r="Y37" s="13">
        <f>_xll.BDH("WMT US Equity","INTEREST_DIVIDENDS_PAYABLE","FQ1 2022","FQ1 2022","Currency=USD","Period=FQ","BEST_FPERIOD_OVERRIDE=FQ","FILING_STATUS=MR","SCALING_FORMAT=MLN","Sort=A","Dates=H","DateFormat=P","Fill=—","Direction=H","UseDPDF=Y")</f>
        <v>4651</v>
      </c>
      <c r="Z37" s="13">
        <f>_xll.BDH("WMT US Equity","INTEREST_DIVIDENDS_PAYABLE","FQ2 2022","FQ2 2022","Currency=USD","Period=FQ","BEST_FPERIOD_OVERRIDE=FQ","FILING_STATUS=MR","SCALING_FORMAT=MLN","Sort=A","Dates=H","DateFormat=P","Fill=—","Direction=H","UseDPDF=Y")</f>
        <v>3109</v>
      </c>
      <c r="AA37" s="13">
        <f>_xll.BDH("WMT US Equity","INTEREST_DIVIDENDS_PAYABLE","FQ3 2022","FQ3 2022","Currency=USD","Period=FQ","BEST_FPERIOD_OVERRIDE=FQ","FILING_STATUS=MR","SCALING_FORMAT=MLN","Sort=A","Dates=H","DateFormat=P","Fill=—","Direction=H","UseDPDF=Y")</f>
        <v>1528</v>
      </c>
      <c r="AB37" s="13" t="str">
        <f>_xll.BDH("WMT US Equity","INTEREST_DIVIDENDS_PAYABLE","FQ4 2022","FQ4 2022","Currency=USD","Period=FQ","BEST_FPERIOD_OVERRIDE=FQ","FILING_STATUS=MR","SCALING_FORMAT=MLN","Sort=A","Dates=H","DateFormat=P","Fill=—","Direction=H","UseDPDF=Y")</f>
        <v>—</v>
      </c>
      <c r="AC37" s="13">
        <f>_xll.BDH("WMT US Equity","INTEREST_DIVIDENDS_PAYABLE","FQ1 2023","FQ1 2023","Currency=USD","Period=FQ","BEST_FPERIOD_OVERRIDE=FQ","FILING_STATUS=MR","SCALING_FORMAT=MLN","Sort=A","Dates=H","DateFormat=P","Fill=—","Direction=H","UseDPDF=Y")</f>
        <v>4631</v>
      </c>
      <c r="AD37" s="13">
        <f>_xll.BDH("WMT US Equity","INTEREST_DIVIDENDS_PAYABLE","FQ2 2023","FQ2 2023","Currency=USD","Period=FQ","BEST_FPERIOD_OVERRIDE=FQ","FILING_STATUS=MR","SCALING_FORMAT=MLN","Sort=A","Dates=H","DateFormat=P","Fill=—","Direction=H","UseDPDF=Y")</f>
        <v>3049</v>
      </c>
      <c r="AE37" s="13">
        <f>_xll.BDH("WMT US Equity","INTEREST_DIVIDENDS_PAYABLE","FQ3 2023","FQ3 2023","Currency=USD","Period=FQ","BEST_FPERIOD_OVERRIDE=FQ","FILING_STATUS=MR","SCALING_FORMAT=MLN","Sort=A","Dates=H","DateFormat=P","Fill=—","Direction=H","UseDPDF=Y")</f>
        <v>1527</v>
      </c>
      <c r="AF37" s="13" t="str">
        <f>_xll.BDH("WMT US Equity","INTEREST_DIVIDENDS_PAYABLE","FQ4 2023","FQ4 2023","Currency=USD","Period=FQ","BEST_FPERIOD_OVERRIDE=FQ","FILING_STATUS=MR","SCALING_FORMAT=MLN","Sort=A","Dates=H","DateFormat=P","Fill=—","Direction=H","UseDPDF=Y")</f>
        <v>—</v>
      </c>
      <c r="AG37" s="13">
        <f>_xll.BDH("WMT US Equity","INTEREST_DIVIDENDS_PAYABLE","FQ1 2024","FQ1 2024","Currency=USD","Period=FQ","BEST_FPERIOD_OVERRIDE=FQ","FILING_STATUS=MR","SCALING_FORMAT=MLN","Sort=A","Dates=H","DateFormat=P","Fill=—","Direction=H","UseDPDF=Y")</f>
        <v>4602</v>
      </c>
      <c r="AH37" s="13">
        <f>_xll.BDH("WMT US Equity","INTEREST_DIVIDENDS_PAYABLE","FQ2 2024","FQ2 2024","Currency=USD","Period=FQ","BEST_FPERIOD_OVERRIDE=FQ","FILING_STATUS=MR","SCALING_FORMAT=MLN","Sort=A","Dates=H","DateFormat=P","Fill=—","Direction=H","UseDPDF=Y")</f>
        <v>3067</v>
      </c>
      <c r="AI37" s="13">
        <f>_xll.BDH("WMT US Equity","INTEREST_DIVIDENDS_PAYABLE","FQ3 2024","FQ3 2024","Currency=USD","Period=FQ","BEST_FPERIOD_OVERRIDE=FQ","FILING_STATUS=MR","SCALING_FORMAT=MLN","Sort=A","Dates=H","DateFormat=P","Fill=—","Direction=H","UseDPDF=Y")</f>
        <v>1533</v>
      </c>
      <c r="AJ37" s="13" t="str">
        <f>_xll.BDH("WMT US Equity","INTEREST_DIVIDENDS_PAYABLE","FQ4 2024","FQ4 2024","Currency=USD","Period=FQ","BEST_FPERIOD_OVERRIDE=FQ","FILING_STATUS=MR","SCALING_FORMAT=MLN","Sort=A","Dates=H","DateFormat=P","Fill=—","Direction=H","UseDPDF=Y")</f>
        <v>—</v>
      </c>
      <c r="AK37" s="13">
        <f>_xll.BDH("WMT US Equity","INTEREST_DIVIDENDS_PAYABLE","FQ1 2025","FQ1 2025","Currency=USD","Period=FQ","BEST_FPERIOD_OVERRIDE=FQ","FILING_STATUS=MR","SCALING_FORMAT=MLN","Sort=A","Dates=H","DateFormat=P","Fill=—","Direction=H","UseDPDF=Y")</f>
        <v>5013</v>
      </c>
      <c r="AL37" s="13">
        <f>_xll.BDH("WMT US Equity","INTEREST_DIVIDENDS_PAYABLE","FQ2 2025","FQ2 2025","Currency=USD","Period=FQ","BEST_FPERIOD_OVERRIDE=FQ","FILING_STATUS=MR","SCALING_FORMAT=MLN","Sort=A","Dates=H","DateFormat=P","Fill=—","Direction=H","UseDPDF=Y")</f>
        <v>3343</v>
      </c>
      <c r="AM37" s="13">
        <f>_xll.BDH("WMT US Equity","INTEREST_DIVIDENDS_PAYABLE","FQ3 2025","FQ3 2025","Currency=USD","Period=FQ","BEST_FPERIOD_OVERRIDE=FQ","FILING_STATUS=MR","SCALING_FORMAT=MLN","Sort=A","Dates=H","DateFormat=P","Fill=—","Direction=H","UseDPDF=Y")</f>
        <v>1674</v>
      </c>
      <c r="AN37" s="13" t="str">
        <f>_xll.BDH("WMT US Equity","INTEREST_DIVIDENDS_PAYABLE","FQ4 2025","FQ4 2025","Currency=USD","Period=FQ","BEST_FPERIOD_OVERRIDE=FQ","FILING_STATUS=MR","SCALING_FORMAT=MLN","Sort=A","Dates=H","DateFormat=P","Fill=—","Direction=H","UseDPDF=Y")</f>
        <v>—</v>
      </c>
      <c r="AO37" s="13">
        <f>_xll.BDH("WMT US Equity","INTEREST_DIVIDENDS_PAYABLE","FQ1 2026","FQ1 2026","Currency=USD","Period=FQ","BEST_FPERIOD_OVERRIDE=FQ","FILING_STATUS=MR","SCALING_FORMAT=MLN","Sort=A","Dates=H","DateFormat=P","Fill=—","Direction=H","UseDPDF=Y")</f>
        <v>5660</v>
      </c>
      <c r="AP37" s="13">
        <f>_xll.BDH("WMT US Equity","INTEREST_DIVIDENDS_PAYABLE","FQ2 2026","FQ2 2026","Currency=USD","Period=FQ","BEST_FPERIOD_OVERRIDE=FQ","FILING_STATUS=MR","SCALING_FORMAT=MLN","Sort=A","Dates=H","DateFormat=P","Fill=—","Direction=H","UseDPDF=Y")</f>
        <v>3783</v>
      </c>
    </row>
    <row r="38" spans="1:42" x14ac:dyDescent="0.3">
      <c r="A38" s="10" t="s">
        <v>213</v>
      </c>
      <c r="B38" s="10" t="s">
        <v>117</v>
      </c>
      <c r="C38" s="13">
        <f>_xll.BDH("WMT US Equity","BS_ACCRUAL","FQ3 2016","FQ3 2016","Currency=USD","Period=FQ","BEST_FPERIOD_OVERRIDE=FQ","FILING_STATUS=MR","SCALING_FORMAT=MLN","Sort=A","Dates=H","DateFormat=P","Fill=—","Direction=H","UseDPDF=Y")</f>
        <v>19499</v>
      </c>
      <c r="D38" s="13">
        <f>_xll.BDH("WMT US Equity","BS_ACCRUAL","FQ4 2016","FQ4 2016","Currency=USD","Period=FQ","BEST_FPERIOD_OVERRIDE=FQ","FILING_STATUS=MR","SCALING_FORMAT=MLN","Sort=A","Dates=H","DateFormat=P","Fill=—","Direction=H","UseDPDF=Y")</f>
        <v>19607</v>
      </c>
      <c r="E38" s="13">
        <f>_xll.BDH("WMT US Equity","BS_ACCRUAL","FQ1 2017","FQ1 2017","Currency=USD","Period=FQ","BEST_FPERIOD_OVERRIDE=FQ","FILING_STATUS=MR","SCALING_FORMAT=MLN","Sort=A","Dates=H","DateFormat=P","Fill=—","Direction=H","UseDPDF=Y")</f>
        <v>19605</v>
      </c>
      <c r="F38" s="13">
        <f>_xll.BDH("WMT US Equity","BS_ACCRUAL","FQ2 2017","FQ2 2017","Currency=USD","Period=FQ","BEST_FPERIOD_OVERRIDE=FQ","FILING_STATUS=MR","SCALING_FORMAT=MLN","Sort=A","Dates=H","DateFormat=P","Fill=—","Direction=H","UseDPDF=Y")</f>
        <v>19651</v>
      </c>
      <c r="G38" s="13">
        <f>_xll.BDH("WMT US Equity","BS_ACCRUAL","FQ3 2017","FQ3 2017","Currency=USD","Period=FQ","BEST_FPERIOD_OVERRIDE=FQ","FILING_STATUS=MR","SCALING_FORMAT=MLN","Sort=A","Dates=H","DateFormat=P","Fill=—","Direction=H","UseDPDF=Y")</f>
        <v>21243</v>
      </c>
      <c r="H38" s="13">
        <f>_xll.BDH("WMT US Equity","BS_ACCRUAL","FQ4 2017","FQ4 2017","Currency=USD","Period=FQ","BEST_FPERIOD_OVERRIDE=FQ","FILING_STATUS=MR","SCALING_FORMAT=MLN","Sort=A","Dates=H","DateFormat=P","Fill=—","Direction=H","UseDPDF=Y")</f>
        <v>20654</v>
      </c>
      <c r="I38" s="13">
        <f>_xll.BDH("WMT US Equity","BS_ACCRUAL","FQ1 2018","FQ1 2018","Currency=USD","Period=FQ","BEST_FPERIOD_OVERRIDE=FQ","FILING_STATUS=MR","SCALING_FORMAT=MLN","Sort=A","Dates=H","DateFormat=P","Fill=—","Direction=H","UseDPDF=Y")</f>
        <v>19708</v>
      </c>
      <c r="J38" s="13">
        <f>_xll.BDH("WMT US Equity","BS_ACCRUAL","FQ2 2018","FQ2 2018","Currency=USD","Period=FQ","BEST_FPERIOD_OVERRIDE=FQ","FILING_STATUS=MR","SCALING_FORMAT=MLN","Sort=A","Dates=H","DateFormat=P","Fill=—","Direction=H","UseDPDF=Y")</f>
        <v>19686</v>
      </c>
      <c r="K38" s="13">
        <f>_xll.BDH("WMT US Equity","BS_ACCRUAL","FQ3 2018","FQ3 2018","Currency=USD","Period=FQ","BEST_FPERIOD_OVERRIDE=FQ","FILING_STATUS=MR","SCALING_FORMAT=MLN","Sort=A","Dates=H","DateFormat=P","Fill=—","Direction=H","UseDPDF=Y")</f>
        <v>21757</v>
      </c>
      <c r="L38" s="13">
        <f>_xll.BDH("WMT US Equity","BS_ACCRUAL","FQ4 2018","FQ4 2018","Currency=USD","Period=FQ","BEST_FPERIOD_OVERRIDE=FQ","FILING_STATUS=MR","SCALING_FORMAT=MLN","Sort=A","Dates=H","DateFormat=P","Fill=—","Direction=H","UseDPDF=Y")</f>
        <v>22122</v>
      </c>
      <c r="M38" s="13">
        <f>_xll.BDH("WMT US Equity","BS_ACCRUAL","FQ1 2019","FQ1 2019","Currency=USD","Period=FQ","BEST_FPERIOD_OVERRIDE=FQ","FILING_STATUS=MR","SCALING_FORMAT=MLN","Sort=A","Dates=H","DateFormat=P","Fill=—","Direction=H","UseDPDF=Y")</f>
        <v>20782</v>
      </c>
      <c r="N38" s="13">
        <f>_xll.BDH("WMT US Equity","BS_ACCRUAL","FQ2 2019","FQ2 2019","Currency=USD","Period=FQ","BEST_FPERIOD_OVERRIDE=FQ","FILING_STATUS=MR","SCALING_FORMAT=MLN","Sort=A","Dates=H","DateFormat=P","Fill=—","Direction=H","UseDPDF=Y")</f>
        <v>22846</v>
      </c>
      <c r="O38" s="13">
        <f>_xll.BDH("WMT US Equity","BS_ACCRUAL","FQ3 2019","FQ3 2019","Currency=USD","Period=FQ","BEST_FPERIOD_OVERRIDE=FQ","FILING_STATUS=MR","SCALING_FORMAT=MLN","Sort=A","Dates=H","DateFormat=P","Fill=—","Direction=H","UseDPDF=Y")</f>
        <v>22795</v>
      </c>
      <c r="P38" s="13">
        <f>_xll.BDH("WMT US Equity","BS_ACCRUAL","FQ4 2019","FQ4 2019","Currency=USD","Period=FQ","BEST_FPERIOD_OVERRIDE=FQ","FILING_STATUS=MR","SCALING_FORMAT=MLN","Sort=A","Dates=H","DateFormat=P","Fill=—","Direction=H","UseDPDF=Y")</f>
        <v>20227</v>
      </c>
      <c r="Q38" s="13">
        <f>_xll.BDH("WMT US Equity","BS_ACCRUAL","FQ1 2020","FQ1 2020","Currency=USD","Period=FQ","BEST_FPERIOD_OVERRIDE=FQ","FILING_STATUS=MR","SCALING_FORMAT=MLN","Sort=A","Dates=H","DateFormat=P","Fill=—","Direction=H","UseDPDF=Y")</f>
        <v>21023</v>
      </c>
      <c r="R38" s="13">
        <f>_xll.BDH("WMT US Equity","BS_ACCRUAL","FQ2 2020","FQ2 2020","Currency=USD","Period=FQ","BEST_FPERIOD_OVERRIDE=FQ","FILING_STATUS=MR","SCALING_FORMAT=MLN","Sort=A","Dates=H","DateFormat=P","Fill=—","Direction=H","UseDPDF=Y")</f>
        <v>20691</v>
      </c>
      <c r="S38" s="13">
        <f>_xll.BDH("WMT US Equity","BS_ACCRUAL","FQ3 2020","FQ3 2020","Currency=USD","Period=FQ","BEST_FPERIOD_OVERRIDE=FQ","FILING_STATUS=MR","SCALING_FORMAT=MLN","Sort=A","Dates=H","DateFormat=P","Fill=—","Direction=H","UseDPDF=Y")</f>
        <v>20973</v>
      </c>
      <c r="T38" s="13">
        <f>_xll.BDH("WMT US Equity","BS_ACCRUAL","FQ4 2020","FQ4 2020","Currency=USD","Period=FQ","BEST_FPERIOD_OVERRIDE=FQ","FILING_STATUS=MR","SCALING_FORMAT=MLN","Sort=A","Dates=H","DateFormat=P","Fill=—","Direction=H","UseDPDF=Y")</f>
        <v>20306</v>
      </c>
      <c r="U38" s="13">
        <f>_xll.BDH("WMT US Equity","BS_ACCRUAL","FQ1 2021","FQ1 2021","Currency=USD","Period=FQ","BEST_FPERIOD_OVERRIDE=FQ","FILING_STATUS=MR","SCALING_FORMAT=MLN","Sort=A","Dates=H","DateFormat=P","Fill=—","Direction=H","UseDPDF=Y")</f>
        <v>20377</v>
      </c>
      <c r="V38" s="13">
        <f>_xll.BDH("WMT US Equity","BS_ACCRUAL","FQ2 2021","FQ2 2021","Currency=USD","Period=FQ","BEST_FPERIOD_OVERRIDE=FQ","FILING_STATUS=MR","SCALING_FORMAT=MLN","Sort=A","Dates=H","DateFormat=P","Fill=—","Direction=H","UseDPDF=Y")</f>
        <v>23768</v>
      </c>
      <c r="W38" s="13">
        <f>_xll.BDH("WMT US Equity","BS_ACCRUAL","FQ3 2021","FQ3 2021","Currency=USD","Period=FQ","BEST_FPERIOD_OVERRIDE=FQ","FILING_STATUS=MR","SCALING_FORMAT=MLN","Sort=A","Dates=H","DateFormat=P","Fill=—","Direction=H","UseDPDF=Y")</f>
        <v>24995</v>
      </c>
      <c r="X38" s="13">
        <f>_xll.BDH("WMT US Equity","BS_ACCRUAL","FQ4 2021","FQ4 2021","Currency=USD","Period=FQ","BEST_FPERIOD_OVERRIDE=FQ","FILING_STATUS=MR","SCALING_FORMAT=MLN","Sort=A","Dates=H","DateFormat=P","Fill=—","Direction=H","UseDPDF=Y")</f>
        <v>35656</v>
      </c>
      <c r="Y38" s="13">
        <f>_xll.BDH("WMT US Equity","BS_ACCRUAL","FQ1 2022","FQ1 2022","Currency=USD","Period=FQ","BEST_FPERIOD_OVERRIDE=FQ","FILING_STATUS=MR","SCALING_FORMAT=MLN","Sort=A","Dates=H","DateFormat=P","Fill=—","Direction=H","UseDPDF=Y")</f>
        <v>21371</v>
      </c>
      <c r="Z38" s="13">
        <f>_xll.BDH("WMT US Equity","BS_ACCRUAL","FQ2 2022","FQ2 2022","Currency=USD","Period=FQ","BEST_FPERIOD_OVERRIDE=FQ","FILING_STATUS=MR","SCALING_FORMAT=MLN","Sort=A","Dates=H","DateFormat=P","Fill=—","Direction=H","UseDPDF=Y")</f>
        <v>23915</v>
      </c>
      <c r="AA38" s="13">
        <f>_xll.BDH("WMT US Equity","BS_ACCRUAL","FQ3 2022","FQ3 2022","Currency=USD","Period=FQ","BEST_FPERIOD_OVERRIDE=FQ","FILING_STATUS=MR","SCALING_FORMAT=MLN","Sort=A","Dates=H","DateFormat=P","Fill=—","Direction=H","UseDPDF=Y")</f>
        <v>24474</v>
      </c>
      <c r="AB38" s="13">
        <f>_xll.BDH("WMT US Equity","BS_ACCRUAL","FQ4 2022","FQ4 2022","Currency=USD","Period=FQ","BEST_FPERIOD_OVERRIDE=FQ","FILING_STATUS=MR","SCALING_FORMAT=MLN","Sort=A","Dates=H","DateFormat=P","Fill=—","Direction=H","UseDPDF=Y")</f>
        <v>23501</v>
      </c>
      <c r="AC38" s="13">
        <f>_xll.BDH("WMT US Equity","BS_ACCRUAL","FQ1 2023","FQ1 2023","Currency=USD","Period=FQ","BEST_FPERIOD_OVERRIDE=FQ","FILING_STATUS=MR","SCALING_FORMAT=MLN","Sort=A","Dates=H","DateFormat=P","Fill=—","Direction=H","UseDPDF=Y")</f>
        <v>21061</v>
      </c>
      <c r="AD38" s="13">
        <f>_xll.BDH("WMT US Equity","BS_ACCRUAL","FQ2 2023","FQ2 2023","Currency=USD","Period=FQ","BEST_FPERIOD_OVERRIDE=FQ","FILING_STATUS=MR","SCALING_FORMAT=MLN","Sort=A","Dates=H","DateFormat=P","Fill=—","Direction=H","UseDPDF=Y")</f>
        <v>23843</v>
      </c>
      <c r="AE38" s="13">
        <f>_xll.BDH("WMT US Equity","BS_ACCRUAL","FQ3 2023","FQ3 2023","Currency=USD","Period=FQ","BEST_FPERIOD_OVERRIDE=FQ","FILING_STATUS=MR","SCALING_FORMAT=MLN","Sort=A","Dates=H","DateFormat=P","Fill=—","Direction=H","UseDPDF=Y")</f>
        <v>27443</v>
      </c>
      <c r="AF38" s="13">
        <f>_xll.BDH("WMT US Equity","BS_ACCRUAL","FQ4 2023","FQ4 2023","Currency=USD","Period=FQ","BEST_FPERIOD_OVERRIDE=FQ","FILING_STATUS=MR","SCALING_FORMAT=MLN","Sort=A","Dates=H","DateFormat=P","Fill=—","Direction=H","UseDPDF=Y")</f>
        <v>28638</v>
      </c>
      <c r="AG38" s="13">
        <f>_xll.BDH("WMT US Equity","BS_ACCRUAL","FQ1 2024","FQ1 2024","Currency=USD","Period=FQ","BEST_FPERIOD_OVERRIDE=FQ","FILING_STATUS=MR","SCALING_FORMAT=MLN","Sort=A","Dates=H","DateFormat=P","Fill=—","Direction=H","UseDPDF=Y")</f>
        <v>27527</v>
      </c>
      <c r="AH38" s="13">
        <f>_xll.BDH("WMT US Equity","BS_ACCRUAL","FQ2 2024","FQ2 2024","Currency=USD","Period=FQ","BEST_FPERIOD_OVERRIDE=FQ","FILING_STATUS=MR","SCALING_FORMAT=MLN","Sort=A","Dates=H","DateFormat=P","Fill=—","Direction=H","UseDPDF=Y")</f>
        <v>29239</v>
      </c>
      <c r="AI38" s="13">
        <f>_xll.BDH("WMT US Equity","BS_ACCRUAL","FQ3 2024","FQ3 2024","Currency=USD","Period=FQ","BEST_FPERIOD_OVERRIDE=FQ","FILING_STATUS=MR","SCALING_FORMAT=MLN","Sort=A","Dates=H","DateFormat=P","Fill=—","Direction=H","UseDPDF=Y")</f>
        <v>26132</v>
      </c>
      <c r="AJ38" s="13">
        <f>_xll.BDH("WMT US Equity","BS_ACCRUAL","FQ4 2024","FQ4 2024","Currency=USD","Period=FQ","BEST_FPERIOD_OVERRIDE=FQ","FILING_STATUS=MR","SCALING_FORMAT=MLN","Sort=A","Dates=H","DateFormat=P","Fill=—","Direction=H","UseDPDF=Y")</f>
        <v>26095</v>
      </c>
      <c r="AK38" s="13">
        <f>_xll.BDH("WMT US Equity","BS_ACCRUAL","FQ1 2025","FQ1 2025","Currency=USD","Period=FQ","BEST_FPERIOD_OVERRIDE=FQ","FILING_STATUS=MR","SCALING_FORMAT=MLN","Sort=A","Dates=H","DateFormat=P","Fill=—","Direction=H","UseDPDF=Y")</f>
        <v>24092</v>
      </c>
      <c r="AL38" s="13">
        <f>_xll.BDH("WMT US Equity","BS_ACCRUAL","FQ2 2025","FQ2 2025","Currency=USD","Period=FQ","BEST_FPERIOD_OVERRIDE=FQ","FILING_STATUS=MR","SCALING_FORMAT=MLN","Sort=A","Dates=H","DateFormat=P","Fill=—","Direction=H","UseDPDF=Y")</f>
        <v>27656</v>
      </c>
      <c r="AM38" s="13">
        <f>_xll.BDH("WMT US Equity","BS_ACCRUAL","FQ3 2025","FQ3 2025","Currency=USD","Period=FQ","BEST_FPERIOD_OVERRIDE=FQ","FILING_STATUS=MR","SCALING_FORMAT=MLN","Sort=A","Dates=H","DateFormat=P","Fill=—","Direction=H","UseDPDF=Y")</f>
        <v>28117</v>
      </c>
      <c r="AN38" s="13">
        <f>_xll.BDH("WMT US Equity","BS_ACCRUAL","FQ4 2025","FQ4 2025","Currency=USD","Period=FQ","BEST_FPERIOD_OVERRIDE=FQ","FILING_STATUS=MR","SCALING_FORMAT=MLN","Sort=A","Dates=H","DateFormat=P","Fill=—","Direction=H","UseDPDF=Y")</f>
        <v>26590</v>
      </c>
      <c r="AO38" s="13">
        <f>_xll.BDH("WMT US Equity","BS_ACCRUAL","FQ1 2026","FQ1 2026","Currency=USD","Period=FQ","BEST_FPERIOD_OVERRIDE=FQ","FILING_STATUS=MR","SCALING_FORMAT=MLN","Sort=A","Dates=H","DateFormat=P","Fill=—","Direction=H","UseDPDF=Y")</f>
        <v>26085</v>
      </c>
      <c r="AP38" s="13">
        <f>_xll.BDH("WMT US Equity","BS_ACCRUAL","FQ2 2026","FQ2 2026","Currency=USD","Period=FQ","BEST_FPERIOD_OVERRIDE=FQ","FILING_STATUS=MR","SCALING_FORMAT=MLN","Sort=A","Dates=H","DateFormat=P","Fill=—","Direction=H","UseDPDF=Y")</f>
        <v>28821</v>
      </c>
    </row>
    <row r="39" spans="1:42" x14ac:dyDescent="0.3">
      <c r="A39" s="10" t="s">
        <v>214</v>
      </c>
      <c r="B39" s="10" t="s">
        <v>118</v>
      </c>
      <c r="C39" s="13">
        <f>_xll.BDH("WMT US Equity","BS_ST_BORROW","FQ3 2016","FQ3 2016","Currency=USD","Period=FQ","BEST_FPERIOD_OVERRIDE=FQ","FILING_STATUS=MR","SCALING_FORMAT=MLN","Sort=A","Dates=H","DateFormat=P","Fill=—","Direction=H","UseDPDF=Y")</f>
        <v>8264</v>
      </c>
      <c r="D39" s="13">
        <f>_xll.BDH("WMT US Equity","BS_ST_BORROW","FQ4 2016","FQ4 2016","Currency=USD","Period=FQ","BEST_FPERIOD_OVERRIDE=FQ","FILING_STATUS=MR","SCALING_FORMAT=MLN","Sort=A","Dates=H","DateFormat=P","Fill=—","Direction=H","UseDPDF=Y")</f>
        <v>6004</v>
      </c>
      <c r="E39" s="13">
        <f>_xll.BDH("WMT US Equity","BS_ST_BORROW","FQ1 2017","FQ1 2017","Currency=USD","Period=FQ","BEST_FPERIOD_OVERRIDE=FQ","FILING_STATUS=MR","SCALING_FORMAT=MLN","Sort=A","Dates=H","DateFormat=P","Fill=—","Direction=H","UseDPDF=Y")</f>
        <v>6629</v>
      </c>
      <c r="F39" s="13">
        <f>_xll.BDH("WMT US Equity","BS_ST_BORROW","FQ2 2017","FQ2 2017","Currency=USD","Period=FQ","BEST_FPERIOD_OVERRIDE=FQ","FILING_STATUS=MR","SCALING_FORMAT=MLN","Sort=A","Dates=H","DateFormat=P","Fill=—","Direction=H","UseDPDF=Y")</f>
        <v>4748</v>
      </c>
      <c r="G39" s="13">
        <f>_xll.BDH("WMT US Equity","BS_ST_BORROW","FQ3 2017","FQ3 2017","Currency=USD","Period=FQ","BEST_FPERIOD_OVERRIDE=FQ","FILING_STATUS=MR","SCALING_FORMAT=MLN","Sort=A","Dates=H","DateFormat=P","Fill=—","Direction=H","UseDPDF=Y")</f>
        <v>7897</v>
      </c>
      <c r="H39" s="13">
        <f>_xll.BDH("WMT US Equity","BS_ST_BORROW","FQ4 2017","FQ4 2017","Currency=USD","Period=FQ","BEST_FPERIOD_OVERRIDE=FQ","FILING_STATUS=MR","SCALING_FORMAT=MLN","Sort=A","Dates=H","DateFormat=P","Fill=—","Direction=H","UseDPDF=Y")</f>
        <v>3920</v>
      </c>
      <c r="I39" s="13">
        <f>_xll.BDH("WMT US Equity","BS_ST_BORROW","FQ1 2018","FQ1 2018","Currency=USD","Period=FQ","BEST_FPERIOD_OVERRIDE=FQ","FILING_STATUS=MR","SCALING_FORMAT=MLN","Sort=A","Dates=H","DateFormat=P","Fill=—","Direction=H","UseDPDF=Y")</f>
        <v>6472</v>
      </c>
      <c r="J39" s="13">
        <f>_xll.BDH("WMT US Equity","BS_ST_BORROW","FQ2 2018","FQ2 2018","Currency=USD","Period=FQ","BEST_FPERIOD_OVERRIDE=FQ","FILING_STATUS=MR","SCALING_FORMAT=MLN","Sort=A","Dates=H","DateFormat=P","Fill=—","Direction=H","UseDPDF=Y")</f>
        <v>7174</v>
      </c>
      <c r="K39" s="13">
        <f>_xll.BDH("WMT US Equity","BS_ST_BORROW","FQ3 2018","FQ3 2018","Currency=USD","Period=FQ","BEST_FPERIOD_OVERRIDE=FQ","FILING_STATUS=MR","SCALING_FORMAT=MLN","Sort=A","Dates=H","DateFormat=P","Fill=—","Direction=H","UseDPDF=Y")</f>
        <v>9021</v>
      </c>
      <c r="L39" s="13">
        <f>_xll.BDH("WMT US Equity","BS_ST_BORROW","FQ4 2018","FQ4 2018","Currency=USD","Period=FQ","BEST_FPERIOD_OVERRIDE=FQ","FILING_STATUS=MR","SCALING_FORMAT=MLN","Sort=A","Dates=H","DateFormat=P","Fill=—","Direction=H","UseDPDF=Y")</f>
        <v>9662</v>
      </c>
      <c r="M39" s="13">
        <f>_xll.BDH("WMT US Equity","BS_ST_BORROW","FQ1 2019","FQ1 2019","Currency=USD","Period=FQ","BEST_FPERIOD_OVERRIDE=FQ","FILING_STATUS=MR","SCALING_FORMAT=MLN","Sort=A","Dates=H","DateFormat=P","Fill=—","Direction=H","UseDPDF=Y")</f>
        <v>10038</v>
      </c>
      <c r="N39" s="13">
        <f>_xll.BDH("WMT US Equity","BS_ST_BORROW","FQ2 2019","FQ2 2019","Currency=USD","Period=FQ","BEST_FPERIOD_OVERRIDE=FQ","FILING_STATUS=MR","SCALING_FORMAT=MLN","Sort=A","Dates=H","DateFormat=P","Fill=—","Direction=H","UseDPDF=Y")</f>
        <v>2228</v>
      </c>
      <c r="O39" s="13">
        <f>_xll.BDH("WMT US Equity","BS_ST_BORROW","FQ3 2019","FQ3 2019","Currency=USD","Period=FQ","BEST_FPERIOD_OVERRIDE=FQ","FILING_STATUS=MR","SCALING_FORMAT=MLN","Sort=A","Dates=H","DateFormat=P","Fill=—","Direction=H","UseDPDF=Y")</f>
        <v>11095</v>
      </c>
      <c r="P39" s="13">
        <f>_xll.BDH("WMT US Equity","BS_ST_BORROW","FQ4 2019","FQ4 2019","Currency=USD","Period=FQ","BEST_FPERIOD_OVERRIDE=FQ","FILING_STATUS=MR","SCALING_FORMAT=MLN","Sort=A","Dates=H","DateFormat=P","Fill=—","Direction=H","UseDPDF=Y")</f>
        <v>7830</v>
      </c>
      <c r="Q39" s="13">
        <f>_xll.BDH("WMT US Equity","BS_ST_BORROW","FQ1 2020","FQ1 2020","Currency=USD","Period=FQ","BEST_FPERIOD_OVERRIDE=FQ","FILING_STATUS=MR","SCALING_FORMAT=MLN","Sort=A","Dates=H","DateFormat=P","Fill=—","Direction=H","UseDPDF=Y")</f>
        <v>8475</v>
      </c>
      <c r="R39" s="13">
        <f>_xll.BDH("WMT US Equity","BS_ST_BORROW","FQ2 2020","FQ2 2020","Currency=USD","Period=FQ","BEST_FPERIOD_OVERRIDE=FQ","FILING_STATUS=MR","SCALING_FORMAT=MLN","Sort=A","Dates=H","DateFormat=P","Fill=—","Direction=H","UseDPDF=Y")</f>
        <v>10311</v>
      </c>
      <c r="S39" s="13">
        <f>_xll.BDH("WMT US Equity","BS_ST_BORROW","FQ3 2020","FQ3 2020","Currency=USD","Period=FQ","BEST_FPERIOD_OVERRIDE=FQ","FILING_STATUS=MR","SCALING_FORMAT=MLN","Sort=A","Dates=H","DateFormat=P","Fill=—","Direction=H","UseDPDF=Y")</f>
        <v>11227</v>
      </c>
      <c r="T39" s="13">
        <f>_xll.BDH("WMT US Equity","BS_ST_BORROW","FQ4 2020","FQ4 2020","Currency=USD","Period=FQ","BEST_FPERIOD_OVERRIDE=FQ","FILING_STATUS=MR","SCALING_FORMAT=MLN","Sort=A","Dates=H","DateFormat=P","Fill=—","Direction=H","UseDPDF=Y")</f>
        <v>8241</v>
      </c>
      <c r="U39" s="13">
        <f>_xll.BDH("WMT US Equity","BS_ST_BORROW","FQ1 2021","FQ1 2021","Currency=USD","Period=FQ","BEST_FPERIOD_OVERRIDE=FQ","FILING_STATUS=MR","SCALING_FORMAT=MLN","Sort=A","Dates=H","DateFormat=P","Fill=—","Direction=H","UseDPDF=Y")</f>
        <v>12283</v>
      </c>
      <c r="V39" s="13">
        <f>_xll.BDH("WMT US Equity","BS_ST_BORROW","FQ2 2021","FQ2 2021","Currency=USD","Period=FQ","BEST_FPERIOD_OVERRIDE=FQ","FILING_STATUS=MR","SCALING_FORMAT=MLN","Sort=A","Dates=H","DateFormat=P","Fill=—","Direction=H","UseDPDF=Y")</f>
        <v>8193</v>
      </c>
      <c r="W39" s="13">
        <f>_xll.BDH("WMT US Equity","BS_ST_BORROW","FQ3 2021","FQ3 2021","Currency=USD","Period=FQ","BEST_FPERIOD_OVERRIDE=FQ","FILING_STATUS=MR","SCALING_FORMAT=MLN","Sort=A","Dates=H","DateFormat=P","Fill=—","Direction=H","UseDPDF=Y")</f>
        <v>6897</v>
      </c>
      <c r="X39" s="13">
        <f>_xll.BDH("WMT US Equity","BS_ST_BORROW","FQ4 2021","FQ4 2021","Currency=USD","Period=FQ","BEST_FPERIOD_OVERRIDE=FQ","FILING_STATUS=MR","SCALING_FORMAT=MLN","Sort=A","Dates=H","DateFormat=P","Fill=—","Direction=H","UseDPDF=Y")</f>
        <v>5296</v>
      </c>
      <c r="Y39" s="13">
        <f>_xll.BDH("WMT US Equity","BS_ST_BORROW","FQ1 2022","FQ1 2022","Currency=USD","Period=FQ","BEST_FPERIOD_OVERRIDE=FQ","FILING_STATUS=MR","SCALING_FORMAT=MLN","Sort=A","Dates=H","DateFormat=P","Fill=—","Direction=H","UseDPDF=Y")</f>
        <v>5817</v>
      </c>
      <c r="Z39" s="13">
        <f>_xll.BDH("WMT US Equity","BS_ST_BORROW","FQ2 2022","FQ2 2022","Currency=USD","Period=FQ","BEST_FPERIOD_OVERRIDE=FQ","FILING_STATUS=MR","SCALING_FORMAT=MLN","Sort=A","Dates=H","DateFormat=P","Fill=—","Direction=H","UseDPDF=Y")</f>
        <v>4230</v>
      </c>
      <c r="AA39" s="13">
        <f>_xll.BDH("WMT US Equity","BS_ST_BORROW","FQ3 2022","FQ3 2022","Currency=USD","Period=FQ","BEST_FPERIOD_OVERRIDE=FQ","FILING_STATUS=MR","SCALING_FORMAT=MLN","Sort=A","Dates=H","DateFormat=P","Fill=—","Direction=H","UseDPDF=Y")</f>
        <v>4016</v>
      </c>
      <c r="AB39" s="13">
        <f>_xll.BDH("WMT US Equity","BS_ST_BORROW","FQ4 2022","FQ4 2022","Currency=USD","Period=FQ","BEST_FPERIOD_OVERRIDE=FQ","FILING_STATUS=MR","SCALING_FORMAT=MLN","Sort=A","Dates=H","DateFormat=P","Fill=—","Direction=H","UseDPDF=Y")</f>
        <v>5207</v>
      </c>
      <c r="AC39" s="13">
        <f>_xll.BDH("WMT US Equity","BS_ST_BORROW","FQ1 2023","FQ1 2023","Currency=USD","Period=FQ","BEST_FPERIOD_OVERRIDE=FQ","FILING_STATUS=MR","SCALING_FORMAT=MLN","Sort=A","Dates=H","DateFormat=P","Fill=—","Direction=H","UseDPDF=Y")</f>
        <v>17008</v>
      </c>
      <c r="AD39" s="13">
        <f>_xll.BDH("WMT US Equity","BS_ST_BORROW","FQ2 2023","FQ2 2023","Currency=USD","Period=FQ","BEST_FPERIOD_OVERRIDE=FQ","FILING_STATUS=MR","SCALING_FORMAT=MLN","Sort=A","Dates=H","DateFormat=P","Fill=—","Direction=H","UseDPDF=Y")</f>
        <v>17948</v>
      </c>
      <c r="AE39" s="13">
        <f>_xll.BDH("WMT US Equity","BS_ST_BORROW","FQ3 2023","FQ3 2023","Currency=USD","Period=FQ","BEST_FPERIOD_OVERRIDE=FQ","FILING_STATUS=MR","SCALING_FORMAT=MLN","Sort=A","Dates=H","DateFormat=P","Fill=—","Direction=H","UseDPDF=Y")</f>
        <v>14275</v>
      </c>
      <c r="AF39" s="13">
        <f>_xll.BDH("WMT US Equity","BS_ST_BORROW","FQ4 2023","FQ4 2023","Currency=USD","Period=FQ","BEST_FPERIOD_OVERRIDE=FQ","FILING_STATUS=MR","SCALING_FORMAT=MLN","Sort=A","Dates=H","DateFormat=P","Fill=—","Direction=H","UseDPDF=Y")</f>
        <v>6603</v>
      </c>
      <c r="AG39" s="13">
        <f>_xll.BDH("WMT US Equity","BS_ST_BORROW","FQ1 2024","FQ1 2024","Currency=USD","Period=FQ","BEST_FPERIOD_OVERRIDE=FQ","FILING_STATUS=MR","SCALING_FORMAT=MLN","Sort=A","Dates=H","DateFormat=P","Fill=—","Direction=H","UseDPDF=Y")</f>
        <v>7783</v>
      </c>
      <c r="AH39" s="13">
        <f>_xll.BDH("WMT US Equity","BS_ST_BORROW","FQ2 2024","FQ2 2024","Currency=USD","Period=FQ","BEST_FPERIOD_OVERRIDE=FQ","FILING_STATUS=MR","SCALING_FORMAT=MLN","Sort=A","Dates=H","DateFormat=P","Fill=—","Direction=H","UseDPDF=Y")</f>
        <v>9568</v>
      </c>
      <c r="AI39" s="13">
        <f>_xll.BDH("WMT US Equity","BS_ST_BORROW","FQ3 2024","FQ3 2024","Currency=USD","Period=FQ","BEST_FPERIOD_OVERRIDE=FQ","FILING_STATUS=MR","SCALING_FORMAT=MLN","Sort=A","Dates=H","DateFormat=P","Fill=—","Direction=H","UseDPDF=Y")</f>
        <v>14910</v>
      </c>
      <c r="AJ39" s="13">
        <f>_xll.BDH("WMT US Equity","BS_ST_BORROW","FQ4 2024","FQ4 2024","Currency=USD","Period=FQ","BEST_FPERIOD_OVERRIDE=FQ","FILING_STATUS=MR","SCALING_FORMAT=MLN","Sort=A","Dates=H","DateFormat=P","Fill=—","Direction=H","UseDPDF=Y")</f>
        <v>6537</v>
      </c>
      <c r="AK39" s="13">
        <f>_xll.BDH("WMT US Equity","BS_ST_BORROW","FQ1 2025","FQ1 2025","Currency=USD","Period=FQ","BEST_FPERIOD_OVERRIDE=FQ","FILING_STATUS=MR","SCALING_FORMAT=MLN","Sort=A","Dates=H","DateFormat=P","Fill=—","Direction=H","UseDPDF=Y")</f>
        <v>9648</v>
      </c>
      <c r="AL39" s="13">
        <f>_xll.BDH("WMT US Equity","BS_ST_BORROW","FQ2 2025","FQ2 2025","Currency=USD","Period=FQ","BEST_FPERIOD_OVERRIDE=FQ","FILING_STATUS=MR","SCALING_FORMAT=MLN","Sort=A","Dates=H","DateFormat=P","Fill=—","Direction=H","UseDPDF=Y")</f>
        <v>6969</v>
      </c>
      <c r="AM39" s="13">
        <f>_xll.BDH("WMT US Equity","BS_ST_BORROW","FQ3 2025","FQ3 2025","Currency=USD","Period=FQ","BEST_FPERIOD_OVERRIDE=FQ","FILING_STATUS=MR","SCALING_FORMAT=MLN","Sort=A","Dates=H","DateFormat=P","Fill=—","Direction=H","UseDPDF=Y")</f>
        <v>9121</v>
      </c>
      <c r="AN39" s="13">
        <f>_xll.BDH("WMT US Equity","BS_ST_BORROW","FQ4 2025","FQ4 2025","Currency=USD","Period=FQ","BEST_FPERIOD_OVERRIDE=FQ","FILING_STATUS=MR","SCALING_FORMAT=MLN","Sort=A","Dates=H","DateFormat=P","Fill=—","Direction=H","UseDPDF=Y")</f>
        <v>7965</v>
      </c>
      <c r="AO39" s="13">
        <f>_xll.BDH("WMT US Equity","BS_ST_BORROW","FQ1 2026","FQ1 2026","Currency=USD","Period=FQ","BEST_FPERIOD_OVERRIDE=FQ","FILING_STATUS=MR","SCALING_FORMAT=MLN","Sort=A","Dates=H","DateFormat=P","Fill=—","Direction=H","UseDPDF=Y")</f>
        <v>12010</v>
      </c>
      <c r="AP39" s="13">
        <f>_xll.BDH("WMT US Equity","BS_ST_BORROW","FQ2 2026","FQ2 2026","Currency=USD","Period=FQ","BEST_FPERIOD_OVERRIDE=FQ","FILING_STATUS=MR","SCALING_FORMAT=MLN","Sort=A","Dates=H","DateFormat=P","Fill=—","Direction=H","UseDPDF=Y")</f>
        <v>10256</v>
      </c>
    </row>
    <row r="40" spans="1:42" x14ac:dyDescent="0.3">
      <c r="A40" s="10" t="s">
        <v>215</v>
      </c>
      <c r="B40" s="10" t="s">
        <v>119</v>
      </c>
      <c r="C40" s="13">
        <f>_xll.BDH("WMT US Equity","SHORT_TERM_DEBT_DETAILED","FQ3 2016","FQ3 2016","Currency=USD","Period=FQ","BEST_FPERIOD_OVERRIDE=FQ","FILING_STATUS=MR","SCALING_FORMAT=MLN","Sort=A","Dates=H","DateFormat=P","Fill=—","Direction=H","UseDPDF=Y")</f>
        <v>4960</v>
      </c>
      <c r="D40" s="13">
        <f>_xll.BDH("WMT US Equity","SHORT_TERM_DEBT_DETAILED","FQ4 2016","FQ4 2016","Currency=USD","Period=FQ","BEST_FPERIOD_OVERRIDE=FQ","FILING_STATUS=MR","SCALING_FORMAT=MLN","Sort=A","Dates=H","DateFormat=P","Fill=—","Direction=H","UseDPDF=Y")</f>
        <v>2708</v>
      </c>
      <c r="E40" s="13">
        <f>_xll.BDH("WMT US Equity","SHORT_TERM_DEBT_DETAILED","FQ1 2017","FQ1 2017","Currency=USD","Period=FQ","BEST_FPERIOD_OVERRIDE=FQ","FILING_STATUS=MR","SCALING_FORMAT=MLN","Sort=A","Dates=H","DateFormat=P","Fill=—","Direction=H","UseDPDF=Y")</f>
        <v>3813</v>
      </c>
      <c r="F40" s="13">
        <f>_xll.BDH("WMT US Equity","SHORT_TERM_DEBT_DETAILED","FQ2 2017","FQ2 2017","Currency=USD","Period=FQ","BEST_FPERIOD_OVERRIDE=FQ","FILING_STATUS=MR","SCALING_FORMAT=MLN","Sort=A","Dates=H","DateFormat=P","Fill=—","Direction=H","UseDPDF=Y")</f>
        <v>1932</v>
      </c>
      <c r="G40" s="13">
        <f>_xll.BDH("WMT US Equity","SHORT_TERM_DEBT_DETAILED","FQ3 2017","FQ3 2017","Currency=USD","Period=FQ","BEST_FPERIOD_OVERRIDE=FQ","FILING_STATUS=MR","SCALING_FORMAT=MLN","Sort=A","Dates=H","DateFormat=P","Fill=—","Direction=H","UseDPDF=Y")</f>
        <v>5082</v>
      </c>
      <c r="H40" s="13">
        <f>_xll.BDH("WMT US Equity","SHORT_TERM_DEBT_DETAILED","FQ4 2017","FQ4 2017","Currency=USD","Period=FQ","BEST_FPERIOD_OVERRIDE=FQ","FILING_STATUS=MR","SCALING_FORMAT=MLN","Sort=A","Dates=H","DateFormat=P","Fill=—","Direction=H","UseDPDF=Y")</f>
        <v>1099</v>
      </c>
      <c r="I40" s="13">
        <f>_xll.BDH("WMT US Equity","SHORT_TERM_DEBT_DETAILED","FQ1 2018","FQ1 2018","Currency=USD","Period=FQ","BEST_FPERIOD_OVERRIDE=FQ","FILING_STATUS=MR","SCALING_FORMAT=MLN","Sort=A","Dates=H","DateFormat=P","Fill=—","Direction=H","UseDPDF=Y")</f>
        <v>2617</v>
      </c>
      <c r="J40" s="13">
        <f>_xll.BDH("WMT US Equity","SHORT_TERM_DEBT_DETAILED","FQ2 2018","FQ2 2018","Currency=USD","Period=FQ","BEST_FPERIOD_OVERRIDE=FQ","FILING_STATUS=MR","SCALING_FORMAT=MLN","Sort=A","Dates=H","DateFormat=P","Fill=—","Direction=H","UseDPDF=Y")</f>
        <v>3262</v>
      </c>
      <c r="K40" s="13">
        <f>_xll.BDH("WMT US Equity","SHORT_TERM_DEBT_DETAILED","FQ3 2018","FQ3 2018","Currency=USD","Period=FQ","BEST_FPERIOD_OVERRIDE=FQ","FILING_STATUS=MR","SCALING_FORMAT=MLN","Sort=A","Dates=H","DateFormat=P","Fill=—","Direction=H","UseDPDF=Y")</f>
        <v>5114</v>
      </c>
      <c r="L40" s="13">
        <f>_xll.BDH("WMT US Equity","SHORT_TERM_DEBT_DETAILED","FQ4 2018","FQ4 2018","Currency=USD","Period=FQ","BEST_FPERIOD_OVERRIDE=FQ","FILING_STATUS=MR","SCALING_FORMAT=MLN","Sort=A","Dates=H","DateFormat=P","Fill=—","Direction=H","UseDPDF=Y")</f>
        <v>5257</v>
      </c>
      <c r="M40" s="13">
        <f>_xll.BDH("WMT US Equity","SHORT_TERM_DEBT_DETAILED","FQ1 2019","FQ1 2019","Currency=USD","Period=FQ","BEST_FPERIOD_OVERRIDE=FQ","FILING_STATUS=MR","SCALING_FORMAT=MLN","Sort=A","Dates=H","DateFormat=P","Fill=—","Direction=H","UseDPDF=Y")</f>
        <v>7762</v>
      </c>
      <c r="N40" s="13">
        <f>_xll.BDH("WMT US Equity","SHORT_TERM_DEBT_DETAILED","FQ2 2019","FQ2 2019","Currency=USD","Period=FQ","BEST_FPERIOD_OVERRIDE=FQ","FILING_STATUS=MR","SCALING_FORMAT=MLN","Sort=A","Dates=H","DateFormat=P","Fill=—","Direction=H","UseDPDF=Y")</f>
        <v>444</v>
      </c>
      <c r="O40" s="13">
        <f>_xll.BDH("WMT US Equity","SHORT_TERM_DEBT_DETAILED","FQ3 2019","FQ3 2019","Currency=USD","Period=FQ","BEST_FPERIOD_OVERRIDE=FQ","FILING_STATUS=MR","SCALING_FORMAT=MLN","Sort=A","Dates=H","DateFormat=P","Fill=—","Direction=H","UseDPDF=Y")</f>
        <v>7795</v>
      </c>
      <c r="P40" s="13">
        <f>_xll.BDH("WMT US Equity","SHORT_TERM_DEBT_DETAILED","FQ4 2019","FQ4 2019","Currency=USD","Period=FQ","BEST_FPERIOD_OVERRIDE=FQ","FILING_STATUS=MR","SCALING_FORMAT=MLN","Sort=A","Dates=H","DateFormat=P","Fill=—","Direction=H","UseDPDF=Y")</f>
        <v>5225</v>
      </c>
      <c r="Q40" s="13">
        <f>_xll.BDH("WMT US Equity","SHORT_TERM_DEBT_DETAILED","FQ1 2020","FQ1 2020","Currency=USD","Period=FQ","BEST_FPERIOD_OVERRIDE=FQ","FILING_STATUS=MR","SCALING_FORMAT=MLN","Sort=A","Dates=H","DateFormat=P","Fill=—","Direction=H","UseDPDF=Y")</f>
        <v>4828</v>
      </c>
      <c r="R40" s="13">
        <f>_xll.BDH("WMT US Equity","SHORT_TERM_DEBT_DETAILED","FQ2 2020","FQ2 2020","Currency=USD","Period=FQ","BEST_FPERIOD_OVERRIDE=FQ","FILING_STATUS=MR","SCALING_FORMAT=MLN","Sort=A","Dates=H","DateFormat=P","Fill=—","Direction=H","UseDPDF=Y")</f>
        <v>3681</v>
      </c>
      <c r="S40" s="13">
        <f>_xll.BDH("WMT US Equity","SHORT_TERM_DEBT_DETAILED","FQ3 2020","FQ3 2020","Currency=USD","Period=FQ","BEST_FPERIOD_OVERRIDE=FQ","FILING_STATUS=MR","SCALING_FORMAT=MLN","Sort=A","Dates=H","DateFormat=P","Fill=—","Direction=H","UseDPDF=Y")</f>
        <v>4926</v>
      </c>
      <c r="T40" s="13">
        <f>_xll.BDH("WMT US Equity","SHORT_TERM_DEBT_DETAILED","FQ4 2020","FQ4 2020","Currency=USD","Period=FQ","BEST_FPERIOD_OVERRIDE=FQ","FILING_STATUS=MR","SCALING_FORMAT=MLN","Sort=A","Dates=H","DateFormat=P","Fill=—","Direction=H","UseDPDF=Y")</f>
        <v>575</v>
      </c>
      <c r="U40" s="13">
        <f>_xll.BDH("WMT US Equity","SHORT_TERM_DEBT_DETAILED","FQ1 2021","FQ1 2021","Currency=USD","Period=FQ","BEST_FPERIOD_OVERRIDE=FQ","FILING_STATUS=MR","SCALING_FORMAT=MLN","Sort=A","Dates=H","DateFormat=P","Fill=—","Direction=H","UseDPDF=Y")</f>
        <v>4048</v>
      </c>
      <c r="V40" s="13">
        <f>_xll.BDH("WMT US Equity","SHORT_TERM_DEBT_DETAILED","FQ2 2021","FQ2 2021","Currency=USD","Period=FQ","BEST_FPERIOD_OVERRIDE=FQ","FILING_STATUS=MR","SCALING_FORMAT=MLN","Sort=A","Dates=H","DateFormat=P","Fill=—","Direction=H","UseDPDF=Y")</f>
        <v>357</v>
      </c>
      <c r="W40" s="13">
        <f>_xll.BDH("WMT US Equity","SHORT_TERM_DEBT_DETAILED","FQ3 2021","FQ3 2021","Currency=USD","Period=FQ","BEST_FPERIOD_OVERRIDE=FQ","FILING_STATUS=MR","SCALING_FORMAT=MLN","Sort=A","Dates=H","DateFormat=P","Fill=—","Direction=H","UseDPDF=Y")</f>
        <v>240</v>
      </c>
      <c r="X40" s="13">
        <f>_xll.BDH("WMT US Equity","SHORT_TERM_DEBT_DETAILED","FQ4 2021","FQ4 2021","Currency=USD","Period=FQ","BEST_FPERIOD_OVERRIDE=FQ","FILING_STATUS=MR","SCALING_FORMAT=MLN","Sort=A","Dates=H","DateFormat=P","Fill=—","Direction=H","UseDPDF=Y")</f>
        <v>224</v>
      </c>
      <c r="Y40" s="13">
        <f>_xll.BDH("WMT US Equity","SHORT_TERM_DEBT_DETAILED","FQ1 2022","FQ1 2022","Currency=USD","Period=FQ","BEST_FPERIOD_OVERRIDE=FQ","FILING_STATUS=MR","SCALING_FORMAT=MLN","Sort=A","Dates=H","DateFormat=P","Fill=—","Direction=H","UseDPDF=Y")</f>
        <v>362</v>
      </c>
      <c r="Z40" s="13">
        <f>_xll.BDH("WMT US Equity","SHORT_TERM_DEBT_DETAILED","FQ2 2022","FQ2 2022","Currency=USD","Period=FQ","BEST_FPERIOD_OVERRIDE=FQ","FILING_STATUS=MR","SCALING_FORMAT=MLN","Sort=A","Dates=H","DateFormat=P","Fill=—","Direction=H","UseDPDF=Y")</f>
        <v>671</v>
      </c>
      <c r="AA40" s="13">
        <f>_xll.BDH("WMT US Equity","SHORT_TERM_DEBT_DETAILED","FQ3 2022","FQ3 2022","Currency=USD","Period=FQ","BEST_FPERIOD_OVERRIDE=FQ","FILING_STATUS=MR","SCALING_FORMAT=MLN","Sort=A","Dates=H","DateFormat=P","Fill=—","Direction=H","UseDPDF=Y")</f>
        <v>447</v>
      </c>
      <c r="AB40" s="13">
        <f>_xll.BDH("WMT US Equity","SHORT_TERM_DEBT_DETAILED","FQ4 2022","FQ4 2022","Currency=USD","Period=FQ","BEST_FPERIOD_OVERRIDE=FQ","FILING_STATUS=MR","SCALING_FORMAT=MLN","Sort=A","Dates=H","DateFormat=P","Fill=—","Direction=H","UseDPDF=Y")</f>
        <v>410</v>
      </c>
      <c r="AC40" s="13">
        <f>_xll.BDH("WMT US Equity","SHORT_TERM_DEBT_DETAILED","FQ1 2023","FQ1 2023","Currency=USD","Period=FQ","BEST_FPERIOD_OVERRIDE=FQ","FILING_STATUS=MR","SCALING_FORMAT=MLN","Sort=A","Dates=H","DateFormat=P","Fill=—","Direction=H","UseDPDF=Y")</f>
        <v>11432</v>
      </c>
      <c r="AD40" s="13">
        <f>_xll.BDH("WMT US Equity","SHORT_TERM_DEBT_DETAILED","FQ2 2023","FQ2 2023","Currency=USD","Period=FQ","BEST_FPERIOD_OVERRIDE=FQ","FILING_STATUS=MR","SCALING_FORMAT=MLN","Sort=A","Dates=H","DateFormat=P","Fill=—","Direction=H","UseDPDF=Y")</f>
        <v>10634</v>
      </c>
      <c r="AE40" s="13">
        <f>_xll.BDH("WMT US Equity","SHORT_TERM_DEBT_DETAILED","FQ3 2023","FQ3 2023","Currency=USD","Period=FQ","BEST_FPERIOD_OVERRIDE=FQ","FILING_STATUS=MR","SCALING_FORMAT=MLN","Sort=A","Dates=H","DateFormat=P","Fill=—","Direction=H","UseDPDF=Y")</f>
        <v>6811</v>
      </c>
      <c r="AF40" s="13">
        <f>_xll.BDH("WMT US Equity","SHORT_TERM_DEBT_DETAILED","FQ4 2023","FQ4 2023","Currency=USD","Period=FQ","BEST_FPERIOD_OVERRIDE=FQ","FILING_STATUS=MR","SCALING_FORMAT=MLN","Sort=A","Dates=H","DateFormat=P","Fill=—","Direction=H","UseDPDF=Y")</f>
        <v>372</v>
      </c>
      <c r="AG40" s="13">
        <f>_xll.BDH("WMT US Equity","SHORT_TERM_DEBT_DETAILED","FQ1 2024","FQ1 2024","Currency=USD","Period=FQ","BEST_FPERIOD_OVERRIDE=FQ","FILING_STATUS=MR","SCALING_FORMAT=MLN","Sort=A","Dates=H","DateFormat=P","Fill=—","Direction=H","UseDPDF=Y")</f>
        <v>1711</v>
      </c>
      <c r="AH40" s="13">
        <f>_xll.BDH("WMT US Equity","SHORT_TERM_DEBT_DETAILED","FQ2 2024","FQ2 2024","Currency=USD","Period=FQ","BEST_FPERIOD_OVERRIDE=FQ","FILING_STATUS=MR","SCALING_FORMAT=MLN","Sort=A","Dates=H","DateFormat=P","Fill=—","Direction=H","UseDPDF=Y")</f>
        <v>4546</v>
      </c>
      <c r="AI40" s="13">
        <f>_xll.BDH("WMT US Equity","SHORT_TERM_DEBT_DETAILED","FQ3 2024","FQ3 2024","Currency=USD","Period=FQ","BEST_FPERIOD_OVERRIDE=FQ","FILING_STATUS=MR","SCALING_FORMAT=MLN","Sort=A","Dates=H","DateFormat=P","Fill=—","Direction=H","UseDPDF=Y")</f>
        <v>9942</v>
      </c>
      <c r="AJ40" s="13">
        <f>_xll.BDH("WMT US Equity","SHORT_TERM_DEBT_DETAILED","FQ4 2024","FQ4 2024","Currency=USD","Period=FQ","BEST_FPERIOD_OVERRIDE=FQ","FILING_STATUS=MR","SCALING_FORMAT=MLN","Sort=A","Dates=H","DateFormat=P","Fill=—","Direction=H","UseDPDF=Y")</f>
        <v>878</v>
      </c>
      <c r="AK40" s="13">
        <f>_xll.BDH("WMT US Equity","SHORT_TERM_DEBT_DETAILED","FQ1 2025","FQ1 2025","Currency=USD","Period=FQ","BEST_FPERIOD_OVERRIDE=FQ","FILING_STATUS=MR","SCALING_FORMAT=MLN","Sort=A","Dates=H","DateFormat=P","Fill=—","Direction=H","UseDPDF=Y")</f>
        <v>5457</v>
      </c>
      <c r="AL40" s="13">
        <f>_xll.BDH("WMT US Equity","SHORT_TERM_DEBT_DETAILED","FQ2 2025","FQ2 2025","Currency=USD","Period=FQ","BEST_FPERIOD_OVERRIDE=FQ","FILING_STATUS=MR","SCALING_FORMAT=MLN","Sort=A","Dates=H","DateFormat=P","Fill=—","Direction=H","UseDPDF=Y")</f>
        <v>3195</v>
      </c>
      <c r="AM40" s="13">
        <f>_xll.BDH("WMT US Equity","SHORT_TERM_DEBT_DETAILED","FQ3 2025","FQ3 2025","Currency=USD","Period=FQ","BEST_FPERIOD_OVERRIDE=FQ","FILING_STATUS=MR","SCALING_FORMAT=MLN","Sort=A","Dates=H","DateFormat=P","Fill=—","Direction=H","UseDPDF=Y")</f>
        <v>3579</v>
      </c>
      <c r="AN40" s="13">
        <f>_xll.BDH("WMT US Equity","SHORT_TERM_DEBT_DETAILED","FQ4 2025","FQ4 2025","Currency=USD","Period=FQ","BEST_FPERIOD_OVERRIDE=FQ","FILING_STATUS=MR","SCALING_FORMAT=MLN","Sort=A","Dates=H","DateFormat=P","Fill=—","Direction=H","UseDPDF=Y")</f>
        <v>3068</v>
      </c>
      <c r="AO40" s="13">
        <f>_xll.BDH("WMT US Equity","SHORT_TERM_DEBT_DETAILED","FQ1 2026","FQ1 2026","Currency=USD","Period=FQ","BEST_FPERIOD_OVERRIDE=FQ","FILING_STATUS=MR","SCALING_FORMAT=MLN","Sort=A","Dates=H","DateFormat=P","Fill=—","Direction=H","UseDPDF=Y")</f>
        <v>5595</v>
      </c>
      <c r="AP40" s="13">
        <f>_xll.BDH("WMT US Equity","SHORT_TERM_DEBT_DETAILED","FQ2 2026","FQ2 2026","Currency=USD","Period=FQ","BEST_FPERIOD_OVERRIDE=FQ","FILING_STATUS=MR","SCALING_FORMAT=MLN","Sort=A","Dates=H","DateFormat=P","Fill=—","Direction=H","UseDPDF=Y")</f>
        <v>3837</v>
      </c>
    </row>
    <row r="41" spans="1:42" x14ac:dyDescent="0.3">
      <c r="A41" s="10" t="s">
        <v>216</v>
      </c>
      <c r="B41" s="10" t="s">
        <v>120</v>
      </c>
      <c r="C41" s="13">
        <f>_xll.BDH("WMT US Equity","ST_CAPITALIZED_LEASE_LIABILITIES","FQ3 2016","FQ3 2016","Currency=USD","Period=FQ","BEST_FPERIOD_OVERRIDE=FQ","FILING_STATUS=MR","SCALING_FORMAT=MLN","Sort=A","Dates=H","DateFormat=P","Fill=—","Direction=H","UseDPDF=Y")</f>
        <v>558</v>
      </c>
      <c r="D41" s="13">
        <f>_xll.BDH("WMT US Equity","ST_CAPITALIZED_LEASE_LIABILITIES","FQ4 2016","FQ4 2016","Currency=USD","Period=FQ","BEST_FPERIOD_OVERRIDE=FQ","FILING_STATUS=MR","SCALING_FORMAT=MLN","Sort=A","Dates=H","DateFormat=P","Fill=—","Direction=H","UseDPDF=Y")</f>
        <v>551</v>
      </c>
      <c r="E41" s="13">
        <f>_xll.BDH("WMT US Equity","ST_CAPITALIZED_LEASE_LIABILITIES","FQ1 2017","FQ1 2017","Currency=USD","Period=FQ","BEST_FPERIOD_OVERRIDE=FQ","FILING_STATUS=MR","SCALING_FORMAT=MLN","Sort=A","Dates=H","DateFormat=P","Fill=—","Direction=H","UseDPDF=Y")</f>
        <v>559</v>
      </c>
      <c r="F41" s="13">
        <f>_xll.BDH("WMT US Equity","ST_CAPITALIZED_LEASE_LIABILITIES","FQ2 2017","FQ2 2017","Currency=USD","Period=FQ","BEST_FPERIOD_OVERRIDE=FQ","FILING_STATUS=MR","SCALING_FORMAT=MLN","Sort=A","Dates=H","DateFormat=P","Fill=—","Direction=H","UseDPDF=Y")</f>
        <v>551</v>
      </c>
      <c r="G41" s="13">
        <f>_xll.BDH("WMT US Equity","ST_CAPITALIZED_LEASE_LIABILITIES","FQ3 2017","FQ3 2017","Currency=USD","Period=FQ","BEST_FPERIOD_OVERRIDE=FQ","FILING_STATUS=MR","SCALING_FORMAT=MLN","Sort=A","Dates=H","DateFormat=P","Fill=—","Direction=H","UseDPDF=Y")</f>
        <v>549</v>
      </c>
      <c r="H41" s="13">
        <f>_xll.BDH("WMT US Equity","ST_CAPITALIZED_LEASE_LIABILITIES","FQ4 2017","FQ4 2017","Currency=USD","Period=FQ","BEST_FPERIOD_OVERRIDE=FQ","FILING_STATUS=MR","SCALING_FORMAT=MLN","Sort=A","Dates=H","DateFormat=P","Fill=—","Direction=H","UseDPDF=Y")</f>
        <v>565</v>
      </c>
      <c r="I41" s="13">
        <f>_xll.BDH("WMT US Equity","ST_CAPITALIZED_LEASE_LIABILITIES","FQ1 2018","FQ1 2018","Currency=USD","Period=FQ","BEST_FPERIOD_OVERRIDE=FQ","FILING_STATUS=MR","SCALING_FORMAT=MLN","Sort=A","Dates=H","DateFormat=P","Fill=—","Direction=H","UseDPDF=Y")</f>
        <v>599</v>
      </c>
      <c r="J41" s="13">
        <f>_xll.BDH("WMT US Equity","ST_CAPITALIZED_LEASE_LIABILITIES","FQ2 2018","FQ2 2018","Currency=USD","Period=FQ","BEST_FPERIOD_OVERRIDE=FQ","FILING_STATUS=MR","SCALING_FORMAT=MLN","Sort=A","Dates=H","DateFormat=P","Fill=—","Direction=H","UseDPDF=Y")</f>
        <v>658</v>
      </c>
      <c r="K41" s="13">
        <f>_xll.BDH("WMT US Equity","ST_CAPITALIZED_LEASE_LIABILITIES","FQ3 2018","FQ3 2018","Currency=USD","Period=FQ","BEST_FPERIOD_OVERRIDE=FQ","FILING_STATUS=MR","SCALING_FORMAT=MLN","Sort=A","Dates=H","DateFormat=P","Fill=—","Direction=H","UseDPDF=Y")</f>
        <v>650</v>
      </c>
      <c r="L41" s="13">
        <f>_xll.BDH("WMT US Equity","ST_CAPITALIZED_LEASE_LIABILITIES","FQ4 2018","FQ4 2018","Currency=USD","Period=FQ","BEST_FPERIOD_OVERRIDE=FQ","FILING_STATUS=MR","SCALING_FORMAT=MLN","Sort=A","Dates=H","DateFormat=P","Fill=—","Direction=H","UseDPDF=Y")</f>
        <v>667</v>
      </c>
      <c r="M41" s="13">
        <f>_xll.BDH("WMT US Equity","ST_CAPITALIZED_LEASE_LIABILITIES","FQ1 2019","FQ1 2019","Currency=USD","Period=FQ","BEST_FPERIOD_OVERRIDE=FQ","FILING_STATUS=MR","SCALING_FORMAT=MLN","Sort=A","Dates=H","DateFormat=P","Fill=—","Direction=H","UseDPDF=Y")</f>
        <v>700</v>
      </c>
      <c r="N41" s="13">
        <f>_xll.BDH("WMT US Equity","ST_CAPITALIZED_LEASE_LIABILITIES","FQ2 2019","FQ2 2019","Currency=USD","Period=FQ","BEST_FPERIOD_OVERRIDE=FQ","FILING_STATUS=MR","SCALING_FORMAT=MLN","Sort=A","Dates=H","DateFormat=P","Fill=—","Direction=H","UseDPDF=Y")</f>
        <v>694</v>
      </c>
      <c r="O41" s="13">
        <f>_xll.BDH("WMT US Equity","ST_CAPITALIZED_LEASE_LIABILITIES","FQ3 2019","FQ3 2019","Currency=USD","Period=FQ","BEST_FPERIOD_OVERRIDE=FQ","FILING_STATUS=MR","SCALING_FORMAT=MLN","Sort=A","Dates=H","DateFormat=P","Fill=—","Direction=H","UseDPDF=Y")</f>
        <v>709</v>
      </c>
      <c r="P41" s="13">
        <f>_xll.BDH("WMT US Equity","ST_CAPITALIZED_LEASE_LIABILITIES","FQ4 2019","FQ4 2019","Currency=USD","Period=FQ","BEST_FPERIOD_OVERRIDE=FQ","FILING_STATUS=MR","SCALING_FORMAT=MLN","Sort=A","Dates=H","DateFormat=P","Fill=—","Direction=H","UseDPDF=Y")</f>
        <v>729</v>
      </c>
      <c r="Q41" s="13">
        <f>_xll.BDH("WMT US Equity","ST_CAPITALIZED_LEASE_LIABILITIES","FQ1 2020","FQ1 2020","Currency=USD","Period=FQ","BEST_FPERIOD_OVERRIDE=FQ","FILING_STATUS=MR","SCALING_FORMAT=MLN","Sort=A","Dates=H","DateFormat=P","Fill=—","Direction=H","UseDPDF=Y")</f>
        <v>2183</v>
      </c>
      <c r="R41" s="13">
        <f>_xll.BDH("WMT US Equity","ST_CAPITALIZED_LEASE_LIABILITIES","FQ2 2020","FQ2 2020","Currency=USD","Period=FQ","BEST_FPERIOD_OVERRIDE=FQ","FILING_STATUS=MR","SCALING_FORMAT=MLN","Sort=A","Dates=H","DateFormat=P","Fill=—","Direction=H","UseDPDF=Y")</f>
        <v>2234</v>
      </c>
      <c r="S41" s="13">
        <f>_xll.BDH("WMT US Equity","ST_CAPITALIZED_LEASE_LIABILITIES","FQ3 2020","FQ3 2020","Currency=USD","Period=FQ","BEST_FPERIOD_OVERRIDE=FQ","FILING_STATUS=MR","SCALING_FORMAT=MLN","Sort=A","Dates=H","DateFormat=P","Fill=—","Direction=H","UseDPDF=Y")</f>
        <v>2208</v>
      </c>
      <c r="T41" s="13">
        <f>_xll.BDH("WMT US Equity","ST_CAPITALIZED_LEASE_LIABILITIES","FQ4 2020","FQ4 2020","Currency=USD","Period=FQ","BEST_FPERIOD_OVERRIDE=FQ","FILING_STATUS=MR","SCALING_FORMAT=MLN","Sort=A","Dates=H","DateFormat=P","Fill=—","Direction=H","UseDPDF=Y")</f>
        <v>2304</v>
      </c>
      <c r="U41" s="13">
        <f>_xll.BDH("WMT US Equity","ST_CAPITALIZED_LEASE_LIABILITIES","FQ1 2021","FQ1 2021","Currency=USD","Period=FQ","BEST_FPERIOD_OVERRIDE=FQ","FILING_STATUS=MR","SCALING_FORMAT=MLN","Sort=A","Dates=H","DateFormat=P","Fill=—","Direction=H","UseDPDF=Y")</f>
        <v>2252</v>
      </c>
      <c r="V41" s="13">
        <f>_xll.BDH("WMT US Equity","ST_CAPITALIZED_LEASE_LIABILITIES","FQ2 2021","FQ2 2021","Currency=USD","Period=FQ","BEST_FPERIOD_OVERRIDE=FQ","FILING_STATUS=MR","SCALING_FORMAT=MLN","Sort=A","Dates=H","DateFormat=P","Fill=—","Direction=H","UseDPDF=Y")</f>
        <v>2283</v>
      </c>
      <c r="W41" s="13">
        <f>_xll.BDH("WMT US Equity","ST_CAPITALIZED_LEASE_LIABILITIES","FQ3 2021","FQ3 2021","Currency=USD","Period=FQ","BEST_FPERIOD_OVERRIDE=FQ","FILING_STATUS=MR","SCALING_FORMAT=MLN","Sort=A","Dates=H","DateFormat=P","Fill=—","Direction=H","UseDPDF=Y")</f>
        <v>2299</v>
      </c>
      <c r="X41" s="13">
        <f>_xll.BDH("WMT US Equity","ST_CAPITALIZED_LEASE_LIABILITIES","FQ4 2021","FQ4 2021","Currency=USD","Period=FQ","BEST_FPERIOD_OVERRIDE=FQ","FILING_STATUS=MR","SCALING_FORMAT=MLN","Sort=A","Dates=H","DateFormat=P","Fill=—","Direction=H","UseDPDF=Y")</f>
        <v>1957</v>
      </c>
      <c r="Y41" s="13">
        <f>_xll.BDH("WMT US Equity","ST_CAPITALIZED_LEASE_LIABILITIES","FQ1 2022","FQ1 2022","Currency=USD","Period=FQ","BEST_FPERIOD_OVERRIDE=FQ","FILING_STATUS=MR","SCALING_FORMAT=MLN","Sort=A","Dates=H","DateFormat=P","Fill=—","Direction=H","UseDPDF=Y")</f>
        <v>1955</v>
      </c>
      <c r="Z41" s="13">
        <f>_xll.BDH("WMT US Equity","ST_CAPITALIZED_LEASE_LIABILITIES","FQ2 2022","FQ2 2022","Currency=USD","Period=FQ","BEST_FPERIOD_OVERRIDE=FQ","FILING_STATUS=MR","SCALING_FORMAT=MLN","Sort=A","Dates=H","DateFormat=P","Fill=—","Direction=H","UseDPDF=Y")</f>
        <v>1942</v>
      </c>
      <c r="AA41" s="13">
        <f>_xll.BDH("WMT US Equity","ST_CAPITALIZED_LEASE_LIABILITIES","FQ3 2022","FQ3 2022","Currency=USD","Period=FQ","BEST_FPERIOD_OVERRIDE=FQ","FILING_STATUS=MR","SCALING_FORMAT=MLN","Sort=A","Dates=H","DateFormat=P","Fill=—","Direction=H","UseDPDF=Y")</f>
        <v>1994</v>
      </c>
      <c r="AB41" s="13">
        <f>_xll.BDH("WMT US Equity","ST_CAPITALIZED_LEASE_LIABILITIES","FQ4 2022","FQ4 2022","Currency=USD","Period=FQ","BEST_FPERIOD_OVERRIDE=FQ","FILING_STATUS=MR","SCALING_FORMAT=MLN","Sort=A","Dates=H","DateFormat=P","Fill=—","Direction=H","UseDPDF=Y")</f>
        <v>1994</v>
      </c>
      <c r="AC41" s="13">
        <f>_xll.BDH("WMT US Equity","ST_CAPITALIZED_LEASE_LIABILITIES","FQ1 2023","FQ1 2023","Currency=USD","Period=FQ","BEST_FPERIOD_OVERRIDE=FQ","FILING_STATUS=MR","SCALING_FORMAT=MLN","Sort=A","Dates=H","DateFormat=P","Fill=—","Direction=H","UseDPDF=Y")</f>
        <v>1996</v>
      </c>
      <c r="AD41" s="13">
        <f>_xll.BDH("WMT US Equity","ST_CAPITALIZED_LEASE_LIABILITIES","FQ2 2023","FQ2 2023","Currency=USD","Period=FQ","BEST_FPERIOD_OVERRIDE=FQ","FILING_STATUS=MR","SCALING_FORMAT=MLN","Sort=A","Dates=H","DateFormat=P","Fill=—","Direction=H","UseDPDF=Y")</f>
        <v>1998</v>
      </c>
      <c r="AE41" s="13">
        <f>_xll.BDH("WMT US Equity","ST_CAPITALIZED_LEASE_LIABILITIES","FQ3 2023","FQ3 2023","Currency=USD","Period=FQ","BEST_FPERIOD_OVERRIDE=FQ","FILING_STATUS=MR","SCALING_FORMAT=MLN","Sort=A","Dates=H","DateFormat=P","Fill=—","Direction=H","UseDPDF=Y")</f>
        <v>2006</v>
      </c>
      <c r="AF41" s="13">
        <f>_xll.BDH("WMT US Equity","ST_CAPITALIZED_LEASE_LIABILITIES","FQ4 2023","FQ4 2023","Currency=USD","Period=FQ","BEST_FPERIOD_OVERRIDE=FQ","FILING_STATUS=MR","SCALING_FORMAT=MLN","Sort=A","Dates=H","DateFormat=P","Fill=—","Direction=H","UseDPDF=Y")</f>
        <v>2040</v>
      </c>
      <c r="AG41" s="13">
        <f>_xll.BDH("WMT US Equity","ST_CAPITALIZED_LEASE_LIABILITIES","FQ1 2024","FQ1 2024","Currency=USD","Period=FQ","BEST_FPERIOD_OVERRIDE=FQ","FILING_STATUS=MR","SCALING_FORMAT=MLN","Sort=A","Dates=H","DateFormat=P","Fill=—","Direction=H","UseDPDF=Y")</f>
        <v>2097</v>
      </c>
      <c r="AH41" s="13">
        <f>_xll.BDH("WMT US Equity","ST_CAPITALIZED_LEASE_LIABILITIES","FQ2 2024","FQ2 2024","Currency=USD","Period=FQ","BEST_FPERIOD_OVERRIDE=FQ","FILING_STATUS=MR","SCALING_FORMAT=MLN","Sort=A","Dates=H","DateFormat=P","Fill=—","Direction=H","UseDPDF=Y")</f>
        <v>2125</v>
      </c>
      <c r="AI41" s="13">
        <f>_xll.BDH("WMT US Equity","ST_CAPITALIZED_LEASE_LIABILITIES","FQ3 2024","FQ3 2024","Currency=USD","Period=FQ","BEST_FPERIOD_OVERRIDE=FQ","FILING_STATUS=MR","SCALING_FORMAT=MLN","Sort=A","Dates=H","DateFormat=P","Fill=—","Direction=H","UseDPDF=Y")</f>
        <v>2162</v>
      </c>
      <c r="AJ41" s="13">
        <f>_xll.BDH("WMT US Equity","ST_CAPITALIZED_LEASE_LIABILITIES","FQ4 2024","FQ4 2024","Currency=USD","Period=FQ","BEST_FPERIOD_OVERRIDE=FQ","FILING_STATUS=MR","SCALING_FORMAT=MLN","Sort=A","Dates=H","DateFormat=P","Fill=—","Direction=H","UseDPDF=Y")</f>
        <v>2212</v>
      </c>
      <c r="AK41" s="13">
        <f>_xll.BDH("WMT US Equity","ST_CAPITALIZED_LEASE_LIABILITIES","FQ1 2025","FQ1 2025","Currency=USD","Period=FQ","BEST_FPERIOD_OVERRIDE=FQ","FILING_STATUS=MR","SCALING_FORMAT=MLN","Sort=A","Dates=H","DateFormat=P","Fill=—","Direction=H","UseDPDF=Y")</f>
        <v>2326</v>
      </c>
      <c r="AL41" s="13">
        <f>_xll.BDH("WMT US Equity","ST_CAPITALIZED_LEASE_LIABILITIES","FQ2 2025","FQ2 2025","Currency=USD","Period=FQ","BEST_FPERIOD_OVERRIDE=FQ","FILING_STATUS=MR","SCALING_FORMAT=MLN","Sort=A","Dates=H","DateFormat=P","Fill=—","Direction=H","UseDPDF=Y")</f>
        <v>2279</v>
      </c>
      <c r="AM41" s="13">
        <f>_xll.BDH("WMT US Equity","ST_CAPITALIZED_LEASE_LIABILITIES","FQ3 2025","FQ3 2025","Currency=USD","Period=FQ","BEST_FPERIOD_OVERRIDE=FQ","FILING_STATUS=MR","SCALING_FORMAT=MLN","Sort=A","Dates=H","DateFormat=P","Fill=—","Direction=H","UseDPDF=Y")</f>
        <v>2296</v>
      </c>
      <c r="AN41" s="13">
        <f>_xll.BDH("WMT US Equity","ST_CAPITALIZED_LEASE_LIABILITIES","FQ4 2025","FQ4 2025","Currency=USD","Period=FQ","BEST_FPERIOD_OVERRIDE=FQ","FILING_STATUS=MR","SCALING_FORMAT=MLN","Sort=A","Dates=H","DateFormat=P","Fill=—","Direction=H","UseDPDF=Y")</f>
        <v>2299</v>
      </c>
      <c r="AO41" s="13">
        <f>_xll.BDH("WMT US Equity","ST_CAPITALIZED_LEASE_LIABILITIES","FQ1 2026","FQ1 2026","Currency=USD","Period=FQ","BEST_FPERIOD_OVERRIDE=FQ","FILING_STATUS=MR","SCALING_FORMAT=MLN","Sort=A","Dates=H","DateFormat=P","Fill=—","Direction=H","UseDPDF=Y")</f>
        <v>2330</v>
      </c>
      <c r="AP41" s="13">
        <f>_xll.BDH("WMT US Equity","ST_CAPITALIZED_LEASE_LIABILITIES","FQ2 2026","FQ2 2026","Currency=USD","Period=FQ","BEST_FPERIOD_OVERRIDE=FQ","FILING_STATUS=MR","SCALING_FORMAT=MLN","Sort=A","Dates=H","DateFormat=P","Fill=—","Direction=H","UseDPDF=Y")</f>
        <v>2408</v>
      </c>
    </row>
    <row r="42" spans="1:42" x14ac:dyDescent="0.3">
      <c r="A42" s="11" t="s">
        <v>217</v>
      </c>
      <c r="B42" s="11" t="s">
        <v>121</v>
      </c>
      <c r="C42" s="17">
        <f>_xll.BDH("WMT US Equity","ST_CAPITAL_LEASE_OBLIGATIONS","FQ3 2016","FQ3 2016","Currency=USD","Period=FQ","BEST_FPERIOD_OVERRIDE=FQ","FILING_STATUS=MR","SCALING_FORMAT=MLN","Sort=A","Dates=H","DateFormat=P","Fill=—","Direction=H","UseDPDF=Y")</f>
        <v>558</v>
      </c>
      <c r="D42" s="17">
        <f>_xll.BDH("WMT US Equity","ST_CAPITAL_LEASE_OBLIGATIONS","FQ4 2016","FQ4 2016","Currency=USD","Period=FQ","BEST_FPERIOD_OVERRIDE=FQ","FILING_STATUS=MR","SCALING_FORMAT=MLN","Sort=A","Dates=H","DateFormat=P","Fill=—","Direction=H","UseDPDF=Y")</f>
        <v>551</v>
      </c>
      <c r="E42" s="17">
        <f>_xll.BDH("WMT US Equity","ST_CAPITAL_LEASE_OBLIGATIONS","FQ1 2017","FQ1 2017","Currency=USD","Period=FQ","BEST_FPERIOD_OVERRIDE=FQ","FILING_STATUS=MR","SCALING_FORMAT=MLN","Sort=A","Dates=H","DateFormat=P","Fill=—","Direction=H","UseDPDF=Y")</f>
        <v>559</v>
      </c>
      <c r="F42" s="17">
        <f>_xll.BDH("WMT US Equity","ST_CAPITAL_LEASE_OBLIGATIONS","FQ2 2017","FQ2 2017","Currency=USD","Period=FQ","BEST_FPERIOD_OVERRIDE=FQ","FILING_STATUS=MR","SCALING_FORMAT=MLN","Sort=A","Dates=H","DateFormat=P","Fill=—","Direction=H","UseDPDF=Y")</f>
        <v>551</v>
      </c>
      <c r="G42" s="17">
        <f>_xll.BDH("WMT US Equity","ST_CAPITAL_LEASE_OBLIGATIONS","FQ3 2017","FQ3 2017","Currency=USD","Period=FQ","BEST_FPERIOD_OVERRIDE=FQ","FILING_STATUS=MR","SCALING_FORMAT=MLN","Sort=A","Dates=H","DateFormat=P","Fill=—","Direction=H","UseDPDF=Y")</f>
        <v>549</v>
      </c>
      <c r="H42" s="17">
        <f>_xll.BDH("WMT US Equity","ST_CAPITAL_LEASE_OBLIGATIONS","FQ4 2017","FQ4 2017","Currency=USD","Period=FQ","BEST_FPERIOD_OVERRIDE=FQ","FILING_STATUS=MR","SCALING_FORMAT=MLN","Sort=A","Dates=H","DateFormat=P","Fill=—","Direction=H","UseDPDF=Y")</f>
        <v>565</v>
      </c>
      <c r="I42" s="17">
        <f>_xll.BDH("WMT US Equity","ST_CAPITAL_LEASE_OBLIGATIONS","FQ1 2018","FQ1 2018","Currency=USD","Period=FQ","BEST_FPERIOD_OVERRIDE=FQ","FILING_STATUS=MR","SCALING_FORMAT=MLN","Sort=A","Dates=H","DateFormat=P","Fill=—","Direction=H","UseDPDF=Y")</f>
        <v>599</v>
      </c>
      <c r="J42" s="17">
        <f>_xll.BDH("WMT US Equity","ST_CAPITAL_LEASE_OBLIGATIONS","FQ2 2018","FQ2 2018","Currency=USD","Period=FQ","BEST_FPERIOD_OVERRIDE=FQ","FILING_STATUS=MR","SCALING_FORMAT=MLN","Sort=A","Dates=H","DateFormat=P","Fill=—","Direction=H","UseDPDF=Y")</f>
        <v>658</v>
      </c>
      <c r="K42" s="17">
        <f>_xll.BDH("WMT US Equity","ST_CAPITAL_LEASE_OBLIGATIONS","FQ3 2018","FQ3 2018","Currency=USD","Period=FQ","BEST_FPERIOD_OVERRIDE=FQ","FILING_STATUS=MR","SCALING_FORMAT=MLN","Sort=A","Dates=H","DateFormat=P","Fill=—","Direction=H","UseDPDF=Y")</f>
        <v>650</v>
      </c>
      <c r="L42" s="17">
        <f>_xll.BDH("WMT US Equity","ST_CAPITAL_LEASE_OBLIGATIONS","FQ4 2018","FQ4 2018","Currency=USD","Period=FQ","BEST_FPERIOD_OVERRIDE=FQ","FILING_STATUS=MR","SCALING_FORMAT=MLN","Sort=A","Dates=H","DateFormat=P","Fill=—","Direction=H","UseDPDF=Y")</f>
        <v>667</v>
      </c>
      <c r="M42" s="17">
        <f>_xll.BDH("WMT US Equity","ST_CAPITAL_LEASE_OBLIGATIONS","FQ1 2019","FQ1 2019","Currency=USD","Period=FQ","BEST_FPERIOD_OVERRIDE=FQ","FILING_STATUS=MR","SCALING_FORMAT=MLN","Sort=A","Dates=H","DateFormat=P","Fill=—","Direction=H","UseDPDF=Y")</f>
        <v>700</v>
      </c>
      <c r="N42" s="17">
        <f>_xll.BDH("WMT US Equity","ST_CAPITAL_LEASE_OBLIGATIONS","FQ2 2019","FQ2 2019","Currency=USD","Period=FQ","BEST_FPERIOD_OVERRIDE=FQ","FILING_STATUS=MR","SCALING_FORMAT=MLN","Sort=A","Dates=H","DateFormat=P","Fill=—","Direction=H","UseDPDF=Y")</f>
        <v>694</v>
      </c>
      <c r="O42" s="17">
        <f>_xll.BDH("WMT US Equity","ST_CAPITAL_LEASE_OBLIGATIONS","FQ3 2019","FQ3 2019","Currency=USD","Period=FQ","BEST_FPERIOD_OVERRIDE=FQ","FILING_STATUS=MR","SCALING_FORMAT=MLN","Sort=A","Dates=H","DateFormat=P","Fill=—","Direction=H","UseDPDF=Y")</f>
        <v>709</v>
      </c>
      <c r="P42" s="17">
        <f>_xll.BDH("WMT US Equity","ST_CAPITAL_LEASE_OBLIGATIONS","FQ4 2019","FQ4 2019","Currency=USD","Period=FQ","BEST_FPERIOD_OVERRIDE=FQ","FILING_STATUS=MR","SCALING_FORMAT=MLN","Sort=A","Dates=H","DateFormat=P","Fill=—","Direction=H","UseDPDF=Y")</f>
        <v>729</v>
      </c>
      <c r="Q42" s="17">
        <f>_xll.BDH("WMT US Equity","ST_CAPITAL_LEASE_OBLIGATIONS","FQ1 2020","FQ1 2020","Currency=USD","Period=FQ","BEST_FPERIOD_OVERRIDE=FQ","FILING_STATUS=MR","SCALING_FORMAT=MLN","Sort=A","Dates=H","DateFormat=P","Fill=—","Direction=H","UseDPDF=Y")</f>
        <v>435</v>
      </c>
      <c r="R42" s="17">
        <f>_xll.BDH("WMT US Equity","ST_CAPITAL_LEASE_OBLIGATIONS","FQ2 2020","FQ2 2020","Currency=USD","Period=FQ","BEST_FPERIOD_OVERRIDE=FQ","FILING_STATUS=MR","SCALING_FORMAT=MLN","Sort=A","Dates=H","DateFormat=P","Fill=—","Direction=H","UseDPDF=Y")</f>
        <v>439</v>
      </c>
      <c r="S42" s="17">
        <f>_xll.BDH("WMT US Equity","ST_CAPITAL_LEASE_OBLIGATIONS","FQ3 2020","FQ3 2020","Currency=USD","Period=FQ","BEST_FPERIOD_OVERRIDE=FQ","FILING_STATUS=MR","SCALING_FORMAT=MLN","Sort=A","Dates=H","DateFormat=P","Fill=—","Direction=H","UseDPDF=Y")</f>
        <v>468</v>
      </c>
      <c r="T42" s="17">
        <f>_xll.BDH("WMT US Equity","ST_CAPITAL_LEASE_OBLIGATIONS","FQ4 2020","FQ4 2020","Currency=USD","Period=FQ","BEST_FPERIOD_OVERRIDE=FQ","FILING_STATUS=MR","SCALING_FORMAT=MLN","Sort=A","Dates=H","DateFormat=P","Fill=—","Direction=H","UseDPDF=Y")</f>
        <v>511</v>
      </c>
      <c r="U42" s="17">
        <f>_xll.BDH("WMT US Equity","ST_CAPITAL_LEASE_OBLIGATIONS","FQ1 2021","FQ1 2021","Currency=USD","Period=FQ","BEST_FPERIOD_OVERRIDE=FQ","FILING_STATUS=MR","SCALING_FORMAT=MLN","Sort=A","Dates=H","DateFormat=P","Fill=—","Direction=H","UseDPDF=Y")</f>
        <v>523</v>
      </c>
      <c r="V42" s="17">
        <f>_xll.BDH("WMT US Equity","ST_CAPITAL_LEASE_OBLIGATIONS","FQ2 2021","FQ2 2021","Currency=USD","Period=FQ","BEST_FPERIOD_OVERRIDE=FQ","FILING_STATUS=MR","SCALING_FORMAT=MLN","Sort=A","Dates=H","DateFormat=P","Fill=—","Direction=H","UseDPDF=Y")</f>
        <v>549</v>
      </c>
      <c r="W42" s="17">
        <f>_xll.BDH("WMT US Equity","ST_CAPITAL_LEASE_OBLIGATIONS","FQ3 2021","FQ3 2021","Currency=USD","Period=FQ","BEST_FPERIOD_OVERRIDE=FQ","FILING_STATUS=MR","SCALING_FORMAT=MLN","Sort=A","Dates=H","DateFormat=P","Fill=—","Direction=H","UseDPDF=Y")</f>
        <v>574</v>
      </c>
      <c r="X42" s="17">
        <f>_xll.BDH("WMT US Equity","ST_CAPITAL_LEASE_OBLIGATIONS","FQ4 2021","FQ4 2021","Currency=USD","Period=FQ","BEST_FPERIOD_OVERRIDE=FQ","FILING_STATUS=MR","SCALING_FORMAT=MLN","Sort=A","Dates=H","DateFormat=P","Fill=—","Direction=H","UseDPDF=Y")</f>
        <v>491</v>
      </c>
      <c r="Y42" s="17">
        <f>_xll.BDH("WMT US Equity","ST_CAPITAL_LEASE_OBLIGATIONS","FQ1 2022","FQ1 2022","Currency=USD","Period=FQ","BEST_FPERIOD_OVERRIDE=FQ","FILING_STATUS=MR","SCALING_FORMAT=MLN","Sort=A","Dates=H","DateFormat=P","Fill=—","Direction=H","UseDPDF=Y")</f>
        <v>507</v>
      </c>
      <c r="Z42" s="17">
        <f>_xll.BDH("WMT US Equity","ST_CAPITAL_LEASE_OBLIGATIONS","FQ2 2022","FQ2 2022","Currency=USD","Period=FQ","BEST_FPERIOD_OVERRIDE=FQ","FILING_STATUS=MR","SCALING_FORMAT=MLN","Sort=A","Dates=H","DateFormat=P","Fill=—","Direction=H","UseDPDF=Y")</f>
        <v>501</v>
      </c>
      <c r="AA42" s="17">
        <f>_xll.BDH("WMT US Equity","ST_CAPITAL_LEASE_OBLIGATIONS","FQ3 2022","FQ3 2022","Currency=USD","Period=FQ","BEST_FPERIOD_OVERRIDE=FQ","FILING_STATUS=MR","SCALING_FORMAT=MLN","Sort=A","Dates=H","DateFormat=P","Fill=—","Direction=H","UseDPDF=Y")</f>
        <v>508</v>
      </c>
      <c r="AB42" s="17">
        <f>_xll.BDH("WMT US Equity","ST_CAPITAL_LEASE_OBLIGATIONS","FQ4 2022","FQ4 2022","Currency=USD","Period=FQ","BEST_FPERIOD_OVERRIDE=FQ","FILING_STATUS=MR","SCALING_FORMAT=MLN","Sort=A","Dates=H","DateFormat=P","Fill=—","Direction=H","UseDPDF=Y")</f>
        <v>511</v>
      </c>
      <c r="AC42" s="17">
        <f>_xll.BDH("WMT US Equity","ST_CAPITAL_LEASE_OBLIGATIONS","FQ1 2023","FQ1 2023","Currency=USD","Period=FQ","BEST_FPERIOD_OVERRIDE=FQ","FILING_STATUS=MR","SCALING_FORMAT=MLN","Sort=A","Dates=H","DateFormat=P","Fill=—","Direction=H","UseDPDF=Y")</f>
        <v>511</v>
      </c>
      <c r="AD42" s="17">
        <f>_xll.BDH("WMT US Equity","ST_CAPITAL_LEASE_OBLIGATIONS","FQ2 2023","FQ2 2023","Currency=USD","Period=FQ","BEST_FPERIOD_OVERRIDE=FQ","FILING_STATUS=MR","SCALING_FORMAT=MLN","Sort=A","Dates=H","DateFormat=P","Fill=—","Direction=H","UseDPDF=Y")</f>
        <v>534</v>
      </c>
      <c r="AE42" s="17">
        <f>_xll.BDH("WMT US Equity","ST_CAPITAL_LEASE_OBLIGATIONS","FQ3 2023","FQ3 2023","Currency=USD","Period=FQ","BEST_FPERIOD_OVERRIDE=FQ","FILING_STATUS=MR","SCALING_FORMAT=MLN","Sort=A","Dates=H","DateFormat=P","Fill=—","Direction=H","UseDPDF=Y")</f>
        <v>549</v>
      </c>
      <c r="AF42" s="17">
        <f>_xll.BDH("WMT US Equity","ST_CAPITAL_LEASE_OBLIGATIONS","FQ4 2023","FQ4 2023","Currency=USD","Period=FQ","BEST_FPERIOD_OVERRIDE=FQ","FILING_STATUS=MR","SCALING_FORMAT=MLN","Sort=A","Dates=H","DateFormat=P","Fill=—","Direction=H","UseDPDF=Y")</f>
        <v>567</v>
      </c>
      <c r="AG42" s="17">
        <f>_xll.BDH("WMT US Equity","ST_CAPITAL_LEASE_OBLIGATIONS","FQ1 2024","FQ1 2024","Currency=USD","Period=FQ","BEST_FPERIOD_OVERRIDE=FQ","FILING_STATUS=MR","SCALING_FORMAT=MLN","Sort=A","Dates=H","DateFormat=P","Fill=—","Direction=H","UseDPDF=Y")</f>
        <v>607</v>
      </c>
      <c r="AH42" s="17">
        <f>_xll.BDH("WMT US Equity","ST_CAPITAL_LEASE_OBLIGATIONS","FQ2 2024","FQ2 2024","Currency=USD","Period=FQ","BEST_FPERIOD_OVERRIDE=FQ","FILING_STATUS=MR","SCALING_FORMAT=MLN","Sort=A","Dates=H","DateFormat=P","Fill=—","Direction=H","UseDPDF=Y")</f>
        <v>653</v>
      </c>
      <c r="AI42" s="17">
        <f>_xll.BDH("WMT US Equity","ST_CAPITAL_LEASE_OBLIGATIONS","FQ3 2024","FQ3 2024","Currency=USD","Period=FQ","BEST_FPERIOD_OVERRIDE=FQ","FILING_STATUS=MR","SCALING_FORMAT=MLN","Sort=A","Dates=H","DateFormat=P","Fill=—","Direction=H","UseDPDF=Y")</f>
        <v>688</v>
      </c>
      <c r="AJ42" s="17">
        <f>_xll.BDH("WMT US Equity","ST_CAPITAL_LEASE_OBLIGATIONS","FQ4 2024","FQ4 2024","Currency=USD","Period=FQ","BEST_FPERIOD_OVERRIDE=FQ","FILING_STATUS=MR","SCALING_FORMAT=MLN","Sort=A","Dates=H","DateFormat=P","Fill=—","Direction=H","UseDPDF=Y")</f>
        <v>725</v>
      </c>
      <c r="AK42" s="17">
        <f>_xll.BDH("WMT US Equity","ST_CAPITAL_LEASE_OBLIGATIONS","FQ1 2025","FQ1 2025","Currency=USD","Period=FQ","BEST_FPERIOD_OVERRIDE=FQ","FILING_STATUS=MR","SCALING_FORMAT=MLN","Sort=A","Dates=H","DateFormat=P","Fill=—","Direction=H","UseDPDF=Y")</f>
        <v>844</v>
      </c>
      <c r="AL42" s="17">
        <f>_xll.BDH("WMT US Equity","ST_CAPITAL_LEASE_OBLIGATIONS","FQ2 2025","FQ2 2025","Currency=USD","Period=FQ","BEST_FPERIOD_OVERRIDE=FQ","FILING_STATUS=MR","SCALING_FORMAT=MLN","Sort=A","Dates=H","DateFormat=P","Fill=—","Direction=H","UseDPDF=Y")</f>
        <v>786</v>
      </c>
      <c r="AM42" s="17">
        <f>_xll.BDH("WMT US Equity","ST_CAPITAL_LEASE_OBLIGATIONS","FQ3 2025","FQ3 2025","Currency=USD","Period=FQ","BEST_FPERIOD_OVERRIDE=FQ","FILING_STATUS=MR","SCALING_FORMAT=MLN","Sort=A","Dates=H","DateFormat=P","Fill=—","Direction=H","UseDPDF=Y")</f>
        <v>789</v>
      </c>
      <c r="AN42" s="17">
        <f>_xll.BDH("WMT US Equity","ST_CAPITAL_LEASE_OBLIGATIONS","FQ4 2025","FQ4 2025","Currency=USD","Period=FQ","BEST_FPERIOD_OVERRIDE=FQ","FILING_STATUS=MR","SCALING_FORMAT=MLN","Sort=A","Dates=H","DateFormat=P","Fill=—","Direction=H","UseDPDF=Y")</f>
        <v>800</v>
      </c>
      <c r="AO42" s="17">
        <f>_xll.BDH("WMT US Equity","ST_CAPITAL_LEASE_OBLIGATIONS","FQ1 2026","FQ1 2026","Currency=USD","Period=FQ","BEST_FPERIOD_OVERRIDE=FQ","FILING_STATUS=MR","SCALING_FORMAT=MLN","Sort=A","Dates=H","DateFormat=P","Fill=—","Direction=H","UseDPDF=Y")</f>
        <v>791</v>
      </c>
      <c r="AP42" s="17">
        <f>_xll.BDH("WMT US Equity","ST_CAPITAL_LEASE_OBLIGATIONS","FQ2 2026","FQ2 2026","Currency=USD","Period=FQ","BEST_FPERIOD_OVERRIDE=FQ","FILING_STATUS=MR","SCALING_FORMAT=MLN","Sort=A","Dates=H","DateFormat=P","Fill=—","Direction=H","UseDPDF=Y")</f>
        <v>828</v>
      </c>
    </row>
    <row r="43" spans="1:42" x14ac:dyDescent="0.3">
      <c r="A43" s="11" t="s">
        <v>218</v>
      </c>
      <c r="B43" s="11" t="s">
        <v>122</v>
      </c>
      <c r="C43" s="17" t="str">
        <f>_xll.BDH("WMT US Equity","BS_ST_OPERATING_LEASE_LIABS","FQ3 2016","FQ3 2016","Currency=USD","Period=FQ","BEST_FPERIOD_OVERRIDE=FQ","FILING_STATUS=MR","SCALING_FORMAT=MLN","Sort=A","Dates=H","DateFormat=P","Fill=—","Direction=H","UseDPDF=Y")</f>
        <v>—</v>
      </c>
      <c r="D43" s="17" t="str">
        <f>_xll.BDH("WMT US Equity","BS_ST_OPERATING_LEASE_LIABS","FQ4 2016","FQ4 2016","Currency=USD","Period=FQ","BEST_FPERIOD_OVERRIDE=FQ","FILING_STATUS=MR","SCALING_FORMAT=MLN","Sort=A","Dates=H","DateFormat=P","Fill=—","Direction=H","UseDPDF=Y")</f>
        <v>—</v>
      </c>
      <c r="E43" s="17" t="str">
        <f>_xll.BDH("WMT US Equity","BS_ST_OPERATING_LEASE_LIABS","FQ1 2017","FQ1 2017","Currency=USD","Period=FQ","BEST_FPERIOD_OVERRIDE=FQ","FILING_STATUS=MR","SCALING_FORMAT=MLN","Sort=A","Dates=H","DateFormat=P","Fill=—","Direction=H","UseDPDF=Y")</f>
        <v>—</v>
      </c>
      <c r="F43" s="17" t="str">
        <f>_xll.BDH("WMT US Equity","BS_ST_OPERATING_LEASE_LIABS","FQ2 2017","FQ2 2017","Currency=USD","Period=FQ","BEST_FPERIOD_OVERRIDE=FQ","FILING_STATUS=MR","SCALING_FORMAT=MLN","Sort=A","Dates=H","DateFormat=P","Fill=—","Direction=H","UseDPDF=Y")</f>
        <v>—</v>
      </c>
      <c r="G43" s="17" t="str">
        <f>_xll.BDH("WMT US Equity","BS_ST_OPERATING_LEASE_LIABS","FQ3 2017","FQ3 2017","Currency=USD","Period=FQ","BEST_FPERIOD_OVERRIDE=FQ","FILING_STATUS=MR","SCALING_FORMAT=MLN","Sort=A","Dates=H","DateFormat=P","Fill=—","Direction=H","UseDPDF=Y")</f>
        <v>—</v>
      </c>
      <c r="H43" s="17" t="str">
        <f>_xll.BDH("WMT US Equity","BS_ST_OPERATING_LEASE_LIABS","FQ4 2017","FQ4 2017","Currency=USD","Period=FQ","BEST_FPERIOD_OVERRIDE=FQ","FILING_STATUS=MR","SCALING_FORMAT=MLN","Sort=A","Dates=H","DateFormat=P","Fill=—","Direction=H","UseDPDF=Y")</f>
        <v>—</v>
      </c>
      <c r="I43" s="17" t="str">
        <f>_xll.BDH("WMT US Equity","BS_ST_OPERATING_LEASE_LIABS","FQ1 2018","FQ1 2018","Currency=USD","Period=FQ","BEST_FPERIOD_OVERRIDE=FQ","FILING_STATUS=MR","SCALING_FORMAT=MLN","Sort=A","Dates=H","DateFormat=P","Fill=—","Direction=H","UseDPDF=Y")</f>
        <v>—</v>
      </c>
      <c r="J43" s="17" t="str">
        <f>_xll.BDH("WMT US Equity","BS_ST_OPERATING_LEASE_LIABS","FQ2 2018","FQ2 2018","Currency=USD","Period=FQ","BEST_FPERIOD_OVERRIDE=FQ","FILING_STATUS=MR","SCALING_FORMAT=MLN","Sort=A","Dates=H","DateFormat=P","Fill=—","Direction=H","UseDPDF=Y")</f>
        <v>—</v>
      </c>
      <c r="K43" s="17" t="str">
        <f>_xll.BDH("WMT US Equity","BS_ST_OPERATING_LEASE_LIABS","FQ3 2018","FQ3 2018","Currency=USD","Period=FQ","BEST_FPERIOD_OVERRIDE=FQ","FILING_STATUS=MR","SCALING_FORMAT=MLN","Sort=A","Dates=H","DateFormat=P","Fill=—","Direction=H","UseDPDF=Y")</f>
        <v>—</v>
      </c>
      <c r="L43" s="17" t="str">
        <f>_xll.BDH("WMT US Equity","BS_ST_OPERATING_LEASE_LIABS","FQ4 2018","FQ4 2018","Currency=USD","Period=FQ","BEST_FPERIOD_OVERRIDE=FQ","FILING_STATUS=MR","SCALING_FORMAT=MLN","Sort=A","Dates=H","DateFormat=P","Fill=—","Direction=H","UseDPDF=Y")</f>
        <v>—</v>
      </c>
      <c r="M43" s="17" t="str">
        <f>_xll.BDH("WMT US Equity","BS_ST_OPERATING_LEASE_LIABS","FQ1 2019","FQ1 2019","Currency=USD","Period=FQ","BEST_FPERIOD_OVERRIDE=FQ","FILING_STATUS=MR","SCALING_FORMAT=MLN","Sort=A","Dates=H","DateFormat=P","Fill=—","Direction=H","UseDPDF=Y")</f>
        <v>—</v>
      </c>
      <c r="N43" s="17" t="str">
        <f>_xll.BDH("WMT US Equity","BS_ST_OPERATING_LEASE_LIABS","FQ2 2019","FQ2 2019","Currency=USD","Period=FQ","BEST_FPERIOD_OVERRIDE=FQ","FILING_STATUS=MR","SCALING_FORMAT=MLN","Sort=A","Dates=H","DateFormat=P","Fill=—","Direction=H","UseDPDF=Y")</f>
        <v>—</v>
      </c>
      <c r="O43" s="17" t="str">
        <f>_xll.BDH("WMT US Equity","BS_ST_OPERATING_LEASE_LIABS","FQ3 2019","FQ3 2019","Currency=USD","Period=FQ","BEST_FPERIOD_OVERRIDE=FQ","FILING_STATUS=MR","SCALING_FORMAT=MLN","Sort=A","Dates=H","DateFormat=P","Fill=—","Direction=H","UseDPDF=Y")</f>
        <v>—</v>
      </c>
      <c r="P43" s="17" t="str">
        <f>_xll.BDH("WMT US Equity","BS_ST_OPERATING_LEASE_LIABS","FQ4 2019","FQ4 2019","Currency=USD","Period=FQ","BEST_FPERIOD_OVERRIDE=FQ","FILING_STATUS=MR","SCALING_FORMAT=MLN","Sort=A","Dates=H","DateFormat=P","Fill=—","Direction=H","UseDPDF=Y")</f>
        <v>—</v>
      </c>
      <c r="Q43" s="17">
        <f>_xll.BDH("WMT US Equity","BS_ST_OPERATING_LEASE_LIABS","FQ1 2020","FQ1 2020","Currency=USD","Period=FQ","BEST_FPERIOD_OVERRIDE=FQ","FILING_STATUS=MR","SCALING_FORMAT=MLN","Sort=A","Dates=H","DateFormat=P","Fill=—","Direction=H","UseDPDF=Y")</f>
        <v>1748</v>
      </c>
      <c r="R43" s="17">
        <f>_xll.BDH("WMT US Equity","BS_ST_OPERATING_LEASE_LIABS","FQ2 2020","FQ2 2020","Currency=USD","Period=FQ","BEST_FPERIOD_OVERRIDE=FQ","FILING_STATUS=MR","SCALING_FORMAT=MLN","Sort=A","Dates=H","DateFormat=P","Fill=—","Direction=H","UseDPDF=Y")</f>
        <v>1795</v>
      </c>
      <c r="S43" s="17">
        <f>_xll.BDH("WMT US Equity","BS_ST_OPERATING_LEASE_LIABS","FQ3 2020","FQ3 2020","Currency=USD","Period=FQ","BEST_FPERIOD_OVERRIDE=FQ","FILING_STATUS=MR","SCALING_FORMAT=MLN","Sort=A","Dates=H","DateFormat=P","Fill=—","Direction=H","UseDPDF=Y")</f>
        <v>1740</v>
      </c>
      <c r="T43" s="17">
        <f>_xll.BDH("WMT US Equity","BS_ST_OPERATING_LEASE_LIABS","FQ4 2020","FQ4 2020","Currency=USD","Period=FQ","BEST_FPERIOD_OVERRIDE=FQ","FILING_STATUS=MR","SCALING_FORMAT=MLN","Sort=A","Dates=H","DateFormat=P","Fill=—","Direction=H","UseDPDF=Y")</f>
        <v>1793</v>
      </c>
      <c r="U43" s="17">
        <f>_xll.BDH("WMT US Equity","BS_ST_OPERATING_LEASE_LIABS","FQ1 2021","FQ1 2021","Currency=USD","Period=FQ","BEST_FPERIOD_OVERRIDE=FQ","FILING_STATUS=MR","SCALING_FORMAT=MLN","Sort=A","Dates=H","DateFormat=P","Fill=—","Direction=H","UseDPDF=Y")</f>
        <v>1729</v>
      </c>
      <c r="V43" s="17">
        <f>_xll.BDH("WMT US Equity","BS_ST_OPERATING_LEASE_LIABS","FQ2 2021","FQ2 2021","Currency=USD","Period=FQ","BEST_FPERIOD_OVERRIDE=FQ","FILING_STATUS=MR","SCALING_FORMAT=MLN","Sort=A","Dates=H","DateFormat=P","Fill=—","Direction=H","UseDPDF=Y")</f>
        <v>1734</v>
      </c>
      <c r="W43" s="17">
        <f>_xll.BDH("WMT US Equity","BS_ST_OPERATING_LEASE_LIABS","FQ3 2021","FQ3 2021","Currency=USD","Period=FQ","BEST_FPERIOD_OVERRIDE=FQ","FILING_STATUS=MR","SCALING_FORMAT=MLN","Sort=A","Dates=H","DateFormat=P","Fill=—","Direction=H","UseDPDF=Y")</f>
        <v>1725</v>
      </c>
      <c r="X43" s="17">
        <f>_xll.BDH("WMT US Equity","BS_ST_OPERATING_LEASE_LIABS","FQ4 2021","FQ4 2021","Currency=USD","Period=FQ","BEST_FPERIOD_OVERRIDE=FQ","FILING_STATUS=MR","SCALING_FORMAT=MLN","Sort=A","Dates=H","DateFormat=P","Fill=—","Direction=H","UseDPDF=Y")</f>
        <v>1466</v>
      </c>
      <c r="Y43" s="17">
        <f>_xll.BDH("WMT US Equity","BS_ST_OPERATING_LEASE_LIABS","FQ1 2022","FQ1 2022","Currency=USD","Period=FQ","BEST_FPERIOD_OVERRIDE=FQ","FILING_STATUS=MR","SCALING_FORMAT=MLN","Sort=A","Dates=H","DateFormat=P","Fill=—","Direction=H","UseDPDF=Y")</f>
        <v>1448</v>
      </c>
      <c r="Z43" s="17">
        <f>_xll.BDH("WMT US Equity","BS_ST_OPERATING_LEASE_LIABS","FQ2 2022","FQ2 2022","Currency=USD","Period=FQ","BEST_FPERIOD_OVERRIDE=FQ","FILING_STATUS=MR","SCALING_FORMAT=MLN","Sort=A","Dates=H","DateFormat=P","Fill=—","Direction=H","UseDPDF=Y")</f>
        <v>1441</v>
      </c>
      <c r="AA43" s="17">
        <f>_xll.BDH("WMT US Equity","BS_ST_OPERATING_LEASE_LIABS","FQ3 2022","FQ3 2022","Currency=USD","Period=FQ","BEST_FPERIOD_OVERRIDE=FQ","FILING_STATUS=MR","SCALING_FORMAT=MLN","Sort=A","Dates=H","DateFormat=P","Fill=—","Direction=H","UseDPDF=Y")</f>
        <v>1486</v>
      </c>
      <c r="AB43" s="17">
        <f>_xll.BDH("WMT US Equity","BS_ST_OPERATING_LEASE_LIABS","FQ4 2022","FQ4 2022","Currency=USD","Period=FQ","BEST_FPERIOD_OVERRIDE=FQ","FILING_STATUS=MR","SCALING_FORMAT=MLN","Sort=A","Dates=H","DateFormat=P","Fill=—","Direction=H","UseDPDF=Y")</f>
        <v>1483</v>
      </c>
      <c r="AC43" s="17">
        <f>_xll.BDH("WMT US Equity","BS_ST_OPERATING_LEASE_LIABS","FQ1 2023","FQ1 2023","Currency=USD","Period=FQ","BEST_FPERIOD_OVERRIDE=FQ","FILING_STATUS=MR","SCALING_FORMAT=MLN","Sort=A","Dates=H","DateFormat=P","Fill=—","Direction=H","UseDPDF=Y")</f>
        <v>1485</v>
      </c>
      <c r="AD43" s="17">
        <f>_xll.BDH("WMT US Equity","BS_ST_OPERATING_LEASE_LIABS","FQ2 2023","FQ2 2023","Currency=USD","Period=FQ","BEST_FPERIOD_OVERRIDE=FQ","FILING_STATUS=MR","SCALING_FORMAT=MLN","Sort=A","Dates=H","DateFormat=P","Fill=—","Direction=H","UseDPDF=Y")</f>
        <v>1464</v>
      </c>
      <c r="AE43" s="17">
        <f>_xll.BDH("WMT US Equity","BS_ST_OPERATING_LEASE_LIABS","FQ3 2023","FQ3 2023","Currency=USD","Period=FQ","BEST_FPERIOD_OVERRIDE=FQ","FILING_STATUS=MR","SCALING_FORMAT=MLN","Sort=A","Dates=H","DateFormat=P","Fill=—","Direction=H","UseDPDF=Y")</f>
        <v>1457</v>
      </c>
      <c r="AF43" s="17">
        <f>_xll.BDH("WMT US Equity","BS_ST_OPERATING_LEASE_LIABS","FQ4 2023","FQ4 2023","Currency=USD","Period=FQ","BEST_FPERIOD_OVERRIDE=FQ","FILING_STATUS=MR","SCALING_FORMAT=MLN","Sort=A","Dates=H","DateFormat=P","Fill=—","Direction=H","UseDPDF=Y")</f>
        <v>1473</v>
      </c>
      <c r="AG43" s="17">
        <f>_xll.BDH("WMT US Equity","BS_ST_OPERATING_LEASE_LIABS","FQ1 2024","FQ1 2024","Currency=USD","Period=FQ","BEST_FPERIOD_OVERRIDE=FQ","FILING_STATUS=MR","SCALING_FORMAT=MLN","Sort=A","Dates=H","DateFormat=P","Fill=—","Direction=H","UseDPDF=Y")</f>
        <v>1490</v>
      </c>
      <c r="AH43" s="17">
        <f>_xll.BDH("WMT US Equity","BS_ST_OPERATING_LEASE_LIABS","FQ2 2024","FQ2 2024","Currency=USD","Period=FQ","BEST_FPERIOD_OVERRIDE=FQ","FILING_STATUS=MR","SCALING_FORMAT=MLN","Sort=A","Dates=H","DateFormat=P","Fill=—","Direction=H","UseDPDF=Y")</f>
        <v>1472</v>
      </c>
      <c r="AI43" s="17">
        <f>_xll.BDH("WMT US Equity","BS_ST_OPERATING_LEASE_LIABS","FQ3 2024","FQ3 2024","Currency=USD","Period=FQ","BEST_FPERIOD_OVERRIDE=FQ","FILING_STATUS=MR","SCALING_FORMAT=MLN","Sort=A","Dates=H","DateFormat=P","Fill=—","Direction=H","UseDPDF=Y")</f>
        <v>1474</v>
      </c>
      <c r="AJ43" s="17">
        <f>_xll.BDH("WMT US Equity","BS_ST_OPERATING_LEASE_LIABS","FQ4 2024","FQ4 2024","Currency=USD","Period=FQ","BEST_FPERIOD_OVERRIDE=FQ","FILING_STATUS=MR","SCALING_FORMAT=MLN","Sort=A","Dates=H","DateFormat=P","Fill=—","Direction=H","UseDPDF=Y")</f>
        <v>1487</v>
      </c>
      <c r="AK43" s="17">
        <f>_xll.BDH("WMT US Equity","BS_ST_OPERATING_LEASE_LIABS","FQ1 2025","FQ1 2025","Currency=USD","Period=FQ","BEST_FPERIOD_OVERRIDE=FQ","FILING_STATUS=MR","SCALING_FORMAT=MLN","Sort=A","Dates=H","DateFormat=P","Fill=—","Direction=H","UseDPDF=Y")</f>
        <v>1482</v>
      </c>
      <c r="AL43" s="17">
        <f>_xll.BDH("WMT US Equity","BS_ST_OPERATING_LEASE_LIABS","FQ2 2025","FQ2 2025","Currency=USD","Period=FQ","BEST_FPERIOD_OVERRIDE=FQ","FILING_STATUS=MR","SCALING_FORMAT=MLN","Sort=A","Dates=H","DateFormat=P","Fill=—","Direction=H","UseDPDF=Y")</f>
        <v>1493</v>
      </c>
      <c r="AM43" s="17">
        <f>_xll.BDH("WMT US Equity","BS_ST_OPERATING_LEASE_LIABS","FQ3 2025","FQ3 2025","Currency=USD","Period=FQ","BEST_FPERIOD_OVERRIDE=FQ","FILING_STATUS=MR","SCALING_FORMAT=MLN","Sort=A","Dates=H","DateFormat=P","Fill=—","Direction=H","UseDPDF=Y")</f>
        <v>1507</v>
      </c>
      <c r="AN43" s="17">
        <f>_xll.BDH("WMT US Equity","BS_ST_OPERATING_LEASE_LIABS","FQ4 2025","FQ4 2025","Currency=USD","Period=FQ","BEST_FPERIOD_OVERRIDE=FQ","FILING_STATUS=MR","SCALING_FORMAT=MLN","Sort=A","Dates=H","DateFormat=P","Fill=—","Direction=H","UseDPDF=Y")</f>
        <v>1499</v>
      </c>
      <c r="AO43" s="17">
        <f>_xll.BDH("WMT US Equity","BS_ST_OPERATING_LEASE_LIABS","FQ1 2026","FQ1 2026","Currency=USD","Period=FQ","BEST_FPERIOD_OVERRIDE=FQ","FILING_STATUS=MR","SCALING_FORMAT=MLN","Sort=A","Dates=H","DateFormat=P","Fill=—","Direction=H","UseDPDF=Y")</f>
        <v>1539</v>
      </c>
      <c r="AP43" s="17">
        <f>_xll.BDH("WMT US Equity","BS_ST_OPERATING_LEASE_LIABS","FQ2 2026","FQ2 2026","Currency=USD","Period=FQ","BEST_FPERIOD_OVERRIDE=FQ","FILING_STATUS=MR","SCALING_FORMAT=MLN","Sort=A","Dates=H","DateFormat=P","Fill=—","Direction=H","UseDPDF=Y")</f>
        <v>1580</v>
      </c>
    </row>
    <row r="44" spans="1:42" x14ac:dyDescent="0.3">
      <c r="A44" s="10" t="s">
        <v>219</v>
      </c>
      <c r="B44" s="10" t="s">
        <v>123</v>
      </c>
      <c r="C44" s="13">
        <f>_xll.BDH("WMT US Equity","BS_CURR_PORTION_LT_DEBT","FQ3 2016","FQ3 2016","Currency=USD","Period=FQ","BEST_FPERIOD_OVERRIDE=FQ","FILING_STATUS=MR","SCALING_FORMAT=MLN","Sort=A","Dates=H","DateFormat=P","Fill=—","Direction=H","UseDPDF=Y")</f>
        <v>2746</v>
      </c>
      <c r="D44" s="13">
        <f>_xll.BDH("WMT US Equity","BS_CURR_PORTION_LT_DEBT","FQ4 2016","FQ4 2016","Currency=USD","Period=FQ","BEST_FPERIOD_OVERRIDE=FQ","FILING_STATUS=MR","SCALING_FORMAT=MLN","Sort=A","Dates=H","DateFormat=P","Fill=—","Direction=H","UseDPDF=Y")</f>
        <v>2745</v>
      </c>
      <c r="E44" s="13">
        <f>_xll.BDH("WMT US Equity","BS_CURR_PORTION_LT_DEBT","FQ1 2017","FQ1 2017","Currency=USD","Period=FQ","BEST_FPERIOD_OVERRIDE=FQ","FILING_STATUS=MR","SCALING_FORMAT=MLN","Sort=A","Dates=H","DateFormat=P","Fill=—","Direction=H","UseDPDF=Y")</f>
        <v>2257</v>
      </c>
      <c r="F44" s="13">
        <f>_xll.BDH("WMT US Equity","BS_CURR_PORTION_LT_DEBT","FQ2 2017","FQ2 2017","Currency=USD","Period=FQ","BEST_FPERIOD_OVERRIDE=FQ","FILING_STATUS=MR","SCALING_FORMAT=MLN","Sort=A","Dates=H","DateFormat=P","Fill=—","Direction=H","UseDPDF=Y")</f>
        <v>2265</v>
      </c>
      <c r="G44" s="13">
        <f>_xll.BDH("WMT US Equity","BS_CURR_PORTION_LT_DEBT","FQ3 2017","FQ3 2017","Currency=USD","Period=FQ","BEST_FPERIOD_OVERRIDE=FQ","FILING_STATUS=MR","SCALING_FORMAT=MLN","Sort=A","Dates=H","DateFormat=P","Fill=—","Direction=H","UseDPDF=Y")</f>
        <v>2266</v>
      </c>
      <c r="H44" s="13">
        <f>_xll.BDH("WMT US Equity","BS_CURR_PORTION_LT_DEBT","FQ4 2017","FQ4 2017","Currency=USD","Period=FQ","BEST_FPERIOD_OVERRIDE=FQ","FILING_STATUS=MR","SCALING_FORMAT=MLN","Sort=A","Dates=H","DateFormat=P","Fill=—","Direction=H","UseDPDF=Y")</f>
        <v>2256</v>
      </c>
      <c r="I44" s="13">
        <f>_xll.BDH("WMT US Equity","BS_CURR_PORTION_LT_DEBT","FQ1 2018","FQ1 2018","Currency=USD","Period=FQ","BEST_FPERIOD_OVERRIDE=FQ","FILING_STATUS=MR","SCALING_FORMAT=MLN","Sort=A","Dates=H","DateFormat=P","Fill=—","Direction=H","UseDPDF=Y")</f>
        <v>3256</v>
      </c>
      <c r="J44" s="13">
        <f>_xll.BDH("WMT US Equity","BS_CURR_PORTION_LT_DEBT","FQ2 2018","FQ2 2018","Currency=USD","Period=FQ","BEST_FPERIOD_OVERRIDE=FQ","FILING_STATUS=MR","SCALING_FORMAT=MLN","Sort=A","Dates=H","DateFormat=P","Fill=—","Direction=H","UseDPDF=Y")</f>
        <v>3254</v>
      </c>
      <c r="K44" s="13">
        <f>_xll.BDH("WMT US Equity","BS_CURR_PORTION_LT_DEBT","FQ3 2018","FQ3 2018","Currency=USD","Period=FQ","BEST_FPERIOD_OVERRIDE=FQ","FILING_STATUS=MR","SCALING_FORMAT=MLN","Sort=A","Dates=H","DateFormat=P","Fill=—","Direction=H","UseDPDF=Y")</f>
        <v>3257</v>
      </c>
      <c r="L44" s="13">
        <f>_xll.BDH("WMT US Equity","BS_CURR_PORTION_LT_DEBT","FQ4 2018","FQ4 2018","Currency=USD","Period=FQ","BEST_FPERIOD_OVERRIDE=FQ","FILING_STATUS=MR","SCALING_FORMAT=MLN","Sort=A","Dates=H","DateFormat=P","Fill=—","Direction=H","UseDPDF=Y")</f>
        <v>3738</v>
      </c>
      <c r="M44" s="13">
        <f>_xll.BDH("WMT US Equity","BS_CURR_PORTION_LT_DEBT","FQ1 2019","FQ1 2019","Currency=USD","Period=FQ","BEST_FPERIOD_OVERRIDE=FQ","FILING_STATUS=MR","SCALING_FORMAT=MLN","Sort=A","Dates=H","DateFormat=P","Fill=—","Direction=H","UseDPDF=Y")</f>
        <v>1576</v>
      </c>
      <c r="N44" s="13">
        <f>_xll.BDH("WMT US Equity","BS_CURR_PORTION_LT_DEBT","FQ2 2019","FQ2 2019","Currency=USD","Period=FQ","BEST_FPERIOD_OVERRIDE=FQ","FILING_STATUS=MR","SCALING_FORMAT=MLN","Sort=A","Dates=H","DateFormat=P","Fill=—","Direction=H","UseDPDF=Y")</f>
        <v>1090</v>
      </c>
      <c r="O44" s="13">
        <f>_xll.BDH("WMT US Equity","BS_CURR_PORTION_LT_DEBT","FQ3 2019","FQ3 2019","Currency=USD","Period=FQ","BEST_FPERIOD_OVERRIDE=FQ","FILING_STATUS=MR","SCALING_FORMAT=MLN","Sort=A","Dates=H","DateFormat=P","Fill=—","Direction=H","UseDPDF=Y")</f>
        <v>2591</v>
      </c>
      <c r="P44" s="13">
        <f>_xll.BDH("WMT US Equity","BS_CURR_PORTION_LT_DEBT","FQ4 2019","FQ4 2019","Currency=USD","Period=FQ","BEST_FPERIOD_OVERRIDE=FQ","FILING_STATUS=MR","SCALING_FORMAT=MLN","Sort=A","Dates=H","DateFormat=P","Fill=—","Direction=H","UseDPDF=Y")</f>
        <v>1876</v>
      </c>
      <c r="Q44" s="13">
        <f>_xll.BDH("WMT US Equity","BS_CURR_PORTION_LT_DEBT","FQ1 2020","FQ1 2020","Currency=USD","Period=FQ","BEST_FPERIOD_OVERRIDE=FQ","FILING_STATUS=MR","SCALING_FORMAT=MLN","Sort=A","Dates=H","DateFormat=P","Fill=—","Direction=H","UseDPDF=Y")</f>
        <v>1464</v>
      </c>
      <c r="R44" s="13">
        <f>_xll.BDH("WMT US Equity","BS_CURR_PORTION_LT_DEBT","FQ2 2020","FQ2 2020","Currency=USD","Period=FQ","BEST_FPERIOD_OVERRIDE=FQ","FILING_STATUS=MR","SCALING_FORMAT=MLN","Sort=A","Dates=H","DateFormat=P","Fill=—","Direction=H","UseDPDF=Y")</f>
        <v>4396</v>
      </c>
      <c r="S44" s="13">
        <f>_xll.BDH("WMT US Equity","BS_CURR_PORTION_LT_DEBT","FQ3 2020","FQ3 2020","Currency=USD","Period=FQ","BEST_FPERIOD_OVERRIDE=FQ","FILING_STATUS=MR","SCALING_FORMAT=MLN","Sort=A","Dates=H","DateFormat=P","Fill=—","Direction=H","UseDPDF=Y")</f>
        <v>4093</v>
      </c>
      <c r="T44" s="13">
        <f>_xll.BDH("WMT US Equity","BS_CURR_PORTION_LT_DEBT","FQ4 2020","FQ4 2020","Currency=USD","Period=FQ","BEST_FPERIOD_OVERRIDE=FQ","FILING_STATUS=MR","SCALING_FORMAT=MLN","Sort=A","Dates=H","DateFormat=P","Fill=—","Direction=H","UseDPDF=Y")</f>
        <v>5362</v>
      </c>
      <c r="U44" s="13">
        <f>_xll.BDH("WMT US Equity","BS_CURR_PORTION_LT_DEBT","FQ1 2021","FQ1 2021","Currency=USD","Period=FQ","BEST_FPERIOD_OVERRIDE=FQ","FILING_STATUS=MR","SCALING_FORMAT=MLN","Sort=A","Dates=H","DateFormat=P","Fill=—","Direction=H","UseDPDF=Y")</f>
        <v>5983</v>
      </c>
      <c r="V44" s="13">
        <f>_xll.BDH("WMT US Equity","BS_CURR_PORTION_LT_DEBT","FQ2 2021","FQ2 2021","Currency=USD","Period=FQ","BEST_FPERIOD_OVERRIDE=FQ","FILING_STATUS=MR","SCALING_FORMAT=MLN","Sort=A","Dates=H","DateFormat=P","Fill=—","Direction=H","UseDPDF=Y")</f>
        <v>5553</v>
      </c>
      <c r="W44" s="13">
        <f>_xll.BDH("WMT US Equity","BS_CURR_PORTION_LT_DEBT","FQ3 2021","FQ3 2021","Currency=USD","Period=FQ","BEST_FPERIOD_OVERRIDE=FQ","FILING_STATUS=MR","SCALING_FORMAT=MLN","Sort=A","Dates=H","DateFormat=P","Fill=—","Direction=H","UseDPDF=Y")</f>
        <v>4358</v>
      </c>
      <c r="X44" s="13">
        <f>_xll.BDH("WMT US Equity","BS_CURR_PORTION_LT_DEBT","FQ4 2021","FQ4 2021","Currency=USD","Period=FQ","BEST_FPERIOD_OVERRIDE=FQ","FILING_STATUS=MR","SCALING_FORMAT=MLN","Sort=A","Dates=H","DateFormat=P","Fill=—","Direction=H","UseDPDF=Y")</f>
        <v>3115</v>
      </c>
      <c r="Y44" s="13">
        <f>_xll.BDH("WMT US Equity","BS_CURR_PORTION_LT_DEBT","FQ1 2022","FQ1 2022","Currency=USD","Period=FQ","BEST_FPERIOD_OVERRIDE=FQ","FILING_STATUS=MR","SCALING_FORMAT=MLN","Sort=A","Dates=H","DateFormat=P","Fill=—","Direction=H","UseDPDF=Y")</f>
        <v>3500</v>
      </c>
      <c r="Z44" s="13">
        <f>_xll.BDH("WMT US Equity","BS_CURR_PORTION_LT_DEBT","FQ2 2022","FQ2 2022","Currency=USD","Period=FQ","BEST_FPERIOD_OVERRIDE=FQ","FILING_STATUS=MR","SCALING_FORMAT=MLN","Sort=A","Dates=H","DateFormat=P","Fill=—","Direction=H","UseDPDF=Y")</f>
        <v>1617</v>
      </c>
      <c r="AA44" s="13">
        <f>_xll.BDH("WMT US Equity","BS_CURR_PORTION_LT_DEBT","FQ3 2022","FQ3 2022","Currency=USD","Period=FQ","BEST_FPERIOD_OVERRIDE=FQ","FILING_STATUS=MR","SCALING_FORMAT=MLN","Sort=A","Dates=H","DateFormat=P","Fill=—","Direction=H","UseDPDF=Y")</f>
        <v>1575</v>
      </c>
      <c r="AB44" s="13">
        <f>_xll.BDH("WMT US Equity","BS_CURR_PORTION_LT_DEBT","FQ4 2022","FQ4 2022","Currency=USD","Period=FQ","BEST_FPERIOD_OVERRIDE=FQ","FILING_STATUS=MR","SCALING_FORMAT=MLN","Sort=A","Dates=H","DateFormat=P","Fill=—","Direction=H","UseDPDF=Y")</f>
        <v>2803</v>
      </c>
      <c r="AC44" s="13">
        <f>_xll.BDH("WMT US Equity","BS_CURR_PORTION_LT_DEBT","FQ1 2023","FQ1 2023","Currency=USD","Period=FQ","BEST_FPERIOD_OVERRIDE=FQ","FILING_STATUS=MR","SCALING_FORMAT=MLN","Sort=A","Dates=H","DateFormat=P","Fill=—","Direction=H","UseDPDF=Y")</f>
        <v>3580</v>
      </c>
      <c r="AD44" s="13">
        <f>_xll.BDH("WMT US Equity","BS_CURR_PORTION_LT_DEBT","FQ2 2023","FQ2 2023","Currency=USD","Period=FQ","BEST_FPERIOD_OVERRIDE=FQ","FILING_STATUS=MR","SCALING_FORMAT=MLN","Sort=A","Dates=H","DateFormat=P","Fill=—","Direction=H","UseDPDF=Y")</f>
        <v>5316</v>
      </c>
      <c r="AE44" s="13">
        <f>_xll.BDH("WMT US Equity","BS_CURR_PORTION_LT_DEBT","FQ3 2023","FQ3 2023","Currency=USD","Period=FQ","BEST_FPERIOD_OVERRIDE=FQ","FILING_STATUS=MR","SCALING_FORMAT=MLN","Sort=A","Dates=H","DateFormat=P","Fill=—","Direction=H","UseDPDF=Y")</f>
        <v>5458</v>
      </c>
      <c r="AF44" s="13">
        <f>_xll.BDH("WMT US Equity","BS_CURR_PORTION_LT_DEBT","FQ4 2023","FQ4 2023","Currency=USD","Period=FQ","BEST_FPERIOD_OVERRIDE=FQ","FILING_STATUS=MR","SCALING_FORMAT=MLN","Sort=A","Dates=H","DateFormat=P","Fill=—","Direction=H","UseDPDF=Y")</f>
        <v>4191</v>
      </c>
      <c r="AG44" s="13">
        <f>_xll.BDH("WMT US Equity","BS_CURR_PORTION_LT_DEBT","FQ1 2024","FQ1 2024","Currency=USD","Period=FQ","BEST_FPERIOD_OVERRIDE=FQ","FILING_STATUS=MR","SCALING_FORMAT=MLN","Sort=A","Dates=H","DateFormat=P","Fill=—","Direction=H","UseDPDF=Y")</f>
        <v>3975</v>
      </c>
      <c r="AH44" s="13">
        <f>_xll.BDH("WMT US Equity","BS_CURR_PORTION_LT_DEBT","FQ2 2024","FQ2 2024","Currency=USD","Period=FQ","BEST_FPERIOD_OVERRIDE=FQ","FILING_STATUS=MR","SCALING_FORMAT=MLN","Sort=A","Dates=H","DateFormat=P","Fill=—","Direction=H","UseDPDF=Y")</f>
        <v>2897</v>
      </c>
      <c r="AI44" s="13">
        <f>_xll.BDH("WMT US Equity","BS_CURR_PORTION_LT_DEBT","FQ3 2024","FQ3 2024","Currency=USD","Period=FQ","BEST_FPERIOD_OVERRIDE=FQ","FILING_STATUS=MR","SCALING_FORMAT=MLN","Sort=A","Dates=H","DateFormat=P","Fill=—","Direction=H","UseDPDF=Y")</f>
        <v>2806</v>
      </c>
      <c r="AJ44" s="13">
        <f>_xll.BDH("WMT US Equity","BS_CURR_PORTION_LT_DEBT","FQ4 2024","FQ4 2024","Currency=USD","Period=FQ","BEST_FPERIOD_OVERRIDE=FQ","FILING_STATUS=MR","SCALING_FORMAT=MLN","Sort=A","Dates=H","DateFormat=P","Fill=—","Direction=H","UseDPDF=Y")</f>
        <v>3447</v>
      </c>
      <c r="AK44" s="13">
        <f>_xll.BDH("WMT US Equity","BS_CURR_PORTION_LT_DEBT","FQ1 2025","FQ1 2025","Currency=USD","Period=FQ","BEST_FPERIOD_OVERRIDE=FQ","FILING_STATUS=MR","SCALING_FORMAT=MLN","Sort=A","Dates=H","DateFormat=P","Fill=—","Direction=H","UseDPDF=Y")</f>
        <v>1865</v>
      </c>
      <c r="AL44" s="13">
        <f>_xll.BDH("WMT US Equity","BS_CURR_PORTION_LT_DEBT","FQ2 2025","FQ2 2025","Currency=USD","Period=FQ","BEST_FPERIOD_OVERRIDE=FQ","FILING_STATUS=MR","SCALING_FORMAT=MLN","Sort=A","Dates=H","DateFormat=P","Fill=—","Direction=H","UseDPDF=Y")</f>
        <v>1495</v>
      </c>
      <c r="AM44" s="13">
        <f>_xll.BDH("WMT US Equity","BS_CURR_PORTION_LT_DEBT","FQ3 2025","FQ3 2025","Currency=USD","Period=FQ","BEST_FPERIOD_OVERRIDE=FQ","FILING_STATUS=MR","SCALING_FORMAT=MLN","Sort=A","Dates=H","DateFormat=P","Fill=—","Direction=H","UseDPDF=Y")</f>
        <v>3246</v>
      </c>
      <c r="AN44" s="13">
        <f>_xll.BDH("WMT US Equity","BS_CURR_PORTION_LT_DEBT","FQ4 2025","FQ4 2025","Currency=USD","Period=FQ","BEST_FPERIOD_OVERRIDE=FQ","FILING_STATUS=MR","SCALING_FORMAT=MLN","Sort=A","Dates=H","DateFormat=P","Fill=—","Direction=H","UseDPDF=Y")</f>
        <v>2598</v>
      </c>
      <c r="AO44" s="13">
        <f>_xll.BDH("WMT US Equity","BS_CURR_PORTION_LT_DEBT","FQ1 2026","FQ1 2026","Currency=USD","Period=FQ","BEST_FPERIOD_OVERRIDE=FQ","FILING_STATUS=MR","SCALING_FORMAT=MLN","Sort=A","Dates=H","DateFormat=P","Fill=—","Direction=H","UseDPDF=Y")</f>
        <v>4085</v>
      </c>
      <c r="AP44" s="13">
        <f>_xll.BDH("WMT US Equity","BS_CURR_PORTION_LT_DEBT","FQ2 2026","FQ2 2026","Currency=USD","Period=FQ","BEST_FPERIOD_OVERRIDE=FQ","FILING_STATUS=MR","SCALING_FORMAT=MLN","Sort=A","Dates=H","DateFormat=P","Fill=—","Direction=H","UseDPDF=Y")</f>
        <v>4011</v>
      </c>
    </row>
    <row r="45" spans="1:42" x14ac:dyDescent="0.3">
      <c r="A45" s="10" t="s">
        <v>220</v>
      </c>
      <c r="B45" s="10" t="s">
        <v>124</v>
      </c>
      <c r="C45" s="13">
        <f>_xll.BDH("WMT US Equity","OTHER_CURRENT_LIABS_SUB_DETAILED","FQ3 2016","FQ3 2016","Currency=USD","Period=FQ","BEST_FPERIOD_OVERRIDE=FQ","FILING_STATUS=MR","SCALING_FORMAT=MLN","Sort=A","Dates=H","DateFormat=P","Fill=—","Direction=H","UseDPDF=Y")</f>
        <v>0</v>
      </c>
      <c r="D45" s="13">
        <f>_xll.BDH("WMT US Equity","OTHER_CURRENT_LIABS_SUB_DETAILED","FQ4 2016","FQ4 2016","Currency=USD","Period=FQ","BEST_FPERIOD_OVERRIDE=FQ","FILING_STATUS=MR","SCALING_FORMAT=MLN","Sort=A","Dates=H","DateFormat=P","Fill=—","Direction=H","UseDPDF=Y")</f>
        <v>0</v>
      </c>
      <c r="E45" s="13">
        <f>_xll.BDH("WMT US Equity","OTHER_CURRENT_LIABS_SUB_DETAILED","FQ1 2017","FQ1 2017","Currency=USD","Period=FQ","BEST_FPERIOD_OVERRIDE=FQ","FILING_STATUS=MR","SCALING_FORMAT=MLN","Sort=A","Dates=H","DateFormat=P","Fill=—","Direction=H","UseDPDF=Y")</f>
        <v>0</v>
      </c>
      <c r="F45" s="13">
        <f>_xll.BDH("WMT US Equity","OTHER_CURRENT_LIABS_SUB_DETAILED","FQ2 2017","FQ2 2017","Currency=USD","Period=FQ","BEST_FPERIOD_OVERRIDE=FQ","FILING_STATUS=MR","SCALING_FORMAT=MLN","Sort=A","Dates=H","DateFormat=P","Fill=—","Direction=H","UseDPDF=Y")</f>
        <v>0</v>
      </c>
      <c r="G45" s="13">
        <f>_xll.BDH("WMT US Equity","OTHER_CURRENT_LIABS_SUB_DETAILED","FQ3 2017","FQ3 2017","Currency=USD","Period=FQ","BEST_FPERIOD_OVERRIDE=FQ","FILING_STATUS=MR","SCALING_FORMAT=MLN","Sort=A","Dates=H","DateFormat=P","Fill=—","Direction=H","UseDPDF=Y")</f>
        <v>0</v>
      </c>
      <c r="H45" s="13">
        <f>_xll.BDH("WMT US Equity","OTHER_CURRENT_LIABS_SUB_DETAILED","FQ4 2017","FQ4 2017","Currency=USD","Period=FQ","BEST_FPERIOD_OVERRIDE=FQ","FILING_STATUS=MR","SCALING_FORMAT=MLN","Sort=A","Dates=H","DateFormat=P","Fill=—","Direction=H","UseDPDF=Y")</f>
        <v>0</v>
      </c>
      <c r="I45" s="13">
        <f>_xll.BDH("WMT US Equity","OTHER_CURRENT_LIABS_SUB_DETAILED","FQ1 2018","FQ1 2018","Currency=USD","Period=FQ","BEST_FPERIOD_OVERRIDE=FQ","FILING_STATUS=MR","SCALING_FORMAT=MLN","Sort=A","Dates=H","DateFormat=P","Fill=—","Direction=H","UseDPDF=Y")</f>
        <v>0</v>
      </c>
      <c r="J45" s="13">
        <f>_xll.BDH("WMT US Equity","OTHER_CURRENT_LIABS_SUB_DETAILED","FQ2 2018","FQ2 2018","Currency=USD","Period=FQ","BEST_FPERIOD_OVERRIDE=FQ","FILING_STATUS=MR","SCALING_FORMAT=MLN","Sort=A","Dates=H","DateFormat=P","Fill=—","Direction=H","UseDPDF=Y")</f>
        <v>0</v>
      </c>
      <c r="K45" s="13">
        <f>_xll.BDH("WMT US Equity","OTHER_CURRENT_LIABS_SUB_DETAILED","FQ3 2018","FQ3 2018","Currency=USD","Period=FQ","BEST_FPERIOD_OVERRIDE=FQ","FILING_STATUS=MR","SCALING_FORMAT=MLN","Sort=A","Dates=H","DateFormat=P","Fill=—","Direction=H","UseDPDF=Y")</f>
        <v>0</v>
      </c>
      <c r="L45" s="13">
        <f>_xll.BDH("WMT US Equity","OTHER_CURRENT_LIABS_SUB_DETAILED","FQ4 2018","FQ4 2018","Currency=USD","Period=FQ","BEST_FPERIOD_OVERRIDE=FQ","FILING_STATUS=MR","SCALING_FORMAT=MLN","Sort=A","Dates=H","DateFormat=P","Fill=—","Direction=H","UseDPDF=Y")</f>
        <v>0</v>
      </c>
      <c r="M45" s="13">
        <f>_xll.BDH("WMT US Equity","OTHER_CURRENT_LIABS_SUB_DETAILED","FQ1 2019","FQ1 2019","Currency=USD","Period=FQ","BEST_FPERIOD_OVERRIDE=FQ","FILING_STATUS=MR","SCALING_FORMAT=MLN","Sort=A","Dates=H","DateFormat=P","Fill=—","Direction=H","UseDPDF=Y")</f>
        <v>0</v>
      </c>
      <c r="N45" s="13">
        <f>_xll.BDH("WMT US Equity","OTHER_CURRENT_LIABS_SUB_DETAILED","FQ2 2019","FQ2 2019","Currency=USD","Period=FQ","BEST_FPERIOD_OVERRIDE=FQ","FILING_STATUS=MR","SCALING_FORMAT=MLN","Sort=A","Dates=H","DateFormat=P","Fill=—","Direction=H","UseDPDF=Y")</f>
        <v>0</v>
      </c>
      <c r="O45" s="13">
        <f>_xll.BDH("WMT US Equity","OTHER_CURRENT_LIABS_SUB_DETAILED","FQ3 2019","FQ3 2019","Currency=USD","Period=FQ","BEST_FPERIOD_OVERRIDE=FQ","FILING_STATUS=MR","SCALING_FORMAT=MLN","Sort=A","Dates=H","DateFormat=P","Fill=—","Direction=H","UseDPDF=Y")</f>
        <v>0</v>
      </c>
      <c r="P45" s="13">
        <f>_xll.BDH("WMT US Equity","OTHER_CURRENT_LIABS_SUB_DETAILED","FQ4 2019","FQ4 2019","Currency=USD","Period=FQ","BEST_FPERIOD_OVERRIDE=FQ","FILING_STATUS=MR","SCALING_FORMAT=MLN","Sort=A","Dates=H","DateFormat=P","Fill=—","Direction=H","UseDPDF=Y")</f>
        <v>1932</v>
      </c>
      <c r="Q45" s="13">
        <f>_xll.BDH("WMT US Equity","OTHER_CURRENT_LIABS_SUB_DETAILED","FQ1 2020","FQ1 2020","Currency=USD","Period=FQ","BEST_FPERIOD_OVERRIDE=FQ","FILING_STATUS=MR","SCALING_FORMAT=MLN","Sort=A","Dates=H","DateFormat=P","Fill=—","Direction=H","UseDPDF=Y")</f>
        <v>0</v>
      </c>
      <c r="R45" s="13">
        <f>_xll.BDH("WMT US Equity","OTHER_CURRENT_LIABS_SUB_DETAILED","FQ2 2020","FQ2 2020","Currency=USD","Period=FQ","BEST_FPERIOD_OVERRIDE=FQ","FILING_STATUS=MR","SCALING_FORMAT=MLN","Sort=A","Dates=H","DateFormat=P","Fill=—","Direction=H","UseDPDF=Y")</f>
        <v>0</v>
      </c>
      <c r="S45" s="13">
        <f>_xll.BDH("WMT US Equity","OTHER_CURRENT_LIABS_SUB_DETAILED","FQ3 2020","FQ3 2020","Currency=USD","Period=FQ","BEST_FPERIOD_OVERRIDE=FQ","FILING_STATUS=MR","SCALING_FORMAT=MLN","Sort=A","Dates=H","DateFormat=P","Fill=—","Direction=H","UseDPDF=Y")</f>
        <v>0</v>
      </c>
      <c r="T45" s="13">
        <f>_xll.BDH("WMT US Equity","OTHER_CURRENT_LIABS_SUB_DETAILED","FQ4 2020","FQ4 2020","Currency=USD","Period=FQ","BEST_FPERIOD_OVERRIDE=FQ","FILING_STATUS=MR","SCALING_FORMAT=MLN","Sort=A","Dates=H","DateFormat=P","Fill=—","Direction=H","UseDPDF=Y")</f>
        <v>1990</v>
      </c>
      <c r="U45" s="13">
        <f>_xll.BDH("WMT US Equity","OTHER_CURRENT_LIABS_SUB_DETAILED","FQ1 2021","FQ1 2021","Currency=USD","Period=FQ","BEST_FPERIOD_OVERRIDE=FQ","FILING_STATUS=MR","SCALING_FORMAT=MLN","Sort=A","Dates=H","DateFormat=P","Fill=—","Direction=H","UseDPDF=Y")</f>
        <v>0</v>
      </c>
      <c r="V45" s="13">
        <f>_xll.BDH("WMT US Equity","OTHER_CURRENT_LIABS_SUB_DETAILED","FQ2 2021","FQ2 2021","Currency=USD","Period=FQ","BEST_FPERIOD_OVERRIDE=FQ","FILING_STATUS=MR","SCALING_FORMAT=MLN","Sort=A","Dates=H","DateFormat=P","Fill=—","Direction=H","UseDPDF=Y")</f>
        <v>0</v>
      </c>
      <c r="W45" s="13">
        <f>_xll.BDH("WMT US Equity","OTHER_CURRENT_LIABS_SUB_DETAILED","FQ3 2021","FQ3 2021","Currency=USD","Period=FQ","BEST_FPERIOD_OVERRIDE=FQ","FILING_STATUS=MR","SCALING_FORMAT=MLN","Sort=A","Dates=H","DateFormat=P","Fill=—","Direction=H","UseDPDF=Y")</f>
        <v>0</v>
      </c>
      <c r="X45" s="13">
        <f>_xll.BDH("WMT US Equity","OTHER_CURRENT_LIABS_SUB_DETAILED","FQ4 2021","FQ4 2021","Currency=USD","Period=FQ","BEST_FPERIOD_OVERRIDE=FQ","FILING_STATUS=MR","SCALING_FORMAT=MLN","Sort=A","Dates=H","DateFormat=P","Fill=—","Direction=H","UseDPDF=Y")</f>
        <v>2310</v>
      </c>
      <c r="Y45" s="13">
        <f>_xll.BDH("WMT US Equity","OTHER_CURRENT_LIABS_SUB_DETAILED","FQ1 2022","FQ1 2022","Currency=USD","Period=FQ","BEST_FPERIOD_OVERRIDE=FQ","FILING_STATUS=MR","SCALING_FORMAT=MLN","Sort=A","Dates=H","DateFormat=P","Fill=—","Direction=H","UseDPDF=Y")</f>
        <v>0</v>
      </c>
      <c r="Z45" s="13">
        <f>_xll.BDH("WMT US Equity","OTHER_CURRENT_LIABS_SUB_DETAILED","FQ2 2022","FQ2 2022","Currency=USD","Period=FQ","BEST_FPERIOD_OVERRIDE=FQ","FILING_STATUS=MR","SCALING_FORMAT=MLN","Sort=A","Dates=H","DateFormat=P","Fill=—","Direction=H","UseDPDF=Y")</f>
        <v>0</v>
      </c>
      <c r="AA45" s="13">
        <f>_xll.BDH("WMT US Equity","OTHER_CURRENT_LIABS_SUB_DETAILED","FQ3 2022","FQ3 2022","Currency=USD","Period=FQ","BEST_FPERIOD_OVERRIDE=FQ","FILING_STATUS=MR","SCALING_FORMAT=MLN","Sort=A","Dates=H","DateFormat=P","Fill=—","Direction=H","UseDPDF=Y")</f>
        <v>0</v>
      </c>
      <c r="AB45" s="13">
        <f>_xll.BDH("WMT US Equity","OTHER_CURRENT_LIABS_SUB_DETAILED","FQ4 2022","FQ4 2022","Currency=USD","Period=FQ","BEST_FPERIOD_OVERRIDE=FQ","FILING_STATUS=MR","SCALING_FORMAT=MLN","Sort=A","Dates=H","DateFormat=P","Fill=—","Direction=H","UseDPDF=Y")</f>
        <v>2559</v>
      </c>
      <c r="AC45" s="13">
        <f>_xll.BDH("WMT US Equity","OTHER_CURRENT_LIABS_SUB_DETAILED","FQ1 2023","FQ1 2023","Currency=USD","Period=FQ","BEST_FPERIOD_OVERRIDE=FQ","FILING_STATUS=MR","SCALING_FORMAT=MLN","Sort=A","Dates=H","DateFormat=P","Fill=—","Direction=H","UseDPDF=Y")</f>
        <v>0</v>
      </c>
      <c r="AD45" s="13">
        <f>_xll.BDH("WMT US Equity","OTHER_CURRENT_LIABS_SUB_DETAILED","FQ2 2023","FQ2 2023","Currency=USD","Period=FQ","BEST_FPERIOD_OVERRIDE=FQ","FILING_STATUS=MR","SCALING_FORMAT=MLN","Sort=A","Dates=H","DateFormat=P","Fill=—","Direction=H","UseDPDF=Y")</f>
        <v>0</v>
      </c>
      <c r="AE45" s="13">
        <f>_xll.BDH("WMT US Equity","OTHER_CURRENT_LIABS_SUB_DETAILED","FQ3 2023","FQ3 2023","Currency=USD","Period=FQ","BEST_FPERIOD_OVERRIDE=FQ","FILING_STATUS=MR","SCALING_FORMAT=MLN","Sort=A","Dates=H","DateFormat=P","Fill=—","Direction=H","UseDPDF=Y")</f>
        <v>0</v>
      </c>
      <c r="AF45" s="13">
        <f>_xll.BDH("WMT US Equity","OTHER_CURRENT_LIABS_SUB_DETAILED","FQ4 2023","FQ4 2023","Currency=USD","Period=FQ","BEST_FPERIOD_OVERRIDE=FQ","FILING_STATUS=MR","SCALING_FORMAT=MLN","Sort=A","Dates=H","DateFormat=P","Fill=—","Direction=H","UseDPDF=Y")</f>
        <v>2488</v>
      </c>
      <c r="AG45" s="13">
        <f>_xll.BDH("WMT US Equity","OTHER_CURRENT_LIABS_SUB_DETAILED","FQ1 2024","FQ1 2024","Currency=USD","Period=FQ","BEST_FPERIOD_OVERRIDE=FQ","FILING_STATUS=MR","SCALING_FORMAT=MLN","Sort=A","Dates=H","DateFormat=P","Fill=—","Direction=H","UseDPDF=Y")</f>
        <v>0</v>
      </c>
      <c r="AH45" s="13">
        <f>_xll.BDH("WMT US Equity","OTHER_CURRENT_LIABS_SUB_DETAILED","FQ2 2024","FQ2 2024","Currency=USD","Period=FQ","BEST_FPERIOD_OVERRIDE=FQ","FILING_STATUS=MR","SCALING_FORMAT=MLN","Sort=A","Dates=H","DateFormat=P","Fill=—","Direction=H","UseDPDF=Y")</f>
        <v>0</v>
      </c>
      <c r="AI45" s="13">
        <f>_xll.BDH("WMT US Equity","OTHER_CURRENT_LIABS_SUB_DETAILED","FQ3 2024","FQ3 2024","Currency=USD","Period=FQ","BEST_FPERIOD_OVERRIDE=FQ","FILING_STATUS=MR","SCALING_FORMAT=MLN","Sort=A","Dates=H","DateFormat=P","Fill=—","Direction=H","UseDPDF=Y")</f>
        <v>0</v>
      </c>
      <c r="AJ45" s="13">
        <f>_xll.BDH("WMT US Equity","OTHER_CURRENT_LIABS_SUB_DETAILED","FQ4 2024","FQ4 2024","Currency=USD","Period=FQ","BEST_FPERIOD_OVERRIDE=FQ","FILING_STATUS=MR","SCALING_FORMAT=MLN","Sort=A","Dates=H","DateFormat=P","Fill=—","Direction=H","UseDPDF=Y")</f>
        <v>2664</v>
      </c>
      <c r="AK45" s="13">
        <f>_xll.BDH("WMT US Equity","OTHER_CURRENT_LIABS_SUB_DETAILED","FQ1 2025","FQ1 2025","Currency=USD","Period=FQ","BEST_FPERIOD_OVERRIDE=FQ","FILING_STATUS=MR","SCALING_FORMAT=MLN","Sort=A","Dates=H","DateFormat=P","Fill=—","Direction=H","UseDPDF=Y")</f>
        <v>0</v>
      </c>
      <c r="AL45" s="13">
        <f>_xll.BDH("WMT US Equity","OTHER_CURRENT_LIABS_SUB_DETAILED","FQ2 2025","FQ2 2025","Currency=USD","Period=FQ","BEST_FPERIOD_OVERRIDE=FQ","FILING_STATUS=MR","SCALING_FORMAT=MLN","Sort=A","Dates=H","DateFormat=P","Fill=—","Direction=H","UseDPDF=Y")</f>
        <v>0</v>
      </c>
      <c r="AM45" s="13">
        <f>_xll.BDH("WMT US Equity","OTHER_CURRENT_LIABS_SUB_DETAILED","FQ3 2025","FQ3 2025","Currency=USD","Period=FQ","BEST_FPERIOD_OVERRIDE=FQ","FILING_STATUS=MR","SCALING_FORMAT=MLN","Sort=A","Dates=H","DateFormat=P","Fill=—","Direction=H","UseDPDF=Y")</f>
        <v>0</v>
      </c>
      <c r="AN45" s="13">
        <f>_xll.BDH("WMT US Equity","OTHER_CURRENT_LIABS_SUB_DETAILED","FQ4 2025","FQ4 2025","Currency=USD","Period=FQ","BEST_FPERIOD_OVERRIDE=FQ","FILING_STATUS=MR","SCALING_FORMAT=MLN","Sort=A","Dates=H","DateFormat=P","Fill=—","Direction=H","UseDPDF=Y")</f>
        <v>2755</v>
      </c>
      <c r="AO45" s="13">
        <f>_xll.BDH("WMT US Equity","OTHER_CURRENT_LIABS_SUB_DETAILED","FQ1 2026","FQ1 2026","Currency=USD","Period=FQ","BEST_FPERIOD_OVERRIDE=FQ","FILING_STATUS=MR","SCALING_FORMAT=MLN","Sort=A","Dates=H","DateFormat=P","Fill=—","Direction=H","UseDPDF=Y")</f>
        <v>0</v>
      </c>
      <c r="AP45" s="13">
        <f>_xll.BDH("WMT US Equity","OTHER_CURRENT_LIABS_SUB_DETAILED","FQ2 2026","FQ2 2026","Currency=USD","Period=FQ","BEST_FPERIOD_OVERRIDE=FQ","FILING_STATUS=MR","SCALING_FORMAT=MLN","Sort=A","Dates=H","DateFormat=P","Fill=—","Direction=H","UseDPDF=Y")</f>
        <v>0</v>
      </c>
    </row>
    <row r="46" spans="1:42" x14ac:dyDescent="0.3">
      <c r="A46" s="10" t="s">
        <v>221</v>
      </c>
      <c r="B46" s="10" t="s">
        <v>125</v>
      </c>
      <c r="C46" s="13" t="str">
        <f>_xll.BDH("WMT US Equity","ST_DEFERRED_REVENUE","FQ3 2016","FQ3 2016","Currency=USD","Period=FQ","BEST_FPERIOD_OVERRIDE=FQ","FILING_STATUS=MR","SCALING_FORMAT=MLN","Sort=A","Dates=H","DateFormat=P","Fill=—","Direction=H","UseDPDF=Y")</f>
        <v>—</v>
      </c>
      <c r="D46" s="13">
        <f>_xll.BDH("WMT US Equity","ST_DEFERRED_REVENUE","FQ4 2016","FQ4 2016","Currency=USD","Period=FQ","BEST_FPERIOD_OVERRIDE=FQ","FILING_STATUS=MR","SCALING_FORMAT=MLN","Sort=A","Dates=H","DateFormat=P","Fill=—","Direction=H","UseDPDF=Y")</f>
        <v>0</v>
      </c>
      <c r="E46" s="13" t="str">
        <f>_xll.BDH("WMT US Equity","ST_DEFERRED_REVENUE","FQ1 2017","FQ1 2017","Currency=USD","Period=FQ","BEST_FPERIOD_OVERRIDE=FQ","FILING_STATUS=MR","SCALING_FORMAT=MLN","Sort=A","Dates=H","DateFormat=P","Fill=—","Direction=H","UseDPDF=Y")</f>
        <v>—</v>
      </c>
      <c r="F46" s="13" t="str">
        <f>_xll.BDH("WMT US Equity","ST_DEFERRED_REVENUE","FQ2 2017","FQ2 2017","Currency=USD","Period=FQ","BEST_FPERIOD_OVERRIDE=FQ","FILING_STATUS=MR","SCALING_FORMAT=MLN","Sort=A","Dates=H","DateFormat=P","Fill=—","Direction=H","UseDPDF=Y")</f>
        <v>—</v>
      </c>
      <c r="G46" s="13" t="str">
        <f>_xll.BDH("WMT US Equity","ST_DEFERRED_REVENUE","FQ3 2017","FQ3 2017","Currency=USD","Period=FQ","BEST_FPERIOD_OVERRIDE=FQ","FILING_STATUS=MR","SCALING_FORMAT=MLN","Sort=A","Dates=H","DateFormat=P","Fill=—","Direction=H","UseDPDF=Y")</f>
        <v>—</v>
      </c>
      <c r="H46" s="13">
        <f>_xll.BDH("WMT US Equity","ST_DEFERRED_REVENUE","FQ4 2017","FQ4 2017","Currency=USD","Period=FQ","BEST_FPERIOD_OVERRIDE=FQ","FILING_STATUS=MR","SCALING_FORMAT=MLN","Sort=A","Dates=H","DateFormat=P","Fill=—","Direction=H","UseDPDF=Y")</f>
        <v>0</v>
      </c>
      <c r="I46" s="13" t="str">
        <f>_xll.BDH("WMT US Equity","ST_DEFERRED_REVENUE","FQ1 2018","FQ1 2018","Currency=USD","Period=FQ","BEST_FPERIOD_OVERRIDE=FQ","FILING_STATUS=MR","SCALING_FORMAT=MLN","Sort=A","Dates=H","DateFormat=P","Fill=—","Direction=H","UseDPDF=Y")</f>
        <v>—</v>
      </c>
      <c r="J46" s="13" t="str">
        <f>_xll.BDH("WMT US Equity","ST_DEFERRED_REVENUE","FQ2 2018","FQ2 2018","Currency=USD","Period=FQ","BEST_FPERIOD_OVERRIDE=FQ","FILING_STATUS=MR","SCALING_FORMAT=MLN","Sort=A","Dates=H","DateFormat=P","Fill=—","Direction=H","UseDPDF=Y")</f>
        <v>—</v>
      </c>
      <c r="K46" s="13" t="str">
        <f>_xll.BDH("WMT US Equity","ST_DEFERRED_REVENUE","FQ3 2018","FQ3 2018","Currency=USD","Period=FQ","BEST_FPERIOD_OVERRIDE=FQ","FILING_STATUS=MR","SCALING_FORMAT=MLN","Sort=A","Dates=H","DateFormat=P","Fill=—","Direction=H","UseDPDF=Y")</f>
        <v>—</v>
      </c>
      <c r="L46" s="13">
        <f>_xll.BDH("WMT US Equity","ST_DEFERRED_REVENUE","FQ4 2018","FQ4 2018","Currency=USD","Period=FQ","BEST_FPERIOD_OVERRIDE=FQ","FILING_STATUS=MR","SCALING_FORMAT=MLN","Sort=A","Dates=H","DateFormat=P","Fill=—","Direction=H","UseDPDF=Y")</f>
        <v>0</v>
      </c>
      <c r="M46" s="13" t="str">
        <f>_xll.BDH("WMT US Equity","ST_DEFERRED_REVENUE","FQ1 2019","FQ1 2019","Currency=USD","Period=FQ","BEST_FPERIOD_OVERRIDE=FQ","FILING_STATUS=MR","SCALING_FORMAT=MLN","Sort=A","Dates=H","DateFormat=P","Fill=—","Direction=H","UseDPDF=Y")</f>
        <v>—</v>
      </c>
      <c r="N46" s="13" t="str">
        <f>_xll.BDH("WMT US Equity","ST_DEFERRED_REVENUE","FQ2 2019","FQ2 2019","Currency=USD","Period=FQ","BEST_FPERIOD_OVERRIDE=FQ","FILING_STATUS=MR","SCALING_FORMAT=MLN","Sort=A","Dates=H","DateFormat=P","Fill=—","Direction=H","UseDPDF=Y")</f>
        <v>—</v>
      </c>
      <c r="O46" s="13" t="str">
        <f>_xll.BDH("WMT US Equity","ST_DEFERRED_REVENUE","FQ3 2019","FQ3 2019","Currency=USD","Period=FQ","BEST_FPERIOD_OVERRIDE=FQ","FILING_STATUS=MR","SCALING_FORMAT=MLN","Sort=A","Dates=H","DateFormat=P","Fill=—","Direction=H","UseDPDF=Y")</f>
        <v>—</v>
      </c>
      <c r="P46" s="13">
        <f>_xll.BDH("WMT US Equity","ST_DEFERRED_REVENUE","FQ4 2019","FQ4 2019","Currency=USD","Period=FQ","BEST_FPERIOD_OVERRIDE=FQ","FILING_STATUS=MR","SCALING_FORMAT=MLN","Sort=A","Dates=H","DateFormat=P","Fill=—","Direction=H","UseDPDF=Y")</f>
        <v>1932</v>
      </c>
      <c r="Q46" s="13" t="str">
        <f>_xll.BDH("WMT US Equity","ST_DEFERRED_REVENUE","FQ1 2020","FQ1 2020","Currency=USD","Period=FQ","BEST_FPERIOD_OVERRIDE=FQ","FILING_STATUS=MR","SCALING_FORMAT=MLN","Sort=A","Dates=H","DateFormat=P","Fill=—","Direction=H","UseDPDF=Y")</f>
        <v>—</v>
      </c>
      <c r="R46" s="13" t="str">
        <f>_xll.BDH("WMT US Equity","ST_DEFERRED_REVENUE","FQ2 2020","FQ2 2020","Currency=USD","Period=FQ","BEST_FPERIOD_OVERRIDE=FQ","FILING_STATUS=MR","SCALING_FORMAT=MLN","Sort=A","Dates=H","DateFormat=P","Fill=—","Direction=H","UseDPDF=Y")</f>
        <v>—</v>
      </c>
      <c r="S46" s="13" t="str">
        <f>_xll.BDH("WMT US Equity","ST_DEFERRED_REVENUE","FQ3 2020","FQ3 2020","Currency=USD","Period=FQ","BEST_FPERIOD_OVERRIDE=FQ","FILING_STATUS=MR","SCALING_FORMAT=MLN","Sort=A","Dates=H","DateFormat=P","Fill=—","Direction=H","UseDPDF=Y")</f>
        <v>—</v>
      </c>
      <c r="T46" s="13">
        <f>_xll.BDH("WMT US Equity","ST_DEFERRED_REVENUE","FQ4 2020","FQ4 2020","Currency=USD","Period=FQ","BEST_FPERIOD_OVERRIDE=FQ","FILING_STATUS=MR","SCALING_FORMAT=MLN","Sort=A","Dates=H","DateFormat=P","Fill=—","Direction=H","UseDPDF=Y")</f>
        <v>1990</v>
      </c>
      <c r="U46" s="13" t="str">
        <f>_xll.BDH("WMT US Equity","ST_DEFERRED_REVENUE","FQ1 2021","FQ1 2021","Currency=USD","Period=FQ","BEST_FPERIOD_OVERRIDE=FQ","FILING_STATUS=MR","SCALING_FORMAT=MLN","Sort=A","Dates=H","DateFormat=P","Fill=—","Direction=H","UseDPDF=Y")</f>
        <v>—</v>
      </c>
      <c r="V46" s="13" t="str">
        <f>_xll.BDH("WMT US Equity","ST_DEFERRED_REVENUE","FQ2 2021","FQ2 2021","Currency=USD","Period=FQ","BEST_FPERIOD_OVERRIDE=FQ","FILING_STATUS=MR","SCALING_FORMAT=MLN","Sort=A","Dates=H","DateFormat=P","Fill=—","Direction=H","UseDPDF=Y")</f>
        <v>—</v>
      </c>
      <c r="W46" s="13" t="str">
        <f>_xll.BDH("WMT US Equity","ST_DEFERRED_REVENUE","FQ3 2021","FQ3 2021","Currency=USD","Period=FQ","BEST_FPERIOD_OVERRIDE=FQ","FILING_STATUS=MR","SCALING_FORMAT=MLN","Sort=A","Dates=H","DateFormat=P","Fill=—","Direction=H","UseDPDF=Y")</f>
        <v>—</v>
      </c>
      <c r="X46" s="13">
        <f>_xll.BDH("WMT US Equity","ST_DEFERRED_REVENUE","FQ4 2021","FQ4 2021","Currency=USD","Period=FQ","BEST_FPERIOD_OVERRIDE=FQ","FILING_STATUS=MR","SCALING_FORMAT=MLN","Sort=A","Dates=H","DateFormat=P","Fill=—","Direction=H","UseDPDF=Y")</f>
        <v>2310</v>
      </c>
      <c r="Y46" s="13" t="str">
        <f>_xll.BDH("WMT US Equity","ST_DEFERRED_REVENUE","FQ1 2022","FQ1 2022","Currency=USD","Period=FQ","BEST_FPERIOD_OVERRIDE=FQ","FILING_STATUS=MR","SCALING_FORMAT=MLN","Sort=A","Dates=H","DateFormat=P","Fill=—","Direction=H","UseDPDF=Y")</f>
        <v>—</v>
      </c>
      <c r="Z46" s="13" t="str">
        <f>_xll.BDH("WMT US Equity","ST_DEFERRED_REVENUE","FQ2 2022","FQ2 2022","Currency=USD","Period=FQ","BEST_FPERIOD_OVERRIDE=FQ","FILING_STATUS=MR","SCALING_FORMAT=MLN","Sort=A","Dates=H","DateFormat=P","Fill=—","Direction=H","UseDPDF=Y")</f>
        <v>—</v>
      </c>
      <c r="AA46" s="13" t="str">
        <f>_xll.BDH("WMT US Equity","ST_DEFERRED_REVENUE","FQ3 2022","FQ3 2022","Currency=USD","Period=FQ","BEST_FPERIOD_OVERRIDE=FQ","FILING_STATUS=MR","SCALING_FORMAT=MLN","Sort=A","Dates=H","DateFormat=P","Fill=—","Direction=H","UseDPDF=Y")</f>
        <v>—</v>
      </c>
      <c r="AB46" s="13">
        <f>_xll.BDH("WMT US Equity","ST_DEFERRED_REVENUE","FQ4 2022","FQ4 2022","Currency=USD","Period=FQ","BEST_FPERIOD_OVERRIDE=FQ","FILING_STATUS=MR","SCALING_FORMAT=MLN","Sort=A","Dates=H","DateFormat=P","Fill=—","Direction=H","UseDPDF=Y")</f>
        <v>2559</v>
      </c>
      <c r="AC46" s="13" t="str">
        <f>_xll.BDH("WMT US Equity","ST_DEFERRED_REVENUE","FQ1 2023","FQ1 2023","Currency=USD","Period=FQ","BEST_FPERIOD_OVERRIDE=FQ","FILING_STATUS=MR","SCALING_FORMAT=MLN","Sort=A","Dates=H","DateFormat=P","Fill=—","Direction=H","UseDPDF=Y")</f>
        <v>—</v>
      </c>
      <c r="AD46" s="13" t="str">
        <f>_xll.BDH("WMT US Equity","ST_DEFERRED_REVENUE","FQ2 2023","FQ2 2023","Currency=USD","Period=FQ","BEST_FPERIOD_OVERRIDE=FQ","FILING_STATUS=MR","SCALING_FORMAT=MLN","Sort=A","Dates=H","DateFormat=P","Fill=—","Direction=H","UseDPDF=Y")</f>
        <v>—</v>
      </c>
      <c r="AE46" s="13" t="str">
        <f>_xll.BDH("WMT US Equity","ST_DEFERRED_REVENUE","FQ3 2023","FQ3 2023","Currency=USD","Period=FQ","BEST_FPERIOD_OVERRIDE=FQ","FILING_STATUS=MR","SCALING_FORMAT=MLN","Sort=A","Dates=H","DateFormat=P","Fill=—","Direction=H","UseDPDF=Y")</f>
        <v>—</v>
      </c>
      <c r="AF46" s="13">
        <f>_xll.BDH("WMT US Equity","ST_DEFERRED_REVENUE","FQ4 2023","FQ4 2023","Currency=USD","Period=FQ","BEST_FPERIOD_OVERRIDE=FQ","FILING_STATUS=MR","SCALING_FORMAT=MLN","Sort=A","Dates=H","DateFormat=P","Fill=—","Direction=H","UseDPDF=Y")</f>
        <v>2488</v>
      </c>
      <c r="AG46" s="13" t="str">
        <f>_xll.BDH("WMT US Equity","ST_DEFERRED_REVENUE","FQ1 2024","FQ1 2024","Currency=USD","Period=FQ","BEST_FPERIOD_OVERRIDE=FQ","FILING_STATUS=MR","SCALING_FORMAT=MLN","Sort=A","Dates=H","DateFormat=P","Fill=—","Direction=H","UseDPDF=Y")</f>
        <v>—</v>
      </c>
      <c r="AH46" s="13" t="str">
        <f>_xll.BDH("WMT US Equity","ST_DEFERRED_REVENUE","FQ2 2024","FQ2 2024","Currency=USD","Period=FQ","BEST_FPERIOD_OVERRIDE=FQ","FILING_STATUS=MR","SCALING_FORMAT=MLN","Sort=A","Dates=H","DateFormat=P","Fill=—","Direction=H","UseDPDF=Y")</f>
        <v>—</v>
      </c>
      <c r="AI46" s="13" t="str">
        <f>_xll.BDH("WMT US Equity","ST_DEFERRED_REVENUE","FQ3 2024","FQ3 2024","Currency=USD","Period=FQ","BEST_FPERIOD_OVERRIDE=FQ","FILING_STATUS=MR","SCALING_FORMAT=MLN","Sort=A","Dates=H","DateFormat=P","Fill=—","Direction=H","UseDPDF=Y")</f>
        <v>—</v>
      </c>
      <c r="AJ46" s="13">
        <f>_xll.BDH("WMT US Equity","ST_DEFERRED_REVENUE","FQ4 2024","FQ4 2024","Currency=USD","Period=FQ","BEST_FPERIOD_OVERRIDE=FQ","FILING_STATUS=MR","SCALING_FORMAT=MLN","Sort=A","Dates=H","DateFormat=P","Fill=—","Direction=H","UseDPDF=Y")</f>
        <v>2664</v>
      </c>
      <c r="AK46" s="13" t="str">
        <f>_xll.BDH("WMT US Equity","ST_DEFERRED_REVENUE","FQ1 2025","FQ1 2025","Currency=USD","Period=FQ","BEST_FPERIOD_OVERRIDE=FQ","FILING_STATUS=MR","SCALING_FORMAT=MLN","Sort=A","Dates=H","DateFormat=P","Fill=—","Direction=H","UseDPDF=Y")</f>
        <v>—</v>
      </c>
      <c r="AL46" s="13" t="str">
        <f>_xll.BDH("WMT US Equity","ST_DEFERRED_REVENUE","FQ2 2025","FQ2 2025","Currency=USD","Period=FQ","BEST_FPERIOD_OVERRIDE=FQ","FILING_STATUS=MR","SCALING_FORMAT=MLN","Sort=A","Dates=H","DateFormat=P","Fill=—","Direction=H","UseDPDF=Y")</f>
        <v>—</v>
      </c>
      <c r="AM46" s="13" t="str">
        <f>_xll.BDH("WMT US Equity","ST_DEFERRED_REVENUE","FQ3 2025","FQ3 2025","Currency=USD","Period=FQ","BEST_FPERIOD_OVERRIDE=FQ","FILING_STATUS=MR","SCALING_FORMAT=MLN","Sort=A","Dates=H","DateFormat=P","Fill=—","Direction=H","UseDPDF=Y")</f>
        <v>—</v>
      </c>
      <c r="AN46" s="13">
        <f>_xll.BDH("WMT US Equity","ST_DEFERRED_REVENUE","FQ4 2025","FQ4 2025","Currency=USD","Period=FQ","BEST_FPERIOD_OVERRIDE=FQ","FILING_STATUS=MR","SCALING_FORMAT=MLN","Sort=A","Dates=H","DateFormat=P","Fill=—","Direction=H","UseDPDF=Y")</f>
        <v>2755</v>
      </c>
      <c r="AO46" s="13" t="str">
        <f>_xll.BDH("WMT US Equity","ST_DEFERRED_REVENUE","FQ1 2026","FQ1 2026","Currency=USD","Period=FQ","BEST_FPERIOD_OVERRIDE=FQ","FILING_STATUS=MR","SCALING_FORMAT=MLN","Sort=A","Dates=H","DateFormat=P","Fill=—","Direction=H","UseDPDF=Y")</f>
        <v>—</v>
      </c>
      <c r="AP46" s="13" t="str">
        <f>_xll.BDH("WMT US Equity","ST_DEFERRED_REVENUE","FQ2 2026","FQ2 2026","Currency=USD","Period=FQ","BEST_FPERIOD_OVERRIDE=FQ","FILING_STATUS=MR","SCALING_FORMAT=MLN","Sort=A","Dates=H","DateFormat=P","Fill=—","Direction=H","UseDPDF=Y")</f>
        <v>—</v>
      </c>
    </row>
    <row r="47" spans="1:42" x14ac:dyDescent="0.3">
      <c r="A47" s="10" t="s">
        <v>222</v>
      </c>
      <c r="B47" s="10" t="s">
        <v>126</v>
      </c>
      <c r="C47" s="13">
        <f>_xll.BDH("WMT US Equity","BS_DERIV_HEDGING_LIAB_ST","FQ3 2016","FQ3 2016","Currency=USD","Period=FQ","BEST_FPERIOD_OVERRIDE=FQ","FILING_STATUS=MR","SCALING_FORMAT=MLN","Sort=A","Dates=H","DateFormat=P","Fill=—","Direction=H","UseDPDF=Y")</f>
        <v>0</v>
      </c>
      <c r="D47" s="13">
        <f>_xll.BDH("WMT US Equity","BS_DERIV_HEDGING_LIAB_ST","FQ4 2016","FQ4 2016","Currency=USD","Period=FQ","BEST_FPERIOD_OVERRIDE=FQ","FILING_STATUS=MR","SCALING_FORMAT=MLN","Sort=A","Dates=H","DateFormat=P","Fill=—","Direction=H","UseDPDF=Y")</f>
        <v>0</v>
      </c>
      <c r="E47" s="13" t="str">
        <f>_xll.BDH("WMT US Equity","BS_DERIV_HEDGING_LIAB_ST","FQ1 2017","FQ1 2017","Currency=USD","Period=FQ","BEST_FPERIOD_OVERRIDE=FQ","FILING_STATUS=MR","SCALING_FORMAT=MLN","Sort=A","Dates=H","DateFormat=P","Fill=—","Direction=H","UseDPDF=Y")</f>
        <v>—</v>
      </c>
      <c r="F47" s="13" t="str">
        <f>_xll.BDH("WMT US Equity","BS_DERIV_HEDGING_LIAB_ST","FQ2 2017","FQ2 2017","Currency=USD","Period=FQ","BEST_FPERIOD_OVERRIDE=FQ","FILING_STATUS=MR","SCALING_FORMAT=MLN","Sort=A","Dates=H","DateFormat=P","Fill=—","Direction=H","UseDPDF=Y")</f>
        <v>—</v>
      </c>
      <c r="G47" s="13" t="str">
        <f>_xll.BDH("WMT US Equity","BS_DERIV_HEDGING_LIAB_ST","FQ3 2017","FQ3 2017","Currency=USD","Period=FQ","BEST_FPERIOD_OVERRIDE=FQ","FILING_STATUS=MR","SCALING_FORMAT=MLN","Sort=A","Dates=H","DateFormat=P","Fill=—","Direction=H","UseDPDF=Y")</f>
        <v>—</v>
      </c>
      <c r="H47" s="13">
        <f>_xll.BDH("WMT US Equity","BS_DERIV_HEDGING_LIAB_ST","FQ4 2017","FQ4 2017","Currency=USD","Period=FQ","BEST_FPERIOD_OVERRIDE=FQ","FILING_STATUS=MR","SCALING_FORMAT=MLN","Sort=A","Dates=H","DateFormat=P","Fill=—","Direction=H","UseDPDF=Y")</f>
        <v>0</v>
      </c>
      <c r="I47" s="13" t="str">
        <f>_xll.BDH("WMT US Equity","BS_DERIV_HEDGING_LIAB_ST","FQ1 2018","FQ1 2018","Currency=USD","Period=FQ","BEST_FPERIOD_OVERRIDE=FQ","FILING_STATUS=MR","SCALING_FORMAT=MLN","Sort=A","Dates=H","DateFormat=P","Fill=—","Direction=H","UseDPDF=Y")</f>
        <v>—</v>
      </c>
      <c r="J47" s="13" t="str">
        <f>_xll.BDH("WMT US Equity","BS_DERIV_HEDGING_LIAB_ST","FQ2 2018","FQ2 2018","Currency=USD","Period=FQ","BEST_FPERIOD_OVERRIDE=FQ","FILING_STATUS=MR","SCALING_FORMAT=MLN","Sort=A","Dates=H","DateFormat=P","Fill=—","Direction=H","UseDPDF=Y")</f>
        <v>—</v>
      </c>
      <c r="K47" s="13" t="str">
        <f>_xll.BDH("WMT US Equity","BS_DERIV_HEDGING_LIAB_ST","FQ3 2018","FQ3 2018","Currency=USD","Period=FQ","BEST_FPERIOD_OVERRIDE=FQ","FILING_STATUS=MR","SCALING_FORMAT=MLN","Sort=A","Dates=H","DateFormat=P","Fill=—","Direction=H","UseDPDF=Y")</f>
        <v>—</v>
      </c>
      <c r="L47" s="13">
        <f>_xll.BDH("WMT US Equity","BS_DERIV_HEDGING_LIAB_ST","FQ4 2018","FQ4 2018","Currency=USD","Period=FQ","BEST_FPERIOD_OVERRIDE=FQ","FILING_STATUS=MR","SCALING_FORMAT=MLN","Sort=A","Dates=H","DateFormat=P","Fill=—","Direction=H","UseDPDF=Y")</f>
        <v>0</v>
      </c>
      <c r="M47" s="13" t="str">
        <f>_xll.BDH("WMT US Equity","BS_DERIV_HEDGING_LIAB_ST","FQ1 2019","FQ1 2019","Currency=USD","Period=FQ","BEST_FPERIOD_OVERRIDE=FQ","FILING_STATUS=MR","SCALING_FORMAT=MLN","Sort=A","Dates=H","DateFormat=P","Fill=—","Direction=H","UseDPDF=Y")</f>
        <v>—</v>
      </c>
      <c r="N47" s="13" t="str">
        <f>_xll.BDH("WMT US Equity","BS_DERIV_HEDGING_LIAB_ST","FQ2 2019","FQ2 2019","Currency=USD","Period=FQ","BEST_FPERIOD_OVERRIDE=FQ","FILING_STATUS=MR","SCALING_FORMAT=MLN","Sort=A","Dates=H","DateFormat=P","Fill=—","Direction=H","UseDPDF=Y")</f>
        <v>—</v>
      </c>
      <c r="O47" s="13" t="str">
        <f>_xll.BDH("WMT US Equity","BS_DERIV_HEDGING_LIAB_ST","FQ3 2019","FQ3 2019","Currency=USD","Period=FQ","BEST_FPERIOD_OVERRIDE=FQ","FILING_STATUS=MR","SCALING_FORMAT=MLN","Sort=A","Dates=H","DateFormat=P","Fill=—","Direction=H","UseDPDF=Y")</f>
        <v>—</v>
      </c>
      <c r="P47" s="13">
        <f>_xll.BDH("WMT US Equity","BS_DERIV_HEDGING_LIAB_ST","FQ4 2019","FQ4 2019","Currency=USD","Period=FQ","BEST_FPERIOD_OVERRIDE=FQ","FILING_STATUS=MR","SCALING_FORMAT=MLN","Sort=A","Dates=H","DateFormat=P","Fill=—","Direction=H","UseDPDF=Y")</f>
        <v>0</v>
      </c>
      <c r="Q47" s="13" t="str">
        <f>_xll.BDH("WMT US Equity","BS_DERIV_HEDGING_LIAB_ST","FQ1 2020","FQ1 2020","Currency=USD","Period=FQ","BEST_FPERIOD_OVERRIDE=FQ","FILING_STATUS=MR","SCALING_FORMAT=MLN","Sort=A","Dates=H","DateFormat=P","Fill=—","Direction=H","UseDPDF=Y")</f>
        <v>—</v>
      </c>
      <c r="R47" s="13" t="str">
        <f>_xll.BDH("WMT US Equity","BS_DERIV_HEDGING_LIAB_ST","FQ2 2020","FQ2 2020","Currency=USD","Period=FQ","BEST_FPERIOD_OVERRIDE=FQ","FILING_STATUS=MR","SCALING_FORMAT=MLN","Sort=A","Dates=H","DateFormat=P","Fill=—","Direction=H","UseDPDF=Y")</f>
        <v>—</v>
      </c>
      <c r="S47" s="13" t="str">
        <f>_xll.BDH("WMT US Equity","BS_DERIV_HEDGING_LIAB_ST","FQ3 2020","FQ3 2020","Currency=USD","Period=FQ","BEST_FPERIOD_OVERRIDE=FQ","FILING_STATUS=MR","SCALING_FORMAT=MLN","Sort=A","Dates=H","DateFormat=P","Fill=—","Direction=H","UseDPDF=Y")</f>
        <v>—</v>
      </c>
      <c r="T47" s="13" t="str">
        <f>_xll.BDH("WMT US Equity","BS_DERIV_HEDGING_LIAB_ST","FQ4 2020","FQ4 2020","Currency=USD","Period=FQ","BEST_FPERIOD_OVERRIDE=FQ","FILING_STATUS=MR","SCALING_FORMAT=MLN","Sort=A","Dates=H","DateFormat=P","Fill=—","Direction=H","UseDPDF=Y")</f>
        <v>—</v>
      </c>
      <c r="U47" s="13" t="str">
        <f>_xll.BDH("WMT US Equity","BS_DERIV_HEDGING_LIAB_ST","FQ1 2021","FQ1 2021","Currency=USD","Period=FQ","BEST_FPERIOD_OVERRIDE=FQ","FILING_STATUS=MR","SCALING_FORMAT=MLN","Sort=A","Dates=H","DateFormat=P","Fill=—","Direction=H","UseDPDF=Y")</f>
        <v>—</v>
      </c>
      <c r="V47" s="13" t="str">
        <f>_xll.BDH("WMT US Equity","BS_DERIV_HEDGING_LIAB_ST","FQ2 2021","FQ2 2021","Currency=USD","Period=FQ","BEST_FPERIOD_OVERRIDE=FQ","FILING_STATUS=MR","SCALING_FORMAT=MLN","Sort=A","Dates=H","DateFormat=P","Fill=—","Direction=H","UseDPDF=Y")</f>
        <v>—</v>
      </c>
      <c r="W47" s="13" t="str">
        <f>_xll.BDH("WMT US Equity","BS_DERIV_HEDGING_LIAB_ST","FQ3 2021","FQ3 2021","Currency=USD","Period=FQ","BEST_FPERIOD_OVERRIDE=FQ","FILING_STATUS=MR","SCALING_FORMAT=MLN","Sort=A","Dates=H","DateFormat=P","Fill=—","Direction=H","UseDPDF=Y")</f>
        <v>—</v>
      </c>
      <c r="X47" s="13" t="str">
        <f>_xll.BDH("WMT US Equity","BS_DERIV_HEDGING_LIAB_ST","FQ4 2021","FQ4 2021","Currency=USD","Period=FQ","BEST_FPERIOD_OVERRIDE=FQ","FILING_STATUS=MR","SCALING_FORMAT=MLN","Sort=A","Dates=H","DateFormat=P","Fill=—","Direction=H","UseDPDF=Y")</f>
        <v>—</v>
      </c>
      <c r="Y47" s="13" t="str">
        <f>_xll.BDH("WMT US Equity","BS_DERIV_HEDGING_LIAB_ST","FQ1 2022","FQ1 2022","Currency=USD","Period=FQ","BEST_FPERIOD_OVERRIDE=FQ","FILING_STATUS=MR","SCALING_FORMAT=MLN","Sort=A","Dates=H","DateFormat=P","Fill=—","Direction=H","UseDPDF=Y")</f>
        <v>—</v>
      </c>
      <c r="Z47" s="13" t="str">
        <f>_xll.BDH("WMT US Equity","BS_DERIV_HEDGING_LIAB_ST","FQ2 2022","FQ2 2022","Currency=USD","Period=FQ","BEST_FPERIOD_OVERRIDE=FQ","FILING_STATUS=MR","SCALING_FORMAT=MLN","Sort=A","Dates=H","DateFormat=P","Fill=—","Direction=H","UseDPDF=Y")</f>
        <v>—</v>
      </c>
      <c r="AA47" s="13" t="str">
        <f>_xll.BDH("WMT US Equity","BS_DERIV_HEDGING_LIAB_ST","FQ3 2022","FQ3 2022","Currency=USD","Period=FQ","BEST_FPERIOD_OVERRIDE=FQ","FILING_STATUS=MR","SCALING_FORMAT=MLN","Sort=A","Dates=H","DateFormat=P","Fill=—","Direction=H","UseDPDF=Y")</f>
        <v>—</v>
      </c>
      <c r="AB47" s="13" t="str">
        <f>_xll.BDH("WMT US Equity","BS_DERIV_HEDGING_LIAB_ST","FQ4 2022","FQ4 2022","Currency=USD","Period=FQ","BEST_FPERIOD_OVERRIDE=FQ","FILING_STATUS=MR","SCALING_FORMAT=MLN","Sort=A","Dates=H","DateFormat=P","Fill=—","Direction=H","UseDPDF=Y")</f>
        <v>—</v>
      </c>
      <c r="AC47" s="13" t="str">
        <f>_xll.BDH("WMT US Equity","BS_DERIV_HEDGING_LIAB_ST","FQ1 2023","FQ1 2023","Currency=USD","Period=FQ","BEST_FPERIOD_OVERRIDE=FQ","FILING_STATUS=MR","SCALING_FORMAT=MLN","Sort=A","Dates=H","DateFormat=P","Fill=—","Direction=H","UseDPDF=Y")</f>
        <v>—</v>
      </c>
      <c r="AD47" s="13" t="str">
        <f>_xll.BDH("WMT US Equity","BS_DERIV_HEDGING_LIAB_ST","FQ2 2023","FQ2 2023","Currency=USD","Period=FQ","BEST_FPERIOD_OVERRIDE=FQ","FILING_STATUS=MR","SCALING_FORMAT=MLN","Sort=A","Dates=H","DateFormat=P","Fill=—","Direction=H","UseDPDF=Y")</f>
        <v>—</v>
      </c>
      <c r="AE47" s="13" t="str">
        <f>_xll.BDH("WMT US Equity","BS_DERIV_HEDGING_LIAB_ST","FQ3 2023","FQ3 2023","Currency=USD","Period=FQ","BEST_FPERIOD_OVERRIDE=FQ","FILING_STATUS=MR","SCALING_FORMAT=MLN","Sort=A","Dates=H","DateFormat=P","Fill=—","Direction=H","UseDPDF=Y")</f>
        <v>—</v>
      </c>
      <c r="AF47" s="13" t="str">
        <f>_xll.BDH("WMT US Equity","BS_DERIV_HEDGING_LIAB_ST","FQ4 2023","FQ4 2023","Currency=USD","Period=FQ","BEST_FPERIOD_OVERRIDE=FQ","FILING_STATUS=MR","SCALING_FORMAT=MLN","Sort=A","Dates=H","DateFormat=P","Fill=—","Direction=H","UseDPDF=Y")</f>
        <v>—</v>
      </c>
      <c r="AG47" s="13" t="str">
        <f>_xll.BDH("WMT US Equity","BS_DERIV_HEDGING_LIAB_ST","FQ1 2024","FQ1 2024","Currency=USD","Period=FQ","BEST_FPERIOD_OVERRIDE=FQ","FILING_STATUS=MR","SCALING_FORMAT=MLN","Sort=A","Dates=H","DateFormat=P","Fill=—","Direction=H","UseDPDF=Y")</f>
        <v>—</v>
      </c>
      <c r="AH47" s="13" t="str">
        <f>_xll.BDH("WMT US Equity","BS_DERIV_HEDGING_LIAB_ST","FQ2 2024","FQ2 2024","Currency=USD","Period=FQ","BEST_FPERIOD_OVERRIDE=FQ","FILING_STATUS=MR","SCALING_FORMAT=MLN","Sort=A","Dates=H","DateFormat=P","Fill=—","Direction=H","UseDPDF=Y")</f>
        <v>—</v>
      </c>
      <c r="AI47" s="13" t="str">
        <f>_xll.BDH("WMT US Equity","BS_DERIV_HEDGING_LIAB_ST","FQ3 2024","FQ3 2024","Currency=USD","Period=FQ","BEST_FPERIOD_OVERRIDE=FQ","FILING_STATUS=MR","SCALING_FORMAT=MLN","Sort=A","Dates=H","DateFormat=P","Fill=—","Direction=H","UseDPDF=Y")</f>
        <v>—</v>
      </c>
      <c r="AJ47" s="13" t="str">
        <f>_xll.BDH("WMT US Equity","BS_DERIV_HEDGING_LIAB_ST","FQ4 2024","FQ4 2024","Currency=USD","Period=FQ","BEST_FPERIOD_OVERRIDE=FQ","FILING_STATUS=MR","SCALING_FORMAT=MLN","Sort=A","Dates=H","DateFormat=P","Fill=—","Direction=H","UseDPDF=Y")</f>
        <v>—</v>
      </c>
      <c r="AK47" s="13" t="str">
        <f>_xll.BDH("WMT US Equity","BS_DERIV_HEDGING_LIAB_ST","FQ1 2025","FQ1 2025","Currency=USD","Period=FQ","BEST_FPERIOD_OVERRIDE=FQ","FILING_STATUS=MR","SCALING_FORMAT=MLN","Sort=A","Dates=H","DateFormat=P","Fill=—","Direction=H","UseDPDF=Y")</f>
        <v>—</v>
      </c>
      <c r="AL47" s="13" t="str">
        <f>_xll.BDH("WMT US Equity","BS_DERIV_HEDGING_LIAB_ST","FQ2 2025","FQ2 2025","Currency=USD","Period=FQ","BEST_FPERIOD_OVERRIDE=FQ","FILING_STATUS=MR","SCALING_FORMAT=MLN","Sort=A","Dates=H","DateFormat=P","Fill=—","Direction=H","UseDPDF=Y")</f>
        <v>—</v>
      </c>
      <c r="AM47" s="13" t="str">
        <f>_xll.BDH("WMT US Equity","BS_DERIV_HEDGING_LIAB_ST","FQ3 2025","FQ3 2025","Currency=USD","Period=FQ","BEST_FPERIOD_OVERRIDE=FQ","FILING_STATUS=MR","SCALING_FORMAT=MLN","Sort=A","Dates=H","DateFormat=P","Fill=—","Direction=H","UseDPDF=Y")</f>
        <v>—</v>
      </c>
      <c r="AN47" s="13" t="str">
        <f>_xll.BDH("WMT US Equity","BS_DERIV_HEDGING_LIAB_ST","FQ4 2025","FQ4 2025","Currency=USD","Period=FQ","BEST_FPERIOD_OVERRIDE=FQ","FILING_STATUS=MR","SCALING_FORMAT=MLN","Sort=A","Dates=H","DateFormat=P","Fill=—","Direction=H","UseDPDF=Y")</f>
        <v>—</v>
      </c>
      <c r="AO47" s="13" t="str">
        <f>_xll.BDH("WMT US Equity","BS_DERIV_HEDGING_LIAB_ST","FQ1 2026","FQ1 2026","Currency=USD","Period=FQ","BEST_FPERIOD_OVERRIDE=FQ","FILING_STATUS=MR","SCALING_FORMAT=MLN","Sort=A","Dates=H","DateFormat=P","Fill=—","Direction=H","UseDPDF=Y")</f>
        <v>—</v>
      </c>
      <c r="AP47" s="13" t="str">
        <f>_xll.BDH("WMT US Equity","BS_DERIV_HEDGING_LIAB_ST","FQ2 2026","FQ2 2026","Currency=USD","Period=FQ","BEST_FPERIOD_OVERRIDE=FQ","FILING_STATUS=MR","SCALING_FORMAT=MLN","Sort=A","Dates=H","DateFormat=P","Fill=—","Direction=H","UseDPDF=Y")</f>
        <v>—</v>
      </c>
    </row>
    <row r="48" spans="1:42" x14ac:dyDescent="0.3">
      <c r="A48" s="10" t="s">
        <v>223</v>
      </c>
      <c r="B48" s="10" t="s">
        <v>127</v>
      </c>
      <c r="C48" s="13" t="str">
        <f>_xll.BDH("WMT US Equity","BS_DEFERRED_TAX_LIABS_ST","FQ3 2016","FQ3 2016","Currency=USD","Period=FQ","BEST_FPERIOD_OVERRIDE=FQ","FILING_STATUS=MR","SCALING_FORMAT=MLN","Sort=A","Dates=H","DateFormat=P","Fill=—","Direction=H","UseDPDF=Y")</f>
        <v>—</v>
      </c>
      <c r="D48" s="13">
        <f>_xll.BDH("WMT US Equity","BS_DEFERRED_TAX_LIABS_ST","FQ4 2016","FQ4 2016","Currency=USD","Period=FQ","BEST_FPERIOD_OVERRIDE=FQ","FILING_STATUS=MR","SCALING_FORMAT=MLN","Sort=A","Dates=H","DateFormat=P","Fill=—","Direction=H","UseDPDF=Y")</f>
        <v>0</v>
      </c>
      <c r="E48" s="13" t="str">
        <f>_xll.BDH("WMT US Equity","BS_DEFERRED_TAX_LIABS_ST","FQ1 2017","FQ1 2017","Currency=USD","Period=FQ","BEST_FPERIOD_OVERRIDE=FQ","FILING_STATUS=MR","SCALING_FORMAT=MLN","Sort=A","Dates=H","DateFormat=P","Fill=—","Direction=H","UseDPDF=Y")</f>
        <v>—</v>
      </c>
      <c r="F48" s="13" t="str">
        <f>_xll.BDH("WMT US Equity","BS_DEFERRED_TAX_LIABS_ST","FQ2 2017","FQ2 2017","Currency=USD","Period=FQ","BEST_FPERIOD_OVERRIDE=FQ","FILING_STATUS=MR","SCALING_FORMAT=MLN","Sort=A","Dates=H","DateFormat=P","Fill=—","Direction=H","UseDPDF=Y")</f>
        <v>—</v>
      </c>
      <c r="G48" s="13" t="str">
        <f>_xll.BDH("WMT US Equity","BS_DEFERRED_TAX_LIABS_ST","FQ3 2017","FQ3 2017","Currency=USD","Period=FQ","BEST_FPERIOD_OVERRIDE=FQ","FILING_STATUS=MR","SCALING_FORMAT=MLN","Sort=A","Dates=H","DateFormat=P","Fill=—","Direction=H","UseDPDF=Y")</f>
        <v>—</v>
      </c>
      <c r="H48" s="13">
        <f>_xll.BDH("WMT US Equity","BS_DEFERRED_TAX_LIABS_ST","FQ4 2017","FQ4 2017","Currency=USD","Period=FQ","BEST_FPERIOD_OVERRIDE=FQ","FILING_STATUS=MR","SCALING_FORMAT=MLN","Sort=A","Dates=H","DateFormat=P","Fill=—","Direction=H","UseDPDF=Y")</f>
        <v>0</v>
      </c>
      <c r="I48" s="13" t="str">
        <f>_xll.BDH("WMT US Equity","BS_DEFERRED_TAX_LIABS_ST","FQ1 2018","FQ1 2018","Currency=USD","Period=FQ","BEST_FPERIOD_OVERRIDE=FQ","FILING_STATUS=MR","SCALING_FORMAT=MLN","Sort=A","Dates=H","DateFormat=P","Fill=—","Direction=H","UseDPDF=Y")</f>
        <v>—</v>
      </c>
      <c r="J48" s="13" t="str">
        <f>_xll.BDH("WMT US Equity","BS_DEFERRED_TAX_LIABS_ST","FQ2 2018","FQ2 2018","Currency=USD","Period=FQ","BEST_FPERIOD_OVERRIDE=FQ","FILING_STATUS=MR","SCALING_FORMAT=MLN","Sort=A","Dates=H","DateFormat=P","Fill=—","Direction=H","UseDPDF=Y")</f>
        <v>—</v>
      </c>
      <c r="K48" s="13" t="str">
        <f>_xll.BDH("WMT US Equity","BS_DEFERRED_TAX_LIABS_ST","FQ3 2018","FQ3 2018","Currency=USD","Period=FQ","BEST_FPERIOD_OVERRIDE=FQ","FILING_STATUS=MR","SCALING_FORMAT=MLN","Sort=A","Dates=H","DateFormat=P","Fill=—","Direction=H","UseDPDF=Y")</f>
        <v>—</v>
      </c>
      <c r="L48" s="13" t="str">
        <f>_xll.BDH("WMT US Equity","BS_DEFERRED_TAX_LIABS_ST","FQ4 2018","FQ4 2018","Currency=USD","Period=FQ","BEST_FPERIOD_OVERRIDE=FQ","FILING_STATUS=MR","SCALING_FORMAT=MLN","Sort=A","Dates=H","DateFormat=P","Fill=—","Direction=H","UseDPDF=Y")</f>
        <v>—</v>
      </c>
      <c r="M48" s="13" t="str">
        <f>_xll.BDH("WMT US Equity","BS_DEFERRED_TAX_LIABS_ST","FQ1 2019","FQ1 2019","Currency=USD","Period=FQ","BEST_FPERIOD_OVERRIDE=FQ","FILING_STATUS=MR","SCALING_FORMAT=MLN","Sort=A","Dates=H","DateFormat=P","Fill=—","Direction=H","UseDPDF=Y")</f>
        <v>—</v>
      </c>
      <c r="N48" s="13" t="str">
        <f>_xll.BDH("WMT US Equity","BS_DEFERRED_TAX_LIABS_ST","FQ2 2019","FQ2 2019","Currency=USD","Period=FQ","BEST_FPERIOD_OVERRIDE=FQ","FILING_STATUS=MR","SCALING_FORMAT=MLN","Sort=A","Dates=H","DateFormat=P","Fill=—","Direction=H","UseDPDF=Y")</f>
        <v>—</v>
      </c>
      <c r="O48" s="13" t="str">
        <f>_xll.BDH("WMT US Equity","BS_DEFERRED_TAX_LIABS_ST","FQ3 2019","FQ3 2019","Currency=USD","Period=FQ","BEST_FPERIOD_OVERRIDE=FQ","FILING_STATUS=MR","SCALING_FORMAT=MLN","Sort=A","Dates=H","DateFormat=P","Fill=—","Direction=H","UseDPDF=Y")</f>
        <v>—</v>
      </c>
      <c r="P48" s="13" t="str">
        <f>_xll.BDH("WMT US Equity","BS_DEFERRED_TAX_LIABS_ST","FQ4 2019","FQ4 2019","Currency=USD","Period=FQ","BEST_FPERIOD_OVERRIDE=FQ","FILING_STATUS=MR","SCALING_FORMAT=MLN","Sort=A","Dates=H","DateFormat=P","Fill=—","Direction=H","UseDPDF=Y")</f>
        <v>—</v>
      </c>
      <c r="Q48" s="13" t="str">
        <f>_xll.BDH("WMT US Equity","BS_DEFERRED_TAX_LIABS_ST","FQ1 2020","FQ1 2020","Currency=USD","Period=FQ","BEST_FPERIOD_OVERRIDE=FQ","FILING_STATUS=MR","SCALING_FORMAT=MLN","Sort=A","Dates=H","DateFormat=P","Fill=—","Direction=H","UseDPDF=Y")</f>
        <v>—</v>
      </c>
      <c r="R48" s="13" t="str">
        <f>_xll.BDH("WMT US Equity","BS_DEFERRED_TAX_LIABS_ST","FQ2 2020","FQ2 2020","Currency=USD","Period=FQ","BEST_FPERIOD_OVERRIDE=FQ","FILING_STATUS=MR","SCALING_FORMAT=MLN","Sort=A","Dates=H","DateFormat=P","Fill=—","Direction=H","UseDPDF=Y")</f>
        <v>—</v>
      </c>
      <c r="S48" s="13" t="str">
        <f>_xll.BDH("WMT US Equity","BS_DEFERRED_TAX_LIABS_ST","FQ3 2020","FQ3 2020","Currency=USD","Period=FQ","BEST_FPERIOD_OVERRIDE=FQ","FILING_STATUS=MR","SCALING_FORMAT=MLN","Sort=A","Dates=H","DateFormat=P","Fill=—","Direction=H","UseDPDF=Y")</f>
        <v>—</v>
      </c>
      <c r="T48" s="13" t="str">
        <f>_xll.BDH("WMT US Equity","BS_DEFERRED_TAX_LIABS_ST","FQ4 2020","FQ4 2020","Currency=USD","Period=FQ","BEST_FPERIOD_OVERRIDE=FQ","FILING_STATUS=MR","SCALING_FORMAT=MLN","Sort=A","Dates=H","DateFormat=P","Fill=—","Direction=H","UseDPDF=Y")</f>
        <v>—</v>
      </c>
      <c r="U48" s="13" t="str">
        <f>_xll.BDH("WMT US Equity","BS_DEFERRED_TAX_LIABS_ST","FQ1 2021","FQ1 2021","Currency=USD","Period=FQ","BEST_FPERIOD_OVERRIDE=FQ","FILING_STATUS=MR","SCALING_FORMAT=MLN","Sort=A","Dates=H","DateFormat=P","Fill=—","Direction=H","UseDPDF=Y")</f>
        <v>—</v>
      </c>
      <c r="V48" s="13" t="str">
        <f>_xll.BDH("WMT US Equity","BS_DEFERRED_TAX_LIABS_ST","FQ2 2021","FQ2 2021","Currency=USD","Period=FQ","BEST_FPERIOD_OVERRIDE=FQ","FILING_STATUS=MR","SCALING_FORMAT=MLN","Sort=A","Dates=H","DateFormat=P","Fill=—","Direction=H","UseDPDF=Y")</f>
        <v>—</v>
      </c>
      <c r="W48" s="13" t="str">
        <f>_xll.BDH("WMT US Equity","BS_DEFERRED_TAX_LIABS_ST","FQ3 2021","FQ3 2021","Currency=USD","Period=FQ","BEST_FPERIOD_OVERRIDE=FQ","FILING_STATUS=MR","SCALING_FORMAT=MLN","Sort=A","Dates=H","DateFormat=P","Fill=—","Direction=H","UseDPDF=Y")</f>
        <v>—</v>
      </c>
      <c r="X48" s="13" t="str">
        <f>_xll.BDH("WMT US Equity","BS_DEFERRED_TAX_LIABS_ST","FQ4 2021","FQ4 2021","Currency=USD","Period=FQ","BEST_FPERIOD_OVERRIDE=FQ","FILING_STATUS=MR","SCALING_FORMAT=MLN","Sort=A","Dates=H","DateFormat=P","Fill=—","Direction=H","UseDPDF=Y")</f>
        <v>—</v>
      </c>
      <c r="Y48" s="13" t="str">
        <f>_xll.BDH("WMT US Equity","BS_DEFERRED_TAX_LIABS_ST","FQ1 2022","FQ1 2022","Currency=USD","Period=FQ","BEST_FPERIOD_OVERRIDE=FQ","FILING_STATUS=MR","SCALING_FORMAT=MLN","Sort=A","Dates=H","DateFormat=P","Fill=—","Direction=H","UseDPDF=Y")</f>
        <v>—</v>
      </c>
      <c r="Z48" s="13" t="str">
        <f>_xll.BDH("WMT US Equity","BS_DEFERRED_TAX_LIABS_ST","FQ2 2022","FQ2 2022","Currency=USD","Period=FQ","BEST_FPERIOD_OVERRIDE=FQ","FILING_STATUS=MR","SCALING_FORMAT=MLN","Sort=A","Dates=H","DateFormat=P","Fill=—","Direction=H","UseDPDF=Y")</f>
        <v>—</v>
      </c>
      <c r="AA48" s="13" t="str">
        <f>_xll.BDH("WMT US Equity","BS_DEFERRED_TAX_LIABS_ST","FQ3 2022","FQ3 2022","Currency=USD","Period=FQ","BEST_FPERIOD_OVERRIDE=FQ","FILING_STATUS=MR","SCALING_FORMAT=MLN","Sort=A","Dates=H","DateFormat=P","Fill=—","Direction=H","UseDPDF=Y")</f>
        <v>—</v>
      </c>
      <c r="AB48" s="13" t="str">
        <f>_xll.BDH("WMT US Equity","BS_DEFERRED_TAX_LIABS_ST","FQ4 2022","FQ4 2022","Currency=USD","Period=FQ","BEST_FPERIOD_OVERRIDE=FQ","FILING_STATUS=MR","SCALING_FORMAT=MLN","Sort=A","Dates=H","DateFormat=P","Fill=—","Direction=H","UseDPDF=Y")</f>
        <v>—</v>
      </c>
      <c r="AC48" s="13" t="str">
        <f>_xll.BDH("WMT US Equity","BS_DEFERRED_TAX_LIABS_ST","FQ1 2023","FQ1 2023","Currency=USD","Period=FQ","BEST_FPERIOD_OVERRIDE=FQ","FILING_STATUS=MR","SCALING_FORMAT=MLN","Sort=A","Dates=H","DateFormat=P","Fill=—","Direction=H","UseDPDF=Y")</f>
        <v>—</v>
      </c>
      <c r="AD48" s="13" t="str">
        <f>_xll.BDH("WMT US Equity","BS_DEFERRED_TAX_LIABS_ST","FQ2 2023","FQ2 2023","Currency=USD","Period=FQ","BEST_FPERIOD_OVERRIDE=FQ","FILING_STATUS=MR","SCALING_FORMAT=MLN","Sort=A","Dates=H","DateFormat=P","Fill=—","Direction=H","UseDPDF=Y")</f>
        <v>—</v>
      </c>
      <c r="AE48" s="13" t="str">
        <f>_xll.BDH("WMT US Equity","BS_DEFERRED_TAX_LIABS_ST","FQ3 2023","FQ3 2023","Currency=USD","Period=FQ","BEST_FPERIOD_OVERRIDE=FQ","FILING_STATUS=MR","SCALING_FORMAT=MLN","Sort=A","Dates=H","DateFormat=P","Fill=—","Direction=H","UseDPDF=Y")</f>
        <v>—</v>
      </c>
      <c r="AF48" s="13" t="str">
        <f>_xll.BDH("WMT US Equity","BS_DEFERRED_TAX_LIABS_ST","FQ4 2023","FQ4 2023","Currency=USD","Period=FQ","BEST_FPERIOD_OVERRIDE=FQ","FILING_STATUS=MR","SCALING_FORMAT=MLN","Sort=A","Dates=H","DateFormat=P","Fill=—","Direction=H","UseDPDF=Y")</f>
        <v>—</v>
      </c>
      <c r="AG48" s="13" t="str">
        <f>_xll.BDH("WMT US Equity","BS_DEFERRED_TAX_LIABS_ST","FQ1 2024","FQ1 2024","Currency=USD","Period=FQ","BEST_FPERIOD_OVERRIDE=FQ","FILING_STATUS=MR","SCALING_FORMAT=MLN","Sort=A","Dates=H","DateFormat=P","Fill=—","Direction=H","UseDPDF=Y")</f>
        <v>—</v>
      </c>
      <c r="AH48" s="13" t="str">
        <f>_xll.BDH("WMT US Equity","BS_DEFERRED_TAX_LIABS_ST","FQ2 2024","FQ2 2024","Currency=USD","Period=FQ","BEST_FPERIOD_OVERRIDE=FQ","FILING_STATUS=MR","SCALING_FORMAT=MLN","Sort=A","Dates=H","DateFormat=P","Fill=—","Direction=H","UseDPDF=Y")</f>
        <v>—</v>
      </c>
      <c r="AI48" s="13" t="str">
        <f>_xll.BDH("WMT US Equity","BS_DEFERRED_TAX_LIABS_ST","FQ3 2024","FQ3 2024","Currency=USD","Period=FQ","BEST_FPERIOD_OVERRIDE=FQ","FILING_STATUS=MR","SCALING_FORMAT=MLN","Sort=A","Dates=H","DateFormat=P","Fill=—","Direction=H","UseDPDF=Y")</f>
        <v>—</v>
      </c>
      <c r="AJ48" s="13" t="str">
        <f>_xll.BDH("WMT US Equity","BS_DEFERRED_TAX_LIABS_ST","FQ4 2024","FQ4 2024","Currency=USD","Period=FQ","BEST_FPERIOD_OVERRIDE=FQ","FILING_STATUS=MR","SCALING_FORMAT=MLN","Sort=A","Dates=H","DateFormat=P","Fill=—","Direction=H","UseDPDF=Y")</f>
        <v>—</v>
      </c>
      <c r="AK48" s="13" t="str">
        <f>_xll.BDH("WMT US Equity","BS_DEFERRED_TAX_LIABS_ST","FQ1 2025","FQ1 2025","Currency=USD","Period=FQ","BEST_FPERIOD_OVERRIDE=FQ","FILING_STATUS=MR","SCALING_FORMAT=MLN","Sort=A","Dates=H","DateFormat=P","Fill=—","Direction=H","UseDPDF=Y")</f>
        <v>—</v>
      </c>
      <c r="AL48" s="13" t="str">
        <f>_xll.BDH("WMT US Equity","BS_DEFERRED_TAX_LIABS_ST","FQ2 2025","FQ2 2025","Currency=USD","Period=FQ","BEST_FPERIOD_OVERRIDE=FQ","FILING_STATUS=MR","SCALING_FORMAT=MLN","Sort=A","Dates=H","DateFormat=P","Fill=—","Direction=H","UseDPDF=Y")</f>
        <v>—</v>
      </c>
      <c r="AM48" s="13" t="str">
        <f>_xll.BDH("WMT US Equity","BS_DEFERRED_TAX_LIABS_ST","FQ3 2025","FQ3 2025","Currency=USD","Period=FQ","BEST_FPERIOD_OVERRIDE=FQ","FILING_STATUS=MR","SCALING_FORMAT=MLN","Sort=A","Dates=H","DateFormat=P","Fill=—","Direction=H","UseDPDF=Y")</f>
        <v>—</v>
      </c>
      <c r="AN48" s="13" t="str">
        <f>_xll.BDH("WMT US Equity","BS_DEFERRED_TAX_LIABS_ST","FQ4 2025","FQ4 2025","Currency=USD","Period=FQ","BEST_FPERIOD_OVERRIDE=FQ","FILING_STATUS=MR","SCALING_FORMAT=MLN","Sort=A","Dates=H","DateFormat=P","Fill=—","Direction=H","UseDPDF=Y")</f>
        <v>—</v>
      </c>
      <c r="AO48" s="13" t="str">
        <f>_xll.BDH("WMT US Equity","BS_DEFERRED_TAX_LIABS_ST","FQ1 2026","FQ1 2026","Currency=USD","Period=FQ","BEST_FPERIOD_OVERRIDE=FQ","FILING_STATUS=MR","SCALING_FORMAT=MLN","Sort=A","Dates=H","DateFormat=P","Fill=—","Direction=H","UseDPDF=Y")</f>
        <v>—</v>
      </c>
      <c r="AP48" s="13" t="str">
        <f>_xll.BDH("WMT US Equity","BS_DEFERRED_TAX_LIABS_ST","FQ2 2026","FQ2 2026","Currency=USD","Period=FQ","BEST_FPERIOD_OVERRIDE=FQ","FILING_STATUS=MR","SCALING_FORMAT=MLN","Sort=A","Dates=H","DateFormat=P","Fill=—","Direction=H","UseDPDF=Y")</f>
        <v>—</v>
      </c>
    </row>
    <row r="49" spans="1:42" x14ac:dyDescent="0.3">
      <c r="A49" s="10" t="s">
        <v>224</v>
      </c>
      <c r="B49" s="10" t="s">
        <v>128</v>
      </c>
      <c r="C49" s="13">
        <f>_xll.BDH("WMT US Equity","OTHER_CURRENT_LIABS_DETAILED","FQ3 2016","FQ3 2016","Currency=USD","Period=FQ","BEST_FPERIOD_OVERRIDE=FQ","FILING_STATUS=MR","SCALING_FORMAT=MLN","Sort=A","Dates=H","DateFormat=P","Fill=—","Direction=H","UseDPDF=Y")</f>
        <v>0</v>
      </c>
      <c r="D49" s="13">
        <f>_xll.BDH("WMT US Equity","OTHER_CURRENT_LIABS_DETAILED","FQ4 2016","FQ4 2016","Currency=USD","Period=FQ","BEST_FPERIOD_OVERRIDE=FQ","FILING_STATUS=MR","SCALING_FORMAT=MLN","Sort=A","Dates=H","DateFormat=P","Fill=—","Direction=H","UseDPDF=Y")</f>
        <v>0</v>
      </c>
      <c r="E49" s="13">
        <f>_xll.BDH("WMT US Equity","OTHER_CURRENT_LIABS_DETAILED","FQ1 2017","FQ1 2017","Currency=USD","Period=FQ","BEST_FPERIOD_OVERRIDE=FQ","FILING_STATUS=MR","SCALING_FORMAT=MLN","Sort=A","Dates=H","DateFormat=P","Fill=—","Direction=H","UseDPDF=Y")</f>
        <v>0</v>
      </c>
      <c r="F49" s="13">
        <f>_xll.BDH("WMT US Equity","OTHER_CURRENT_LIABS_DETAILED","FQ2 2017","FQ2 2017","Currency=USD","Period=FQ","BEST_FPERIOD_OVERRIDE=FQ","FILING_STATUS=MR","SCALING_FORMAT=MLN","Sort=A","Dates=H","DateFormat=P","Fill=—","Direction=H","UseDPDF=Y")</f>
        <v>0</v>
      </c>
      <c r="G49" s="13">
        <f>_xll.BDH("WMT US Equity","OTHER_CURRENT_LIABS_DETAILED","FQ3 2017","FQ3 2017","Currency=USD","Period=FQ","BEST_FPERIOD_OVERRIDE=FQ","FILING_STATUS=MR","SCALING_FORMAT=MLN","Sort=A","Dates=H","DateFormat=P","Fill=—","Direction=H","UseDPDF=Y")</f>
        <v>0</v>
      </c>
      <c r="H49" s="13">
        <f>_xll.BDH("WMT US Equity","OTHER_CURRENT_LIABS_DETAILED","FQ4 2017","FQ4 2017","Currency=USD","Period=FQ","BEST_FPERIOD_OVERRIDE=FQ","FILING_STATUS=MR","SCALING_FORMAT=MLN","Sort=A","Dates=H","DateFormat=P","Fill=—","Direction=H","UseDPDF=Y")</f>
        <v>0</v>
      </c>
      <c r="I49" s="13">
        <f>_xll.BDH("WMT US Equity","OTHER_CURRENT_LIABS_DETAILED","FQ1 2018","FQ1 2018","Currency=USD","Period=FQ","BEST_FPERIOD_OVERRIDE=FQ","FILING_STATUS=MR","SCALING_FORMAT=MLN","Sort=A","Dates=H","DateFormat=P","Fill=—","Direction=H","UseDPDF=Y")</f>
        <v>0</v>
      </c>
      <c r="J49" s="13">
        <f>_xll.BDH("WMT US Equity","OTHER_CURRENT_LIABS_DETAILED","FQ2 2018","FQ2 2018","Currency=USD","Period=FQ","BEST_FPERIOD_OVERRIDE=FQ","FILING_STATUS=MR","SCALING_FORMAT=MLN","Sort=A","Dates=H","DateFormat=P","Fill=—","Direction=H","UseDPDF=Y")</f>
        <v>0</v>
      </c>
      <c r="K49" s="13">
        <f>_xll.BDH("WMT US Equity","OTHER_CURRENT_LIABS_DETAILED","FQ3 2018","FQ3 2018","Currency=USD","Period=FQ","BEST_FPERIOD_OVERRIDE=FQ","FILING_STATUS=MR","SCALING_FORMAT=MLN","Sort=A","Dates=H","DateFormat=P","Fill=—","Direction=H","UseDPDF=Y")</f>
        <v>0</v>
      </c>
      <c r="L49" s="13">
        <f>_xll.BDH("WMT US Equity","OTHER_CURRENT_LIABS_DETAILED","FQ4 2018","FQ4 2018","Currency=USD","Period=FQ","BEST_FPERIOD_OVERRIDE=FQ","FILING_STATUS=MR","SCALING_FORMAT=MLN","Sort=A","Dates=H","DateFormat=P","Fill=—","Direction=H","UseDPDF=Y")</f>
        <v>0</v>
      </c>
      <c r="M49" s="13">
        <f>_xll.BDH("WMT US Equity","OTHER_CURRENT_LIABS_DETAILED","FQ1 2019","FQ1 2019","Currency=USD","Period=FQ","BEST_FPERIOD_OVERRIDE=FQ","FILING_STATUS=MR","SCALING_FORMAT=MLN","Sort=A","Dates=H","DateFormat=P","Fill=—","Direction=H","UseDPDF=Y")</f>
        <v>0</v>
      </c>
      <c r="N49" s="13">
        <f>_xll.BDH("WMT US Equity","OTHER_CURRENT_LIABS_DETAILED","FQ2 2019","FQ2 2019","Currency=USD","Period=FQ","BEST_FPERIOD_OVERRIDE=FQ","FILING_STATUS=MR","SCALING_FORMAT=MLN","Sort=A","Dates=H","DateFormat=P","Fill=—","Direction=H","UseDPDF=Y")</f>
        <v>0</v>
      </c>
      <c r="O49" s="13">
        <f>_xll.BDH("WMT US Equity","OTHER_CURRENT_LIABS_DETAILED","FQ3 2019","FQ3 2019","Currency=USD","Period=FQ","BEST_FPERIOD_OVERRIDE=FQ","FILING_STATUS=MR","SCALING_FORMAT=MLN","Sort=A","Dates=H","DateFormat=P","Fill=—","Direction=H","UseDPDF=Y")</f>
        <v>0</v>
      </c>
      <c r="P49" s="13">
        <f>_xll.BDH("WMT US Equity","OTHER_CURRENT_LIABS_DETAILED","FQ4 2019","FQ4 2019","Currency=USD","Period=FQ","BEST_FPERIOD_OVERRIDE=FQ","FILING_STATUS=MR","SCALING_FORMAT=MLN","Sort=A","Dates=H","DateFormat=P","Fill=—","Direction=H","UseDPDF=Y")</f>
        <v>0</v>
      </c>
      <c r="Q49" s="13">
        <f>_xll.BDH("WMT US Equity","OTHER_CURRENT_LIABS_DETAILED","FQ1 2020","FQ1 2020","Currency=USD","Period=FQ","BEST_FPERIOD_OVERRIDE=FQ","FILING_STATUS=MR","SCALING_FORMAT=MLN","Sort=A","Dates=H","DateFormat=P","Fill=—","Direction=H","UseDPDF=Y")</f>
        <v>0</v>
      </c>
      <c r="R49" s="13">
        <f>_xll.BDH("WMT US Equity","OTHER_CURRENT_LIABS_DETAILED","FQ2 2020","FQ2 2020","Currency=USD","Period=FQ","BEST_FPERIOD_OVERRIDE=FQ","FILING_STATUS=MR","SCALING_FORMAT=MLN","Sort=A","Dates=H","DateFormat=P","Fill=—","Direction=H","UseDPDF=Y")</f>
        <v>0</v>
      </c>
      <c r="S49" s="13">
        <f>_xll.BDH("WMT US Equity","OTHER_CURRENT_LIABS_DETAILED","FQ3 2020","FQ3 2020","Currency=USD","Period=FQ","BEST_FPERIOD_OVERRIDE=FQ","FILING_STATUS=MR","SCALING_FORMAT=MLN","Sort=A","Dates=H","DateFormat=P","Fill=—","Direction=H","UseDPDF=Y")</f>
        <v>0</v>
      </c>
      <c r="T49" s="13">
        <f>_xll.BDH("WMT US Equity","OTHER_CURRENT_LIABS_DETAILED","FQ4 2020","FQ4 2020","Currency=USD","Period=FQ","BEST_FPERIOD_OVERRIDE=FQ","FILING_STATUS=MR","SCALING_FORMAT=MLN","Sort=A","Dates=H","DateFormat=P","Fill=—","Direction=H","UseDPDF=Y")</f>
        <v>0</v>
      </c>
      <c r="U49" s="13">
        <f>_xll.BDH("WMT US Equity","OTHER_CURRENT_LIABS_DETAILED","FQ1 2021","FQ1 2021","Currency=USD","Period=FQ","BEST_FPERIOD_OVERRIDE=FQ","FILING_STATUS=MR","SCALING_FORMAT=MLN","Sort=A","Dates=H","DateFormat=P","Fill=—","Direction=H","UseDPDF=Y")</f>
        <v>0</v>
      </c>
      <c r="V49" s="13">
        <f>_xll.BDH("WMT US Equity","OTHER_CURRENT_LIABS_DETAILED","FQ2 2021","FQ2 2021","Currency=USD","Period=FQ","BEST_FPERIOD_OVERRIDE=FQ","FILING_STATUS=MR","SCALING_FORMAT=MLN","Sort=A","Dates=H","DateFormat=P","Fill=—","Direction=H","UseDPDF=Y")</f>
        <v>0</v>
      </c>
      <c r="W49" s="13">
        <f>_xll.BDH("WMT US Equity","OTHER_CURRENT_LIABS_DETAILED","FQ3 2021","FQ3 2021","Currency=USD","Period=FQ","BEST_FPERIOD_OVERRIDE=FQ","FILING_STATUS=MR","SCALING_FORMAT=MLN","Sort=A","Dates=H","DateFormat=P","Fill=—","Direction=H","UseDPDF=Y")</f>
        <v>0</v>
      </c>
      <c r="X49" s="13">
        <f>_xll.BDH("WMT US Equity","OTHER_CURRENT_LIABS_DETAILED","FQ4 2021","FQ4 2021","Currency=USD","Period=FQ","BEST_FPERIOD_OVERRIDE=FQ","FILING_STATUS=MR","SCALING_FORMAT=MLN","Sort=A","Dates=H","DateFormat=P","Fill=—","Direction=H","UseDPDF=Y")</f>
        <v>0</v>
      </c>
      <c r="Y49" s="13">
        <f>_xll.BDH("WMT US Equity","OTHER_CURRENT_LIABS_DETAILED","FQ1 2022","FQ1 2022","Currency=USD","Period=FQ","BEST_FPERIOD_OVERRIDE=FQ","FILING_STATUS=MR","SCALING_FORMAT=MLN","Sort=A","Dates=H","DateFormat=P","Fill=—","Direction=H","UseDPDF=Y")</f>
        <v>0</v>
      </c>
      <c r="Z49" s="13">
        <f>_xll.BDH("WMT US Equity","OTHER_CURRENT_LIABS_DETAILED","FQ2 2022","FQ2 2022","Currency=USD","Period=FQ","BEST_FPERIOD_OVERRIDE=FQ","FILING_STATUS=MR","SCALING_FORMAT=MLN","Sort=A","Dates=H","DateFormat=P","Fill=—","Direction=H","UseDPDF=Y")</f>
        <v>0</v>
      </c>
      <c r="AA49" s="13">
        <f>_xll.BDH("WMT US Equity","OTHER_CURRENT_LIABS_DETAILED","FQ3 2022","FQ3 2022","Currency=USD","Period=FQ","BEST_FPERIOD_OVERRIDE=FQ","FILING_STATUS=MR","SCALING_FORMAT=MLN","Sort=A","Dates=H","DateFormat=P","Fill=—","Direction=H","UseDPDF=Y")</f>
        <v>0</v>
      </c>
      <c r="AB49" s="13">
        <f>_xll.BDH("WMT US Equity","OTHER_CURRENT_LIABS_DETAILED","FQ4 2022","FQ4 2022","Currency=USD","Period=FQ","BEST_FPERIOD_OVERRIDE=FQ","FILING_STATUS=MR","SCALING_FORMAT=MLN","Sort=A","Dates=H","DateFormat=P","Fill=—","Direction=H","UseDPDF=Y")</f>
        <v>0</v>
      </c>
      <c r="AC49" s="13">
        <f>_xll.BDH("WMT US Equity","OTHER_CURRENT_LIABS_DETAILED","FQ1 2023","FQ1 2023","Currency=USD","Period=FQ","BEST_FPERIOD_OVERRIDE=FQ","FILING_STATUS=MR","SCALING_FORMAT=MLN","Sort=A","Dates=H","DateFormat=P","Fill=—","Direction=H","UseDPDF=Y")</f>
        <v>0</v>
      </c>
      <c r="AD49" s="13">
        <f>_xll.BDH("WMT US Equity","OTHER_CURRENT_LIABS_DETAILED","FQ2 2023","FQ2 2023","Currency=USD","Period=FQ","BEST_FPERIOD_OVERRIDE=FQ","FILING_STATUS=MR","SCALING_FORMAT=MLN","Sort=A","Dates=H","DateFormat=P","Fill=—","Direction=H","UseDPDF=Y")</f>
        <v>0</v>
      </c>
      <c r="AE49" s="13">
        <f>_xll.BDH("WMT US Equity","OTHER_CURRENT_LIABS_DETAILED","FQ3 2023","FQ3 2023","Currency=USD","Period=FQ","BEST_FPERIOD_OVERRIDE=FQ","FILING_STATUS=MR","SCALING_FORMAT=MLN","Sort=A","Dates=H","DateFormat=P","Fill=—","Direction=H","UseDPDF=Y")</f>
        <v>0</v>
      </c>
      <c r="AF49" s="13">
        <f>_xll.BDH("WMT US Equity","OTHER_CURRENT_LIABS_DETAILED","FQ4 2023","FQ4 2023","Currency=USD","Period=FQ","BEST_FPERIOD_OVERRIDE=FQ","FILING_STATUS=MR","SCALING_FORMAT=MLN","Sort=A","Dates=H","DateFormat=P","Fill=—","Direction=H","UseDPDF=Y")</f>
        <v>0</v>
      </c>
      <c r="AG49" s="13">
        <f>_xll.BDH("WMT US Equity","OTHER_CURRENT_LIABS_DETAILED","FQ1 2024","FQ1 2024","Currency=USD","Period=FQ","BEST_FPERIOD_OVERRIDE=FQ","FILING_STATUS=MR","SCALING_FORMAT=MLN","Sort=A","Dates=H","DateFormat=P","Fill=—","Direction=H","UseDPDF=Y")</f>
        <v>0</v>
      </c>
      <c r="AH49" s="13">
        <f>_xll.BDH("WMT US Equity","OTHER_CURRENT_LIABS_DETAILED","FQ2 2024","FQ2 2024","Currency=USD","Period=FQ","BEST_FPERIOD_OVERRIDE=FQ","FILING_STATUS=MR","SCALING_FORMAT=MLN","Sort=A","Dates=H","DateFormat=P","Fill=—","Direction=H","UseDPDF=Y")</f>
        <v>0</v>
      </c>
      <c r="AI49" s="13">
        <f>_xll.BDH("WMT US Equity","OTHER_CURRENT_LIABS_DETAILED","FQ3 2024","FQ3 2024","Currency=USD","Period=FQ","BEST_FPERIOD_OVERRIDE=FQ","FILING_STATUS=MR","SCALING_FORMAT=MLN","Sort=A","Dates=H","DateFormat=P","Fill=—","Direction=H","UseDPDF=Y")</f>
        <v>0</v>
      </c>
      <c r="AJ49" s="13">
        <f>_xll.BDH("WMT US Equity","OTHER_CURRENT_LIABS_DETAILED","FQ4 2024","FQ4 2024","Currency=USD","Period=FQ","BEST_FPERIOD_OVERRIDE=FQ","FILING_STATUS=MR","SCALING_FORMAT=MLN","Sort=A","Dates=H","DateFormat=P","Fill=—","Direction=H","UseDPDF=Y")</f>
        <v>0</v>
      </c>
      <c r="AK49" s="13">
        <f>_xll.BDH("WMT US Equity","OTHER_CURRENT_LIABS_DETAILED","FQ1 2025","FQ1 2025","Currency=USD","Period=FQ","BEST_FPERIOD_OVERRIDE=FQ","FILING_STATUS=MR","SCALING_FORMAT=MLN","Sort=A","Dates=H","DateFormat=P","Fill=—","Direction=H","UseDPDF=Y")</f>
        <v>0</v>
      </c>
      <c r="AL49" s="13">
        <f>_xll.BDH("WMT US Equity","OTHER_CURRENT_LIABS_DETAILED","FQ2 2025","FQ2 2025","Currency=USD","Period=FQ","BEST_FPERIOD_OVERRIDE=FQ","FILING_STATUS=MR","SCALING_FORMAT=MLN","Sort=A","Dates=H","DateFormat=P","Fill=—","Direction=H","UseDPDF=Y")</f>
        <v>0</v>
      </c>
      <c r="AM49" s="13">
        <f>_xll.BDH("WMT US Equity","OTHER_CURRENT_LIABS_DETAILED","FQ3 2025","FQ3 2025","Currency=USD","Period=FQ","BEST_FPERIOD_OVERRIDE=FQ","FILING_STATUS=MR","SCALING_FORMAT=MLN","Sort=A","Dates=H","DateFormat=P","Fill=—","Direction=H","UseDPDF=Y")</f>
        <v>0</v>
      </c>
      <c r="AN49" s="13">
        <f>_xll.BDH("WMT US Equity","OTHER_CURRENT_LIABS_DETAILED","FQ4 2025","FQ4 2025","Currency=USD","Period=FQ","BEST_FPERIOD_OVERRIDE=FQ","FILING_STATUS=MR","SCALING_FORMAT=MLN","Sort=A","Dates=H","DateFormat=P","Fill=—","Direction=H","UseDPDF=Y")</f>
        <v>0</v>
      </c>
      <c r="AO49" s="13">
        <f>_xll.BDH("WMT US Equity","OTHER_CURRENT_LIABS_DETAILED","FQ1 2026","FQ1 2026","Currency=USD","Period=FQ","BEST_FPERIOD_OVERRIDE=FQ","FILING_STATUS=MR","SCALING_FORMAT=MLN","Sort=A","Dates=H","DateFormat=P","Fill=—","Direction=H","UseDPDF=Y")</f>
        <v>0</v>
      </c>
      <c r="AP49" s="13">
        <f>_xll.BDH("WMT US Equity","OTHER_CURRENT_LIABS_DETAILED","FQ2 2026","FQ2 2026","Currency=USD","Period=FQ","BEST_FPERIOD_OVERRIDE=FQ","FILING_STATUS=MR","SCALING_FORMAT=MLN","Sort=A","Dates=H","DateFormat=P","Fill=—","Direction=H","UseDPDF=Y")</f>
        <v>0</v>
      </c>
    </row>
    <row r="50" spans="1:42" x14ac:dyDescent="0.3">
      <c r="A50" s="6" t="s">
        <v>129</v>
      </c>
      <c r="B50" s="6" t="s">
        <v>130</v>
      </c>
      <c r="C50" s="16">
        <f>_xll.BDH("WMT US Equity","BS_CUR_LIAB","FQ3 2016","FQ3 2016","Currency=USD","Period=FQ","BEST_FPERIOD_OVERRIDE=FQ","FILING_STATUS=MR","SCALING_FORMAT=MLN","Sort=A","Dates=H","DateFormat=P","Fill=—","Direction=H","UseDPDF=Y")</f>
        <v>70492</v>
      </c>
      <c r="D50" s="16">
        <f>_xll.BDH("WMT US Equity","BS_CUR_LIAB","FQ4 2016","FQ4 2016","Currency=USD","Period=FQ","BEST_FPERIOD_OVERRIDE=FQ","FILING_STATUS=MR","SCALING_FORMAT=MLN","Sort=A","Dates=H","DateFormat=P","Fill=—","Direction=H","UseDPDF=Y")</f>
        <v>64619</v>
      </c>
      <c r="E50" s="16">
        <f>_xll.BDH("WMT US Equity","BS_CUR_LIAB","FQ1 2017","FQ1 2017","Currency=USD","Period=FQ","BEST_FPERIOD_OVERRIDE=FQ","FILING_STATUS=MR","SCALING_FORMAT=MLN","Sort=A","Dates=H","DateFormat=P","Fill=—","Direction=H","UseDPDF=Y")</f>
        <v>70282</v>
      </c>
      <c r="F50" s="16">
        <f>_xll.BDH("WMT US Equity","BS_CUR_LIAB","FQ2 2017","FQ2 2017","Currency=USD","Period=FQ","BEST_FPERIOD_OVERRIDE=FQ","FILING_STATUS=MR","SCALING_FORMAT=MLN","Sort=A","Dates=H","DateFormat=P","Fill=—","Direction=H","UseDPDF=Y")</f>
        <v>68122</v>
      </c>
      <c r="G50" s="16">
        <f>_xll.BDH("WMT US Equity","BS_CUR_LIAB","FQ3 2017","FQ3 2017","Currency=USD","Period=FQ","BEST_FPERIOD_OVERRIDE=FQ","FILING_STATUS=MR","SCALING_FORMAT=MLN","Sort=A","Dates=H","DateFormat=P","Fill=—","Direction=H","UseDPDF=Y")</f>
        <v>74130</v>
      </c>
      <c r="H50" s="16">
        <f>_xll.BDH("WMT US Equity","BS_CUR_LIAB","FQ4 2017","FQ4 2017","Currency=USD","Period=FQ","BEST_FPERIOD_OVERRIDE=FQ","FILING_STATUS=MR","SCALING_FORMAT=MLN","Sort=A","Dates=H","DateFormat=P","Fill=—","Direction=H","UseDPDF=Y")</f>
        <v>66928</v>
      </c>
      <c r="I50" s="16">
        <f>_xll.BDH("WMT US Equity","BS_CUR_LIAB","FQ1 2018","FQ1 2018","Currency=USD","Period=FQ","BEST_FPERIOD_OVERRIDE=FQ","FILING_STATUS=MR","SCALING_FORMAT=MLN","Sort=A","Dates=H","DateFormat=P","Fill=—","Direction=H","UseDPDF=Y")</f>
        <v>74193</v>
      </c>
      <c r="J50" s="16">
        <f>_xll.BDH("WMT US Equity","BS_CUR_LIAB","FQ2 2018","FQ2 2018","Currency=USD","Period=FQ","BEST_FPERIOD_OVERRIDE=FQ","FILING_STATUS=MR","SCALING_FORMAT=MLN","Sort=A","Dates=H","DateFormat=P","Fill=—","Direction=H","UseDPDF=Y")</f>
        <v>72811</v>
      </c>
      <c r="K50" s="16">
        <f>_xll.BDH("WMT US Equity","BS_CUR_LIAB","FQ3 2018","FQ3 2018","Currency=USD","Period=FQ","BEST_FPERIOD_OVERRIDE=FQ","FILING_STATUS=MR","SCALING_FORMAT=MLN","Sort=A","Dates=H","DateFormat=P","Fill=—","Direction=H","UseDPDF=Y")</f>
        <v>80435</v>
      </c>
      <c r="L50" s="16">
        <f>_xll.BDH("WMT US Equity","BS_CUR_LIAB","FQ4 2018","FQ4 2018","Currency=USD","Period=FQ","BEST_FPERIOD_OVERRIDE=FQ","FILING_STATUS=MR","SCALING_FORMAT=MLN","Sort=A","Dates=H","DateFormat=P","Fill=—","Direction=H","UseDPDF=Y")</f>
        <v>78521</v>
      </c>
      <c r="M50" s="16">
        <f>_xll.BDH("WMT US Equity","BS_CUR_LIAB","FQ1 2019","FQ1 2019","Currency=USD","Period=FQ","BEST_FPERIOD_OVERRIDE=FQ","FILING_STATUS=MR","SCALING_FORMAT=MLN","Sort=A","Dates=H","DateFormat=P","Fill=—","Direction=H","UseDPDF=Y")</f>
        <v>80757</v>
      </c>
      <c r="N50" s="16">
        <f>_xll.BDH("WMT US Equity","BS_CUR_LIAB","FQ2 2019","FQ2 2019","Currency=USD","Period=FQ","BEST_FPERIOD_OVERRIDE=FQ","FILING_STATUS=MR","SCALING_FORMAT=MLN","Sort=A","Dates=H","DateFormat=P","Fill=—","Direction=H","UseDPDF=Y")</f>
        <v>71683</v>
      </c>
      <c r="O50" s="16">
        <f>_xll.BDH("WMT US Equity","BS_CUR_LIAB","FQ3 2019","FQ3 2019","Currency=USD","Period=FQ","BEST_FPERIOD_OVERRIDE=FQ","FILING_STATUS=MR","SCALING_FORMAT=MLN","Sort=A","Dates=H","DateFormat=P","Fill=—","Direction=H","UseDPDF=Y")</f>
        <v>85751</v>
      </c>
      <c r="P50" s="16">
        <f>_xll.BDH("WMT US Equity","BS_CUR_LIAB","FQ4 2019","FQ4 2019","Currency=USD","Period=FQ","BEST_FPERIOD_OVERRIDE=FQ","FILING_STATUS=MR","SCALING_FORMAT=MLN","Sort=A","Dates=H","DateFormat=P","Fill=—","Direction=H","UseDPDF=Y")</f>
        <v>77477</v>
      </c>
      <c r="Q50" s="16">
        <f>_xll.BDH("WMT US Equity","BS_CUR_LIAB","FQ1 2020","FQ1 2020","Currency=USD","Period=FQ","BEST_FPERIOD_OVERRIDE=FQ","FILING_STATUS=MR","SCALING_FORMAT=MLN","Sort=A","Dates=H","DateFormat=P","Fill=—","Direction=H","UseDPDF=Y")</f>
        <v>79888</v>
      </c>
      <c r="R50" s="16">
        <f>_xll.BDH("WMT US Equity","BS_CUR_LIAB","FQ2 2020","FQ2 2020","Currency=USD","Period=FQ","BEST_FPERIOD_OVERRIDE=FQ","FILING_STATUS=MR","SCALING_FORMAT=MLN","Sort=A","Dates=H","DateFormat=P","Fill=—","Direction=H","UseDPDF=Y")</f>
        <v>80283</v>
      </c>
      <c r="S50" s="16">
        <f>_xll.BDH("WMT US Equity","BS_CUR_LIAB","FQ3 2020","FQ3 2020","Currency=USD","Period=FQ","BEST_FPERIOD_OVERRIDE=FQ","FILING_STATUS=MR","SCALING_FORMAT=MLN","Sort=A","Dates=H","DateFormat=P","Fill=—","Direction=H","UseDPDF=Y")</f>
        <v>83784</v>
      </c>
      <c r="T50" s="16">
        <f>_xll.BDH("WMT US Equity","BS_CUR_LIAB","FQ4 2020","FQ4 2020","Currency=USD","Period=FQ","BEST_FPERIOD_OVERRIDE=FQ","FILING_STATUS=MR","SCALING_FORMAT=MLN","Sort=A","Dates=H","DateFormat=P","Fill=—","Direction=H","UseDPDF=Y")</f>
        <v>77790</v>
      </c>
      <c r="U50" s="16">
        <f>_xll.BDH("WMT US Equity","BS_CUR_LIAB","FQ1 2021","FQ1 2021","Currency=USD","Period=FQ","BEST_FPERIOD_OVERRIDE=FQ","FILING_STATUS=MR","SCALING_FORMAT=MLN","Sort=A","Dates=H","DateFormat=P","Fill=—","Direction=H","UseDPDF=Y")</f>
        <v>82647</v>
      </c>
      <c r="V50" s="16">
        <f>_xll.BDH("WMT US Equity","BS_CUR_LIAB","FQ2 2021","FQ2 2021","Currency=USD","Period=FQ","BEST_FPERIOD_OVERRIDE=FQ","FILING_STATUS=MR","SCALING_FORMAT=MLN","Sort=A","Dates=H","DateFormat=P","Fill=—","Direction=H","UseDPDF=Y")</f>
        <v>81957</v>
      </c>
      <c r="W50" s="16">
        <f>_xll.BDH("WMT US Equity","BS_CUR_LIAB","FQ3 2021","FQ3 2021","Currency=USD","Period=FQ","BEST_FPERIOD_OVERRIDE=FQ","FILING_STATUS=MR","SCALING_FORMAT=MLN","Sort=A","Dates=H","DateFormat=P","Fill=—","Direction=H","UseDPDF=Y")</f>
        <v>88121</v>
      </c>
      <c r="X50" s="16">
        <f>_xll.BDH("WMT US Equity","BS_CUR_LIAB","FQ4 2021","FQ4 2021","Currency=USD","Period=FQ","BEST_FPERIOD_OVERRIDE=FQ","FILING_STATUS=MR","SCALING_FORMAT=MLN","Sort=A","Dates=H","DateFormat=P","Fill=—","Direction=H","UseDPDF=Y")</f>
        <v>92645</v>
      </c>
      <c r="Y50" s="16">
        <f>_xll.BDH("WMT US Equity","BS_CUR_LIAB","FQ1 2022","FQ1 2022","Currency=USD","Period=FQ","BEST_FPERIOD_OVERRIDE=FQ","FILING_STATUS=MR","SCALING_FORMAT=MLN","Sort=A","Dates=H","DateFormat=P","Fill=—","Direction=H","UseDPDF=Y")</f>
        <v>80841</v>
      </c>
      <c r="Z50" s="16">
        <f>_xll.BDH("WMT US Equity","BS_CUR_LIAB","FQ2 2022","FQ2 2022","Currency=USD","Period=FQ","BEST_FPERIOD_OVERRIDE=FQ","FILING_STATUS=MR","SCALING_FORMAT=MLN","Sort=A","Dates=H","DateFormat=P","Fill=—","Direction=H","UseDPDF=Y")</f>
        <v>81122</v>
      </c>
      <c r="AA50" s="16">
        <f>_xll.BDH("WMT US Equity","BS_CUR_LIAB","FQ3 2022","FQ3 2022","Currency=USD","Period=FQ","BEST_FPERIOD_OVERRIDE=FQ","FILING_STATUS=MR","SCALING_FORMAT=MLN","Sort=A","Dates=H","DateFormat=P","Fill=—","Direction=H","UseDPDF=Y")</f>
        <v>87620</v>
      </c>
      <c r="AB50" s="16">
        <f>_xll.BDH("WMT US Equity","BS_CUR_LIAB","FQ4 2022","FQ4 2022","Currency=USD","Period=FQ","BEST_FPERIOD_OVERRIDE=FQ","FILING_STATUS=MR","SCALING_FORMAT=MLN","Sort=A","Dates=H","DateFormat=P","Fill=—","Direction=H","UseDPDF=Y")</f>
        <v>87379</v>
      </c>
      <c r="AC50" s="16">
        <f>_xll.BDH("WMT US Equity","BS_CUR_LIAB","FQ1 2023","FQ1 2023","Currency=USD","Period=FQ","BEST_FPERIOD_OVERRIDE=FQ","FILING_STATUS=MR","SCALING_FORMAT=MLN","Sort=A","Dates=H","DateFormat=P","Fill=—","Direction=H","UseDPDF=Y")</f>
        <v>96530</v>
      </c>
      <c r="AD50" s="16">
        <f>_xll.BDH("WMT US Equity","BS_CUR_LIAB","FQ2 2023","FQ2 2023","Currency=USD","Period=FQ","BEST_FPERIOD_OVERRIDE=FQ","FILING_STATUS=MR","SCALING_FORMAT=MLN","Sort=A","Dates=H","DateFormat=P","Fill=—","Direction=H","UseDPDF=Y")</f>
        <v>99899</v>
      </c>
      <c r="AE50" s="16">
        <f>_xll.BDH("WMT US Equity","BS_CUR_LIAB","FQ3 2023","FQ3 2023","Currency=USD","Period=FQ","BEST_FPERIOD_OVERRIDE=FQ","FILING_STATUS=MR","SCALING_FORMAT=MLN","Sort=A","Dates=H","DateFormat=P","Fill=—","Direction=H","UseDPDF=Y")</f>
        <v>101408</v>
      </c>
      <c r="AF50" s="16">
        <f>_xll.BDH("WMT US Equity","BS_CUR_LIAB","FQ4 2023","FQ4 2023","Currency=USD","Period=FQ","BEST_FPERIOD_OVERRIDE=FQ","FILING_STATUS=MR","SCALING_FORMAT=MLN","Sort=A","Dates=H","DateFormat=P","Fill=—","Direction=H","UseDPDF=Y")</f>
        <v>92198</v>
      </c>
      <c r="AG50" s="16">
        <f>_xll.BDH("WMT US Equity","BS_CUR_LIAB","FQ1 2024","FQ1 2024","Currency=USD","Period=FQ","BEST_FPERIOD_OVERRIDE=FQ","FILING_STATUS=MR","SCALING_FORMAT=MLN","Sort=A","Dates=H","DateFormat=P","Fill=—","Direction=H","UseDPDF=Y")</f>
        <v>95505</v>
      </c>
      <c r="AH50" s="16">
        <f>_xll.BDH("WMT US Equity","BS_CUR_LIAB","FQ2 2024","FQ2 2024","Currency=USD","Period=FQ","BEST_FPERIOD_OVERRIDE=FQ","FILING_STATUS=MR","SCALING_FORMAT=MLN","Sort=A","Dates=H","DateFormat=P","Fill=—","Direction=H","UseDPDF=Y")</f>
        <v>99220</v>
      </c>
      <c r="AI50" s="16">
        <f>_xll.BDH("WMT US Equity","BS_CUR_LIAB","FQ3 2024","FQ3 2024","Currency=USD","Period=FQ","BEST_FPERIOD_OVERRIDE=FQ","FILING_STATUS=MR","SCALING_FORMAT=MLN","Sort=A","Dates=H","DateFormat=P","Fill=—","Direction=H","UseDPDF=Y")</f>
        <v>104230</v>
      </c>
      <c r="AJ50" s="16">
        <f>_xll.BDH("WMT US Equity","BS_CUR_LIAB","FQ4 2024","FQ4 2024","Currency=USD","Period=FQ","BEST_FPERIOD_OVERRIDE=FQ","FILING_STATUS=MR","SCALING_FORMAT=MLN","Sort=A","Dates=H","DateFormat=P","Fill=—","Direction=H","UseDPDF=Y")</f>
        <v>92415</v>
      </c>
      <c r="AK50" s="16">
        <f>_xll.BDH("WMT US Equity","BS_CUR_LIAB","FQ1 2025","FQ1 2025","Currency=USD","Period=FQ","BEST_FPERIOD_OVERRIDE=FQ","FILING_STATUS=MR","SCALING_FORMAT=MLN","Sort=A","Dates=H","DateFormat=P","Fill=—","Direction=H","UseDPDF=Y")</f>
        <v>96100</v>
      </c>
      <c r="AL50" s="16">
        <f>_xll.BDH("WMT US Equity","BS_CUR_LIAB","FQ2 2025","FQ2 2025","Currency=USD","Period=FQ","BEST_FPERIOD_OVERRIDE=FQ","FILING_STATUS=MR","SCALING_FORMAT=MLN","Sort=A","Dates=H","DateFormat=P","Fill=—","Direction=H","UseDPDF=Y")</f>
        <v>95260</v>
      </c>
      <c r="AM50" s="16">
        <f>_xll.BDH("WMT US Equity","BS_CUR_LIAB","FQ3 2025","FQ3 2025","Currency=USD","Period=FQ","BEST_FPERIOD_OVERRIDE=FQ","FILING_STATUS=MR","SCALING_FORMAT=MLN","Sort=A","Dates=H","DateFormat=P","Fill=—","Direction=H","UseDPDF=Y")</f>
        <v>102558</v>
      </c>
      <c r="AN50" s="16">
        <f>_xll.BDH("WMT US Equity","BS_CUR_LIAB","FQ4 2025","FQ4 2025","Currency=USD","Period=FQ","BEST_FPERIOD_OVERRIDE=FQ","FILING_STATUS=MR","SCALING_FORMAT=MLN","Sort=A","Dates=H","DateFormat=P","Fill=—","Direction=H","UseDPDF=Y")</f>
        <v>96584</v>
      </c>
      <c r="AO50" s="16">
        <f>_xll.BDH("WMT US Equity","BS_CUR_LIAB","FQ1 2026","FQ1 2026","Currency=USD","Period=FQ","BEST_FPERIOD_OVERRIDE=FQ","FILING_STATUS=MR","SCALING_FORMAT=MLN","Sort=A","Dates=H","DateFormat=P","Fill=—","Direction=H","UseDPDF=Y")</f>
        <v>102920</v>
      </c>
      <c r="AP50" s="16">
        <f>_xll.BDH("WMT US Equity","BS_CUR_LIAB","FQ2 2026","FQ2 2026","Currency=USD","Period=FQ","BEST_FPERIOD_OVERRIDE=FQ","FILING_STATUS=MR","SCALING_FORMAT=MLN","Sort=A","Dates=H","DateFormat=P","Fill=—","Direction=H","UseDPDF=Y")</f>
        <v>103566</v>
      </c>
    </row>
    <row r="51" spans="1:42" x14ac:dyDescent="0.3">
      <c r="A51" s="10" t="s">
        <v>225</v>
      </c>
      <c r="B51" s="10" t="s">
        <v>131</v>
      </c>
      <c r="C51" s="13">
        <f>_xll.BDH("WMT US Equity","BS_LT_BORROW","FQ3 2016","FQ3 2016","Currency=USD","Period=FQ","BEST_FPERIOD_OVERRIDE=FQ","FILING_STATUS=MR","SCALING_FORMAT=MLN","Sort=A","Dates=H","DateFormat=P","Fill=—","Direction=H","UseDPDF=Y")</f>
        <v>40258</v>
      </c>
      <c r="D51" s="13">
        <f>_xll.BDH("WMT US Equity","BS_LT_BORROW","FQ4 2016","FQ4 2016","Currency=USD","Period=FQ","BEST_FPERIOD_OVERRIDE=FQ","FILING_STATUS=MR","SCALING_FORMAT=MLN","Sort=A","Dates=H","DateFormat=P","Fill=—","Direction=H","UseDPDF=Y")</f>
        <v>40386</v>
      </c>
      <c r="E51" s="13">
        <f>_xll.BDH("WMT US Equity","BS_LT_BORROW","FQ1 2017","FQ1 2017","Currency=USD","Period=FQ","BEST_FPERIOD_OVERRIDE=FQ","FILING_STATUS=MR","SCALING_FORMAT=MLN","Sort=A","Dates=H","DateFormat=P","Fill=—","Direction=H","UseDPDF=Y")</f>
        <v>39646</v>
      </c>
      <c r="F51" s="13">
        <f>_xll.BDH("WMT US Equity","BS_LT_BORROW","FQ2 2017","FQ2 2017","Currency=USD","Period=FQ","BEST_FPERIOD_OVERRIDE=FQ","FILING_STATUS=MR","SCALING_FORMAT=MLN","Sort=A","Dates=H","DateFormat=P","Fill=—","Direction=H","UseDPDF=Y")</f>
        <v>39338</v>
      </c>
      <c r="G51" s="13">
        <f>_xll.BDH("WMT US Equity","BS_LT_BORROW","FQ3 2017","FQ3 2017","Currency=USD","Period=FQ","BEST_FPERIOD_OVERRIDE=FQ","FILING_STATUS=MR","SCALING_FORMAT=MLN","Sort=A","Dates=H","DateFormat=P","Fill=—","Direction=H","UseDPDF=Y")</f>
        <v>38966</v>
      </c>
      <c r="H51" s="13">
        <f>_xll.BDH("WMT US Equity","BS_LT_BORROW","FQ4 2017","FQ4 2017","Currency=USD","Period=FQ","BEST_FPERIOD_OVERRIDE=FQ","FILING_STATUS=MR","SCALING_FORMAT=MLN","Sort=A","Dates=H","DateFormat=P","Fill=—","Direction=H","UseDPDF=Y")</f>
        <v>38809</v>
      </c>
      <c r="I51" s="13">
        <f>_xll.BDH("WMT US Equity","BS_LT_BORROW","FQ1 2018","FQ1 2018","Currency=USD","Period=FQ","BEST_FPERIOD_OVERRIDE=FQ","FILING_STATUS=MR","SCALING_FORMAT=MLN","Sort=A","Dates=H","DateFormat=P","Fill=—","Direction=H","UseDPDF=Y")</f>
        <v>36697</v>
      </c>
      <c r="J51" s="13">
        <f>_xll.BDH("WMT US Equity","BS_LT_BORROW","FQ2 2018","FQ2 2018","Currency=USD","Period=FQ","BEST_FPERIOD_OVERRIDE=FQ","FILING_STATUS=MR","SCALING_FORMAT=MLN","Sort=A","Dates=H","DateFormat=P","Fill=—","Direction=H","UseDPDF=Y")</f>
        <v>36025</v>
      </c>
      <c r="K51" s="13">
        <f>_xll.BDH("WMT US Equity","BS_LT_BORROW","FQ3 2018","FQ3 2018","Currency=USD","Period=FQ","BEST_FPERIOD_OVERRIDE=FQ","FILING_STATUS=MR","SCALING_FORMAT=MLN","Sort=A","Dates=H","DateFormat=P","Fill=—","Direction=H","UseDPDF=Y")</f>
        <v>36483</v>
      </c>
      <c r="L51" s="13">
        <f>_xll.BDH("WMT US Equity","BS_LT_BORROW","FQ4 2018","FQ4 2018","Currency=USD","Period=FQ","BEST_FPERIOD_OVERRIDE=FQ","FILING_STATUS=MR","SCALING_FORMAT=MLN","Sort=A","Dates=H","DateFormat=P","Fill=—","Direction=H","UseDPDF=Y")</f>
        <v>32784</v>
      </c>
      <c r="M51" s="13">
        <f>_xll.BDH("WMT US Equity","BS_LT_BORROW","FQ1 2019","FQ1 2019","Currency=USD","Period=FQ","BEST_FPERIOD_OVERRIDE=FQ","FILING_STATUS=MR","SCALING_FORMAT=MLN","Sort=A","Dates=H","DateFormat=P","Fill=—","Direction=H","UseDPDF=Y")</f>
        <v>32330</v>
      </c>
      <c r="N51" s="13">
        <f>_xll.BDH("WMT US Equity","BS_LT_BORROW","FQ2 2019","FQ2 2019","Currency=USD","Period=FQ","BEST_FPERIOD_OVERRIDE=FQ","FILING_STATUS=MR","SCALING_FORMAT=MLN","Sort=A","Dates=H","DateFormat=P","Fill=—","Direction=H","UseDPDF=Y")</f>
        <v>47732</v>
      </c>
      <c r="O51" s="13">
        <f>_xll.BDH("WMT US Equity","BS_LT_BORROW","FQ3 2019","FQ3 2019","Currency=USD","Period=FQ","BEST_FPERIOD_OVERRIDE=FQ","FILING_STATUS=MR","SCALING_FORMAT=MLN","Sort=A","Dates=H","DateFormat=P","Fill=—","Direction=H","UseDPDF=Y")</f>
        <v>46161</v>
      </c>
      <c r="P51" s="13">
        <f>_xll.BDH("WMT US Equity","BS_LT_BORROW","FQ4 2019","FQ4 2019","Currency=USD","Period=FQ","BEST_FPERIOD_OVERRIDE=FQ","FILING_STATUS=MR","SCALING_FORMAT=MLN","Sort=A","Dates=H","DateFormat=P","Fill=—","Direction=H","UseDPDF=Y")</f>
        <v>46340</v>
      </c>
      <c r="Q51" s="13">
        <f>_xll.BDH("WMT US Equity","BS_LT_BORROW","FQ1 2020","FQ1 2020","Currency=USD","Period=FQ","BEST_FPERIOD_OVERRIDE=FQ","FILING_STATUS=MR","SCALING_FORMAT=MLN","Sort=A","Dates=H","DateFormat=P","Fill=—","Direction=H","UseDPDF=Y")</f>
        <v>63160</v>
      </c>
      <c r="R51" s="13">
        <f>_xll.BDH("WMT US Equity","BS_LT_BORROW","FQ2 2020","FQ2 2020","Currency=USD","Period=FQ","BEST_FPERIOD_OVERRIDE=FQ","FILING_STATUS=MR","SCALING_FORMAT=MLN","Sort=A","Dates=H","DateFormat=P","Fill=—","Direction=H","UseDPDF=Y")</f>
        <v>60691</v>
      </c>
      <c r="S51" s="13">
        <f>_xll.BDH("WMT US Equity","BS_LT_BORROW","FQ3 2020","FQ3 2020","Currency=USD","Period=FQ","BEST_FPERIOD_OVERRIDE=FQ","FILING_STATUS=MR","SCALING_FORMAT=MLN","Sort=A","Dates=H","DateFormat=P","Fill=—","Direction=H","UseDPDF=Y")</f>
        <v>60891</v>
      </c>
      <c r="T51" s="13">
        <f>_xll.BDH("WMT US Equity","BS_LT_BORROW","FQ4 2020","FQ4 2020","Currency=USD","Period=FQ","BEST_FPERIOD_OVERRIDE=FQ","FILING_STATUS=MR","SCALING_FORMAT=MLN","Sort=A","Dates=H","DateFormat=P","Fill=—","Direction=H","UseDPDF=Y")</f>
        <v>64192</v>
      </c>
      <c r="U51" s="13">
        <f>_xll.BDH("WMT US Equity","BS_LT_BORROW","FQ1 2021","FQ1 2021","Currency=USD","Period=FQ","BEST_FPERIOD_OVERRIDE=FQ","FILING_STATUS=MR","SCALING_FORMAT=MLN","Sort=A","Dates=H","DateFormat=P","Fill=—","Direction=H","UseDPDF=Y")</f>
        <v>63149</v>
      </c>
      <c r="V51" s="13">
        <f>_xll.BDH("WMT US Equity","BS_LT_BORROW","FQ2 2021","FQ2 2021","Currency=USD","Period=FQ","BEST_FPERIOD_OVERRIDE=FQ","FILING_STATUS=MR","SCALING_FORMAT=MLN","Sort=A","Dates=H","DateFormat=P","Fill=—","Direction=H","UseDPDF=Y")</f>
        <v>61301</v>
      </c>
      <c r="W51" s="13">
        <f>_xll.BDH("WMT US Equity","BS_LT_BORROW","FQ3 2021","FQ3 2021","Currency=USD","Period=FQ","BEST_FPERIOD_OVERRIDE=FQ","FILING_STATUS=MR","SCALING_FORMAT=MLN","Sort=A","Dates=H","DateFormat=P","Fill=—","Direction=H","UseDPDF=Y")</f>
        <v>61581</v>
      </c>
      <c r="X51" s="13">
        <f>_xll.BDH("WMT US Equity","BS_LT_BORROW","FQ4 2021","FQ4 2021","Currency=USD","Period=FQ","BEST_FPERIOD_OVERRIDE=FQ","FILING_STATUS=MR","SCALING_FORMAT=MLN","Sort=A","Dates=H","DateFormat=P","Fill=—","Direction=H","UseDPDF=Y")</f>
        <v>57950</v>
      </c>
      <c r="Y51" s="13">
        <f>_xll.BDH("WMT US Equity","BS_LT_BORROW","FQ1 2022","FQ1 2022","Currency=USD","Period=FQ","BEST_FPERIOD_OVERRIDE=FQ","FILING_STATUS=MR","SCALING_FORMAT=MLN","Sort=A","Dates=H","DateFormat=P","Fill=—","Direction=H","UseDPDF=Y")</f>
        <v>57005</v>
      </c>
      <c r="Z51" s="13">
        <f>_xll.BDH("WMT US Equity","BS_LT_BORROW","FQ2 2022","FQ2 2022","Currency=USD","Period=FQ","BEST_FPERIOD_OVERRIDE=FQ","FILING_STATUS=MR","SCALING_FORMAT=MLN","Sort=A","Dates=H","DateFormat=P","Fill=—","Direction=H","UseDPDF=Y")</f>
        <v>56649</v>
      </c>
      <c r="AA51" s="13">
        <f>_xll.BDH("WMT US Equity","BS_LT_BORROW","FQ3 2022","FQ3 2022","Currency=USD","Period=FQ","BEST_FPERIOD_OVERRIDE=FQ","FILING_STATUS=MR","SCALING_FORMAT=MLN","Sort=A","Dates=H","DateFormat=P","Fill=—","Direction=H","UseDPDF=Y")</f>
        <v>53581</v>
      </c>
      <c r="AB51" s="13">
        <f>_xll.BDH("WMT US Equity","BS_LT_BORROW","FQ4 2022","FQ4 2022","Currency=USD","Period=FQ","BEST_FPERIOD_OVERRIDE=FQ","FILING_STATUS=MR","SCALING_FORMAT=MLN","Sort=A","Dates=H","DateFormat=P","Fill=—","Direction=H","UseDPDF=Y")</f>
        <v>52116</v>
      </c>
      <c r="AC51" s="13">
        <f>_xll.BDH("WMT US Equity","BS_LT_BORROW","FQ1 2023","FQ1 2023","Currency=USD","Period=FQ","BEST_FPERIOD_OVERRIDE=FQ","FILING_STATUS=MR","SCALING_FORMAT=MLN","Sort=A","Dates=H","DateFormat=P","Fill=—","Direction=H","UseDPDF=Y")</f>
        <v>49809</v>
      </c>
      <c r="AD51" s="13">
        <f>_xll.BDH("WMT US Equity","BS_LT_BORROW","FQ2 2023","FQ2 2023","Currency=USD","Period=FQ","BEST_FPERIOD_OVERRIDE=FQ","FILING_STATUS=MR","SCALING_FORMAT=MLN","Sort=A","Dates=H","DateFormat=P","Fill=—","Direction=H","UseDPDF=Y")</f>
        <v>47361</v>
      </c>
      <c r="AE51" s="13">
        <f>_xll.BDH("WMT US Equity","BS_LT_BORROW","FQ3 2023","FQ3 2023","Currency=USD","Period=FQ","BEST_FPERIOD_OVERRIDE=FQ","FILING_STATUS=MR","SCALING_FORMAT=MLN","Sort=A","Dates=H","DateFormat=P","Fill=—","Direction=H","UseDPDF=Y")</f>
        <v>51105</v>
      </c>
      <c r="AF51" s="13">
        <f>_xll.BDH("WMT US Equity","BS_LT_BORROW","FQ4 2023","FQ4 2023","Currency=USD","Period=FQ","BEST_FPERIOD_OVERRIDE=FQ","FILING_STATUS=MR","SCALING_FORMAT=MLN","Sort=A","Dates=H","DateFormat=P","Fill=—","Direction=H","UseDPDF=Y")</f>
        <v>52320</v>
      </c>
      <c r="AG51" s="13">
        <f>_xll.BDH("WMT US Equity","BS_LT_BORROW","FQ1 2024","FQ1 2024","Currency=USD","Period=FQ","BEST_FPERIOD_OVERRIDE=FQ","FILING_STATUS=MR","SCALING_FORMAT=MLN","Sort=A","Dates=H","DateFormat=P","Fill=—","Direction=H","UseDPDF=Y")</f>
        <v>56084</v>
      </c>
      <c r="AH51" s="13">
        <f>_xll.BDH("WMT US Equity","BS_LT_BORROW","FQ2 2024","FQ2 2024","Currency=USD","Period=FQ","BEST_FPERIOD_OVERRIDE=FQ","FILING_STATUS=MR","SCALING_FORMAT=MLN","Sort=A","Dates=H","DateFormat=P","Fill=—","Direction=H","UseDPDF=Y")</f>
        <v>55233</v>
      </c>
      <c r="AI51" s="13">
        <f>_xll.BDH("WMT US Equity","BS_LT_BORROW","FQ3 2024","FQ3 2024","Currency=USD","Period=FQ","BEST_FPERIOD_OVERRIDE=FQ","FILING_STATUS=MR","SCALING_FORMAT=MLN","Sort=A","Dates=H","DateFormat=P","Fill=—","Direction=H","UseDPDF=Y")</f>
        <v>54829</v>
      </c>
      <c r="AJ51" s="13">
        <f>_xll.BDH("WMT US Equity","BS_LT_BORROW","FQ4 2024","FQ4 2024","Currency=USD","Period=FQ","BEST_FPERIOD_OVERRIDE=FQ","FILING_STATUS=MR","SCALING_FORMAT=MLN","Sort=A","Dates=H","DateFormat=P","Fill=—","Direction=H","UseDPDF=Y")</f>
        <v>54784</v>
      </c>
      <c r="AK51" s="13">
        <f>_xll.BDH("WMT US Equity","BS_LT_BORROW","FQ1 2025","FQ1 2025","Currency=USD","Period=FQ","BEST_FPERIOD_OVERRIDE=FQ","FILING_STATUS=MR","SCALING_FORMAT=MLN","Sort=A","Dates=H","DateFormat=P","Fill=—","Direction=H","UseDPDF=Y")</f>
        <v>54815</v>
      </c>
      <c r="AL51" s="13">
        <f>_xll.BDH("WMT US Equity","BS_LT_BORROW","FQ2 2025","FQ2 2025","Currency=USD","Period=FQ","BEST_FPERIOD_OVERRIDE=FQ","FILING_STATUS=MR","SCALING_FORMAT=MLN","Sort=A","Dates=H","DateFormat=P","Fill=—","Direction=H","UseDPDF=Y")</f>
        <v>54336</v>
      </c>
      <c r="AM51" s="13">
        <f>_xll.BDH("WMT US Equity","BS_LT_BORROW","FQ3 2025","FQ3 2025","Currency=USD","Period=FQ","BEST_FPERIOD_OVERRIDE=FQ","FILING_STATUS=MR","SCALING_FORMAT=MLN","Sort=A","Dates=H","DateFormat=P","Fill=—","Direction=H","UseDPDF=Y")</f>
        <v>52628</v>
      </c>
      <c r="AN51" s="13">
        <f>_xll.BDH("WMT US Equity","BS_LT_BORROW","FQ4 2025","FQ4 2025","Currency=USD","Period=FQ","BEST_FPERIOD_OVERRIDE=FQ","FILING_STATUS=MR","SCALING_FORMAT=MLN","Sort=A","Dates=H","DateFormat=P","Fill=—","Direction=H","UseDPDF=Y")</f>
        <v>52149</v>
      </c>
      <c r="AO51" s="13">
        <f>_xll.BDH("WMT US Equity","BS_LT_BORROW","FQ1 2026","FQ1 2026","Currency=USD","Period=FQ","BEST_FPERIOD_OVERRIDE=FQ","FILING_STATUS=MR","SCALING_FORMAT=MLN","Sort=A","Dates=H","DateFormat=P","Fill=—","Direction=H","UseDPDF=Y")</f>
        <v>55195</v>
      </c>
      <c r="AP51" s="13">
        <f>_xll.BDH("WMT US Equity","BS_LT_BORROW","FQ2 2026","FQ2 2026","Currency=USD","Period=FQ","BEST_FPERIOD_OVERRIDE=FQ","FILING_STATUS=MR","SCALING_FORMAT=MLN","Sort=A","Dates=H","DateFormat=P","Fill=—","Direction=H","UseDPDF=Y")</f>
        <v>54758</v>
      </c>
    </row>
    <row r="52" spans="1:42" x14ac:dyDescent="0.3">
      <c r="A52" s="10" t="s">
        <v>226</v>
      </c>
      <c r="B52" s="10" t="s">
        <v>132</v>
      </c>
      <c r="C52" s="13">
        <f>_xll.BDH("WMT US Equity","LONG_TERM_BORROWINGS_DETAILED","FQ3 2016","FQ3 2016","Currency=USD","Period=FQ","BEST_FPERIOD_OVERRIDE=FQ","FILING_STATUS=MR","SCALING_FORMAT=MLN","Sort=A","Dates=H","DateFormat=P","Fill=—","Direction=H","UseDPDF=Y")</f>
        <v>34677</v>
      </c>
      <c r="D52" s="13">
        <f>_xll.BDH("WMT US Equity","LONG_TERM_BORROWINGS_DETAILED","FQ4 2016","FQ4 2016","Currency=USD","Period=FQ","BEST_FPERIOD_OVERRIDE=FQ","FILING_STATUS=MR","SCALING_FORMAT=MLN","Sort=A","Dates=H","DateFormat=P","Fill=—","Direction=H","UseDPDF=Y")</f>
        <v>34570</v>
      </c>
      <c r="E52" s="13">
        <f>_xll.BDH("WMT US Equity","LONG_TERM_BORROWINGS_DETAILED","FQ1 2017","FQ1 2017","Currency=USD","Period=FQ","BEST_FPERIOD_OVERRIDE=FQ","FILING_STATUS=MR","SCALING_FORMAT=MLN","Sort=A","Dates=H","DateFormat=P","Fill=—","Direction=H","UseDPDF=Y")</f>
        <v>33404</v>
      </c>
      <c r="F52" s="13">
        <f>_xll.BDH("WMT US Equity","LONG_TERM_BORROWINGS_DETAILED","FQ2 2017","FQ2 2017","Currency=USD","Period=FQ","BEST_FPERIOD_OVERRIDE=FQ","FILING_STATUS=MR","SCALING_FORMAT=MLN","Sort=A","Dates=H","DateFormat=P","Fill=—","Direction=H","UseDPDF=Y")</f>
        <v>33268</v>
      </c>
      <c r="G52" s="13">
        <f>_xll.BDH("WMT US Equity","LONG_TERM_BORROWINGS_DETAILED","FQ3 2017","FQ3 2017","Currency=USD","Period=FQ","BEST_FPERIOD_OVERRIDE=FQ","FILING_STATUS=MR","SCALING_FORMAT=MLN","Sort=A","Dates=H","DateFormat=P","Fill=—","Direction=H","UseDPDF=Y")</f>
        <v>33036</v>
      </c>
      <c r="H52" s="13">
        <f>_xll.BDH("WMT US Equity","LONG_TERM_BORROWINGS_DETAILED","FQ4 2017","FQ4 2017","Currency=USD","Period=FQ","BEST_FPERIOD_OVERRIDE=FQ","FILING_STATUS=MR","SCALING_FORMAT=MLN","Sort=A","Dates=H","DateFormat=P","Fill=—","Direction=H","UseDPDF=Y")</f>
        <v>32806</v>
      </c>
      <c r="I52" s="13">
        <f>_xll.BDH("WMT US Equity","LONG_TERM_BORROWINGS_DETAILED","FQ1 2018","FQ1 2018","Currency=USD","Period=FQ","BEST_FPERIOD_OVERRIDE=FQ","FILING_STATUS=MR","SCALING_FORMAT=MLN","Sort=A","Dates=H","DateFormat=P","Fill=—","Direction=H","UseDPDF=Y")</f>
        <v>30446</v>
      </c>
      <c r="J52" s="13">
        <f>_xll.BDH("WMT US Equity","LONG_TERM_BORROWINGS_DETAILED","FQ2 2018","FQ2 2018","Currency=USD","Period=FQ","BEST_FPERIOD_OVERRIDE=FQ","FILING_STATUS=MR","SCALING_FORMAT=MLN","Sort=A","Dates=H","DateFormat=P","Fill=—","Direction=H","UseDPDF=Y")</f>
        <v>29262</v>
      </c>
      <c r="K52" s="13">
        <f>_xll.BDH("WMT US Equity","LONG_TERM_BORROWINGS_DETAILED","FQ3 2018","FQ3 2018","Currency=USD","Period=FQ","BEST_FPERIOD_OVERRIDE=FQ","FILING_STATUS=MR","SCALING_FORMAT=MLN","Sort=A","Dates=H","DateFormat=P","Fill=—","Direction=H","UseDPDF=Y")</f>
        <v>29783</v>
      </c>
      <c r="L52" s="13">
        <f>_xll.BDH("WMT US Equity","LONG_TERM_BORROWINGS_DETAILED","FQ4 2018","FQ4 2018","Currency=USD","Period=FQ","BEST_FPERIOD_OVERRIDE=FQ","FILING_STATUS=MR","SCALING_FORMAT=MLN","Sort=A","Dates=H","DateFormat=P","Fill=—","Direction=H","UseDPDF=Y")</f>
        <v>26004</v>
      </c>
      <c r="M52" s="13">
        <f>_xll.BDH("WMT US Equity","LONG_TERM_BORROWINGS_DETAILED","FQ1 2019","FQ1 2019","Currency=USD","Period=FQ","BEST_FPERIOD_OVERRIDE=FQ","FILING_STATUS=MR","SCALING_FORMAT=MLN","Sort=A","Dates=H","DateFormat=P","Fill=—","Direction=H","UseDPDF=Y")</f>
        <v>25502</v>
      </c>
      <c r="N52" s="13">
        <f>_xll.BDH("WMT US Equity","LONG_TERM_BORROWINGS_DETAILED","FQ2 2019","FQ2 2019","Currency=USD","Period=FQ","BEST_FPERIOD_OVERRIDE=FQ","FILING_STATUS=MR","SCALING_FORMAT=MLN","Sort=A","Dates=H","DateFormat=P","Fill=—","Direction=H","UseDPDF=Y")</f>
        <v>41122</v>
      </c>
      <c r="O52" s="13">
        <f>_xll.BDH("WMT US Equity","LONG_TERM_BORROWINGS_DETAILED","FQ3 2019","FQ3 2019","Currency=USD","Period=FQ","BEST_FPERIOD_OVERRIDE=FQ","FILING_STATUS=MR","SCALING_FORMAT=MLN","Sort=A","Dates=H","DateFormat=P","Fill=—","Direction=H","UseDPDF=Y")</f>
        <v>39540</v>
      </c>
      <c r="P52" s="13">
        <f>_xll.BDH("WMT US Equity","LONG_TERM_BORROWINGS_DETAILED","FQ4 2019","FQ4 2019","Currency=USD","Period=FQ","BEST_FPERIOD_OVERRIDE=FQ","FILING_STATUS=MR","SCALING_FORMAT=MLN","Sort=A","Dates=H","DateFormat=P","Fill=—","Direction=H","UseDPDF=Y")</f>
        <v>39657</v>
      </c>
      <c r="Q52" s="13">
        <f>_xll.BDH("WMT US Equity","LONG_TERM_BORROWINGS_DETAILED","FQ1 2020","FQ1 2020","Currency=USD","Period=FQ","BEST_FPERIOD_OVERRIDE=FQ","FILING_STATUS=MR","SCALING_FORMAT=MLN","Sort=A","Dates=H","DateFormat=P","Fill=—","Direction=H","UseDPDF=Y")</f>
        <v>43631</v>
      </c>
      <c r="R52" s="13">
        <f>_xll.BDH("WMT US Equity","LONG_TERM_BORROWINGS_DETAILED","FQ2 2020","FQ2 2020","Currency=USD","Period=FQ","BEST_FPERIOD_OVERRIDE=FQ","FILING_STATUS=MR","SCALING_FORMAT=MLN","Sort=A","Dates=H","DateFormat=P","Fill=—","Direction=H","UseDPDF=Y")</f>
        <v>40697</v>
      </c>
      <c r="S52" s="13">
        <f>_xll.BDH("WMT US Equity","LONG_TERM_BORROWINGS_DETAILED","FQ3 2020","FQ3 2020","Currency=USD","Period=FQ","BEST_FPERIOD_OVERRIDE=FQ","FILING_STATUS=MR","SCALING_FORMAT=MLN","Sort=A","Dates=H","DateFormat=P","Fill=—","Direction=H","UseDPDF=Y")</f>
        <v>41082</v>
      </c>
      <c r="T52" s="13">
        <f>_xll.BDH("WMT US Equity","LONG_TERM_BORROWINGS_DETAILED","FQ4 2020","FQ4 2020","Currency=USD","Period=FQ","BEST_FPERIOD_OVERRIDE=FQ","FILING_STATUS=MR","SCALING_FORMAT=MLN","Sort=A","Dates=H","DateFormat=P","Fill=—","Direction=H","UseDPDF=Y")</f>
        <v>43714</v>
      </c>
      <c r="U52" s="13">
        <f>_xll.BDH("WMT US Equity","LONG_TERM_BORROWINGS_DETAILED","FQ1 2021","FQ1 2021","Currency=USD","Period=FQ","BEST_FPERIOD_OVERRIDE=FQ","FILING_STATUS=MR","SCALING_FORMAT=MLN","Sort=A","Dates=H","DateFormat=P","Fill=—","Direction=H","UseDPDF=Y")</f>
        <v>43006</v>
      </c>
      <c r="V52" s="13">
        <f>_xll.BDH("WMT US Equity","LONG_TERM_BORROWINGS_DETAILED","FQ2 2021","FQ2 2021","Currency=USD","Period=FQ","BEST_FPERIOD_OVERRIDE=FQ","FILING_STATUS=MR","SCALING_FORMAT=MLN","Sort=A","Dates=H","DateFormat=P","Fill=—","Direction=H","UseDPDF=Y")</f>
        <v>40959</v>
      </c>
      <c r="W52" s="13">
        <f>_xll.BDH("WMT US Equity","LONG_TERM_BORROWINGS_DETAILED","FQ3 2021","FQ3 2021","Currency=USD","Period=FQ","BEST_FPERIOD_OVERRIDE=FQ","FILING_STATUS=MR","SCALING_FORMAT=MLN","Sort=A","Dates=H","DateFormat=P","Fill=—","Direction=H","UseDPDF=Y")</f>
        <v>40849</v>
      </c>
      <c r="X52" s="13">
        <f>_xll.BDH("WMT US Equity","LONG_TERM_BORROWINGS_DETAILED","FQ4 2021","FQ4 2021","Currency=USD","Period=FQ","BEST_FPERIOD_OVERRIDE=FQ","FILING_STATUS=MR","SCALING_FORMAT=MLN","Sort=A","Dates=H","DateFormat=P","Fill=—","Direction=H","UseDPDF=Y")</f>
        <v>41194</v>
      </c>
      <c r="Y52" s="13">
        <f>_xll.BDH("WMT US Equity","LONG_TERM_BORROWINGS_DETAILED","FQ1 2022","FQ1 2022","Currency=USD","Period=FQ","BEST_FPERIOD_OVERRIDE=FQ","FILING_STATUS=MR","SCALING_FORMAT=MLN","Sort=A","Dates=H","DateFormat=P","Fill=—","Direction=H","UseDPDF=Y")</f>
        <v>40273</v>
      </c>
      <c r="Z52" s="13">
        <f>_xll.BDH("WMT US Equity","LONG_TERM_BORROWINGS_DETAILED","FQ2 2022","FQ2 2022","Currency=USD","Period=FQ","BEST_FPERIOD_OVERRIDE=FQ","FILING_STATUS=MR","SCALING_FORMAT=MLN","Sort=A","Dates=H","DateFormat=P","Fill=—","Direction=H","UseDPDF=Y")</f>
        <v>39581</v>
      </c>
      <c r="AA52" s="13">
        <f>_xll.BDH("WMT US Equity","LONG_TERM_BORROWINGS_DETAILED","FQ3 2022","FQ3 2022","Currency=USD","Period=FQ","BEST_FPERIOD_OVERRIDE=FQ","FILING_STATUS=MR","SCALING_FORMAT=MLN","Sort=A","Dates=H","DateFormat=P","Fill=—","Direction=H","UseDPDF=Y")</f>
        <v>36425</v>
      </c>
      <c r="AB52" s="13">
        <f>_xll.BDH("WMT US Equity","LONG_TERM_BORROWINGS_DETAILED","FQ4 2022","FQ4 2022","Currency=USD","Period=FQ","BEST_FPERIOD_OVERRIDE=FQ","FILING_STATUS=MR","SCALING_FORMAT=MLN","Sort=A","Dates=H","DateFormat=P","Fill=—","Direction=H","UseDPDF=Y")</f>
        <v>34864</v>
      </c>
      <c r="AC52" s="13">
        <f>_xll.BDH("WMT US Equity","LONG_TERM_BORROWINGS_DETAILED","FQ1 2023","FQ1 2023","Currency=USD","Period=FQ","BEST_FPERIOD_OVERRIDE=FQ","FILING_STATUS=MR","SCALING_FORMAT=MLN","Sort=A","Dates=H","DateFormat=P","Fill=—","Direction=H","UseDPDF=Y")</f>
        <v>32174</v>
      </c>
      <c r="AD52" s="13">
        <f>_xll.BDH("WMT US Equity","LONG_TERM_BORROWINGS_DETAILED","FQ2 2023","FQ2 2023","Currency=USD","Period=FQ","BEST_FPERIOD_OVERRIDE=FQ","FILING_STATUS=MR","SCALING_FORMAT=MLN","Sort=A","Dates=H","DateFormat=P","Fill=—","Direction=H","UseDPDF=Y")</f>
        <v>29801</v>
      </c>
      <c r="AE52" s="13">
        <f>_xll.BDH("WMT US Equity","LONG_TERM_BORROWINGS_DETAILED","FQ3 2023","FQ3 2023","Currency=USD","Period=FQ","BEST_FPERIOD_OVERRIDE=FQ","FILING_STATUS=MR","SCALING_FORMAT=MLN","Sort=A","Dates=H","DateFormat=P","Fill=—","Direction=H","UseDPDF=Y")</f>
        <v>33935</v>
      </c>
      <c r="AF52" s="13">
        <f>_xll.BDH("WMT US Equity","LONG_TERM_BORROWINGS_DETAILED","FQ4 2023","FQ4 2023","Currency=USD","Period=FQ","BEST_FPERIOD_OVERRIDE=FQ","FILING_STATUS=MR","SCALING_FORMAT=MLN","Sort=A","Dates=H","DateFormat=P","Fill=—","Direction=H","UseDPDF=Y")</f>
        <v>34649</v>
      </c>
      <c r="AG52" s="13">
        <f>_xll.BDH("WMT US Equity","LONG_TERM_BORROWINGS_DETAILED","FQ1 2024","FQ1 2024","Currency=USD","Period=FQ","BEST_FPERIOD_OVERRIDE=FQ","FILING_STATUS=MR","SCALING_FORMAT=MLN","Sort=A","Dates=H","DateFormat=P","Fill=—","Direction=H","UseDPDF=Y")</f>
        <v>38120</v>
      </c>
      <c r="AH52" s="13">
        <f>_xll.BDH("WMT US Equity","LONG_TERM_BORROWINGS_DETAILED","FQ2 2024","FQ2 2024","Currency=USD","Period=FQ","BEST_FPERIOD_OVERRIDE=FQ","FILING_STATUS=MR","SCALING_FORMAT=MLN","Sort=A","Dates=H","DateFormat=P","Fill=—","Direction=H","UseDPDF=Y")</f>
        <v>36806</v>
      </c>
      <c r="AI52" s="13">
        <f>_xll.BDH("WMT US Equity","LONG_TERM_BORROWINGS_DETAILED","FQ3 2024","FQ3 2024","Currency=USD","Period=FQ","BEST_FPERIOD_OVERRIDE=FQ","FILING_STATUS=MR","SCALING_FORMAT=MLN","Sort=A","Dates=H","DateFormat=P","Fill=—","Direction=H","UseDPDF=Y")</f>
        <v>36342</v>
      </c>
      <c r="AJ52" s="13">
        <f>_xll.BDH("WMT US Equity","LONG_TERM_BORROWINGS_DETAILED","FQ4 2024","FQ4 2024","Currency=USD","Period=FQ","BEST_FPERIOD_OVERRIDE=FQ","FILING_STATUS=MR","SCALING_FORMAT=MLN","Sort=A","Dates=H","DateFormat=P","Fill=—","Direction=H","UseDPDF=Y")</f>
        <v>36132</v>
      </c>
      <c r="AK52" s="13">
        <f>_xll.BDH("WMT US Equity","LONG_TERM_BORROWINGS_DETAILED","FQ1 2025","FQ1 2025","Currency=USD","Period=FQ","BEST_FPERIOD_OVERRIDE=FQ","FILING_STATUS=MR","SCALING_FORMAT=MLN","Sort=A","Dates=H","DateFormat=P","Fill=—","Direction=H","UseDPDF=Y")</f>
        <v>35928</v>
      </c>
      <c r="AL52" s="13">
        <f>_xll.BDH("WMT US Equity","LONG_TERM_BORROWINGS_DETAILED","FQ2 2025","FQ2 2025","Currency=USD","Period=FQ","BEST_FPERIOD_OVERRIDE=FQ","FILING_STATUS=MR","SCALING_FORMAT=MLN","Sort=A","Dates=H","DateFormat=P","Fill=—","Direction=H","UseDPDF=Y")</f>
        <v>35364</v>
      </c>
      <c r="AM52" s="13">
        <f>_xll.BDH("WMT US Equity","LONG_TERM_BORROWINGS_DETAILED","FQ3 2025","FQ3 2025","Currency=USD","Period=FQ","BEST_FPERIOD_OVERRIDE=FQ","FILING_STATUS=MR","SCALING_FORMAT=MLN","Sort=A","Dates=H","DateFormat=P","Fill=—","Direction=H","UseDPDF=Y")</f>
        <v>33645</v>
      </c>
      <c r="AN52" s="13">
        <f>_xll.BDH("WMT US Equity","LONG_TERM_BORROWINGS_DETAILED","FQ4 2025","FQ4 2025","Currency=USD","Period=FQ","BEST_FPERIOD_OVERRIDE=FQ","FILING_STATUS=MR","SCALING_FORMAT=MLN","Sort=A","Dates=H","DateFormat=P","Fill=—","Direction=H","UseDPDF=Y")</f>
        <v>33401</v>
      </c>
      <c r="AO52" s="13">
        <f>_xll.BDH("WMT US Equity","LONG_TERM_BORROWINGS_DETAILED","FQ1 2026","FQ1 2026","Currency=USD","Period=FQ","BEST_FPERIOD_OVERRIDE=FQ","FILING_STATUS=MR","SCALING_FORMAT=MLN","Sort=A","Dates=H","DateFormat=P","Fill=—","Direction=H","UseDPDF=Y")</f>
        <v>36520</v>
      </c>
      <c r="AP52" s="13">
        <f>_xll.BDH("WMT US Equity","LONG_TERM_BORROWINGS_DETAILED","FQ2 2026","FQ2 2026","Currency=USD","Period=FQ","BEST_FPERIOD_OVERRIDE=FQ","FILING_STATUS=MR","SCALING_FORMAT=MLN","Sort=A","Dates=H","DateFormat=P","Fill=—","Direction=H","UseDPDF=Y")</f>
        <v>35640</v>
      </c>
    </row>
    <row r="53" spans="1:42" x14ac:dyDescent="0.3">
      <c r="A53" s="10" t="s">
        <v>227</v>
      </c>
      <c r="B53" s="10" t="s">
        <v>133</v>
      </c>
      <c r="C53" s="13">
        <f>_xll.BDH("WMT US Equity","LT_CAPITALIZED_LEASE_LIABILITIES","FQ3 2016","FQ3 2016","Currency=USD","Period=FQ","BEST_FPERIOD_OVERRIDE=FQ","FILING_STATUS=MR","SCALING_FORMAT=MLN","Sort=A","Dates=H","DateFormat=P","Fill=—","Direction=H","UseDPDF=Y")</f>
        <v>5581</v>
      </c>
      <c r="D53" s="13">
        <f>_xll.BDH("WMT US Equity","LT_CAPITALIZED_LEASE_LIABILITIES","FQ4 2016","FQ4 2016","Currency=USD","Period=FQ","BEST_FPERIOD_OVERRIDE=FQ","FILING_STATUS=MR","SCALING_FORMAT=MLN","Sort=A","Dates=H","DateFormat=P","Fill=—","Direction=H","UseDPDF=Y")</f>
        <v>5816</v>
      </c>
      <c r="E53" s="13">
        <f>_xll.BDH("WMT US Equity","LT_CAPITALIZED_LEASE_LIABILITIES","FQ1 2017","FQ1 2017","Currency=USD","Period=FQ","BEST_FPERIOD_OVERRIDE=FQ","FILING_STATUS=MR","SCALING_FORMAT=MLN","Sort=A","Dates=H","DateFormat=P","Fill=—","Direction=H","UseDPDF=Y")</f>
        <v>6242</v>
      </c>
      <c r="F53" s="13">
        <f>_xll.BDH("WMT US Equity","LT_CAPITALIZED_LEASE_LIABILITIES","FQ2 2017","FQ2 2017","Currency=USD","Period=FQ","BEST_FPERIOD_OVERRIDE=FQ","FILING_STATUS=MR","SCALING_FORMAT=MLN","Sort=A","Dates=H","DateFormat=P","Fill=—","Direction=H","UseDPDF=Y")</f>
        <v>6070</v>
      </c>
      <c r="G53" s="13">
        <f>_xll.BDH("WMT US Equity","LT_CAPITALIZED_LEASE_LIABILITIES","FQ3 2017","FQ3 2017","Currency=USD","Period=FQ","BEST_FPERIOD_OVERRIDE=FQ","FILING_STATUS=MR","SCALING_FORMAT=MLN","Sort=A","Dates=H","DateFormat=P","Fill=—","Direction=H","UseDPDF=Y")</f>
        <v>5930</v>
      </c>
      <c r="H53" s="13">
        <f>_xll.BDH("WMT US Equity","LT_CAPITALIZED_LEASE_LIABILITIES","FQ4 2017","FQ4 2017","Currency=USD","Period=FQ","BEST_FPERIOD_OVERRIDE=FQ","FILING_STATUS=MR","SCALING_FORMAT=MLN","Sort=A","Dates=H","DateFormat=P","Fill=—","Direction=H","UseDPDF=Y")</f>
        <v>6003</v>
      </c>
      <c r="I53" s="13">
        <f>_xll.BDH("WMT US Equity","LT_CAPITALIZED_LEASE_LIABILITIES","FQ1 2018","FQ1 2018","Currency=USD","Period=FQ","BEST_FPERIOD_OVERRIDE=FQ","FILING_STATUS=MR","SCALING_FORMAT=MLN","Sort=A","Dates=H","DateFormat=P","Fill=—","Direction=H","UseDPDF=Y")</f>
        <v>6251</v>
      </c>
      <c r="J53" s="13">
        <f>_xll.BDH("WMT US Equity","LT_CAPITALIZED_LEASE_LIABILITIES","FQ2 2018","FQ2 2018","Currency=USD","Period=FQ","BEST_FPERIOD_OVERRIDE=FQ","FILING_STATUS=MR","SCALING_FORMAT=MLN","Sort=A","Dates=H","DateFormat=P","Fill=—","Direction=H","UseDPDF=Y")</f>
        <v>6763</v>
      </c>
      <c r="K53" s="13">
        <f>_xll.BDH("WMT US Equity","LT_CAPITALIZED_LEASE_LIABILITIES","FQ3 2018","FQ3 2018","Currency=USD","Period=FQ","BEST_FPERIOD_OVERRIDE=FQ","FILING_STATUS=MR","SCALING_FORMAT=MLN","Sort=A","Dates=H","DateFormat=P","Fill=—","Direction=H","UseDPDF=Y")</f>
        <v>6700</v>
      </c>
      <c r="L53" s="13">
        <f>_xll.BDH("WMT US Equity","LT_CAPITALIZED_LEASE_LIABILITIES","FQ4 2018","FQ4 2018","Currency=USD","Period=FQ","BEST_FPERIOD_OVERRIDE=FQ","FILING_STATUS=MR","SCALING_FORMAT=MLN","Sort=A","Dates=H","DateFormat=P","Fill=—","Direction=H","UseDPDF=Y")</f>
        <v>6780</v>
      </c>
      <c r="M53" s="13">
        <f>_xll.BDH("WMT US Equity","LT_CAPITALIZED_LEASE_LIABILITIES","FQ1 2019","FQ1 2019","Currency=USD","Period=FQ","BEST_FPERIOD_OVERRIDE=FQ","FILING_STATUS=MR","SCALING_FORMAT=MLN","Sort=A","Dates=H","DateFormat=P","Fill=—","Direction=H","UseDPDF=Y")</f>
        <v>6828</v>
      </c>
      <c r="N53" s="13">
        <f>_xll.BDH("WMT US Equity","LT_CAPITALIZED_LEASE_LIABILITIES","FQ2 2019","FQ2 2019","Currency=USD","Period=FQ","BEST_FPERIOD_OVERRIDE=FQ","FILING_STATUS=MR","SCALING_FORMAT=MLN","Sort=A","Dates=H","DateFormat=P","Fill=—","Direction=H","UseDPDF=Y")</f>
        <v>6610</v>
      </c>
      <c r="O53" s="13">
        <f>_xll.BDH("WMT US Equity","LT_CAPITALIZED_LEASE_LIABILITIES","FQ3 2019","FQ3 2019","Currency=USD","Period=FQ","BEST_FPERIOD_OVERRIDE=FQ","FILING_STATUS=MR","SCALING_FORMAT=MLN","Sort=A","Dates=H","DateFormat=P","Fill=—","Direction=H","UseDPDF=Y")</f>
        <v>6621</v>
      </c>
      <c r="P53" s="13">
        <f>_xll.BDH("WMT US Equity","LT_CAPITALIZED_LEASE_LIABILITIES","FQ4 2019","FQ4 2019","Currency=USD","Period=FQ","BEST_FPERIOD_OVERRIDE=FQ","FILING_STATUS=MR","SCALING_FORMAT=MLN","Sort=A","Dates=H","DateFormat=P","Fill=—","Direction=H","UseDPDF=Y")</f>
        <v>6683</v>
      </c>
      <c r="Q53" s="13">
        <f>_xll.BDH("WMT US Equity","LT_CAPITALIZED_LEASE_LIABILITIES","FQ1 2020","FQ1 2020","Currency=USD","Period=FQ","BEST_FPERIOD_OVERRIDE=FQ","FILING_STATUS=MR","SCALING_FORMAT=MLN","Sort=A","Dates=H","DateFormat=P","Fill=—","Direction=H","UseDPDF=Y")</f>
        <v>19529</v>
      </c>
      <c r="R53" s="13">
        <f>_xll.BDH("WMT US Equity","LT_CAPITALIZED_LEASE_LIABILITIES","FQ2 2020","FQ2 2020","Currency=USD","Period=FQ","BEST_FPERIOD_OVERRIDE=FQ","FILING_STATUS=MR","SCALING_FORMAT=MLN","Sort=A","Dates=H","DateFormat=P","Fill=—","Direction=H","UseDPDF=Y")</f>
        <v>19994</v>
      </c>
      <c r="S53" s="13">
        <f>_xll.BDH("WMT US Equity","LT_CAPITALIZED_LEASE_LIABILITIES","FQ3 2020","FQ3 2020","Currency=USD","Period=FQ","BEST_FPERIOD_OVERRIDE=FQ","FILING_STATUS=MR","SCALING_FORMAT=MLN","Sort=A","Dates=H","DateFormat=P","Fill=—","Direction=H","UseDPDF=Y")</f>
        <v>19809</v>
      </c>
      <c r="T53" s="13">
        <f>_xll.BDH("WMT US Equity","LT_CAPITALIZED_LEASE_LIABILITIES","FQ4 2020","FQ4 2020","Currency=USD","Period=FQ","BEST_FPERIOD_OVERRIDE=FQ","FILING_STATUS=MR","SCALING_FORMAT=MLN","Sort=A","Dates=H","DateFormat=P","Fill=—","Direction=H","UseDPDF=Y")</f>
        <v>20478</v>
      </c>
      <c r="U53" s="13">
        <f>_xll.BDH("WMT US Equity","LT_CAPITALIZED_LEASE_LIABILITIES","FQ1 2021","FQ1 2021","Currency=USD","Period=FQ","BEST_FPERIOD_OVERRIDE=FQ","FILING_STATUS=MR","SCALING_FORMAT=MLN","Sort=A","Dates=H","DateFormat=P","Fill=—","Direction=H","UseDPDF=Y")</f>
        <v>20143</v>
      </c>
      <c r="V53" s="13">
        <f>_xll.BDH("WMT US Equity","LT_CAPITALIZED_LEASE_LIABILITIES","FQ2 2021","FQ2 2021","Currency=USD","Period=FQ","BEST_FPERIOD_OVERRIDE=FQ","FILING_STATUS=MR","SCALING_FORMAT=MLN","Sort=A","Dates=H","DateFormat=P","Fill=—","Direction=H","UseDPDF=Y")</f>
        <v>20342</v>
      </c>
      <c r="W53" s="13">
        <f>_xll.BDH("WMT US Equity","LT_CAPITALIZED_LEASE_LIABILITIES","FQ3 2021","FQ3 2021","Currency=USD","Period=FQ","BEST_FPERIOD_OVERRIDE=FQ","FILING_STATUS=MR","SCALING_FORMAT=MLN","Sort=A","Dates=H","DateFormat=P","Fill=—","Direction=H","UseDPDF=Y")</f>
        <v>20732</v>
      </c>
      <c r="X53" s="13">
        <f>_xll.BDH("WMT US Equity","LT_CAPITALIZED_LEASE_LIABILITIES","FQ4 2021","FQ4 2021","Currency=USD","Period=FQ","BEST_FPERIOD_OVERRIDE=FQ","FILING_STATUS=MR","SCALING_FORMAT=MLN","Sort=A","Dates=H","DateFormat=P","Fill=—","Direction=H","UseDPDF=Y")</f>
        <v>16756</v>
      </c>
      <c r="Y53" s="13">
        <f>_xll.BDH("WMT US Equity","LT_CAPITALIZED_LEASE_LIABILITIES","FQ1 2022","FQ1 2022","Currency=USD","Period=FQ","BEST_FPERIOD_OVERRIDE=FQ","FILING_STATUS=MR","SCALING_FORMAT=MLN","Sort=A","Dates=H","DateFormat=P","Fill=—","Direction=H","UseDPDF=Y")</f>
        <v>16732</v>
      </c>
      <c r="Z53" s="13">
        <f>_xll.BDH("WMT US Equity","LT_CAPITALIZED_LEASE_LIABILITIES","FQ2 2022","FQ2 2022","Currency=USD","Period=FQ","BEST_FPERIOD_OVERRIDE=FQ","FILING_STATUS=MR","SCALING_FORMAT=MLN","Sort=A","Dates=H","DateFormat=P","Fill=—","Direction=H","UseDPDF=Y")</f>
        <v>17068</v>
      </c>
      <c r="AA53" s="13">
        <f>_xll.BDH("WMT US Equity","LT_CAPITALIZED_LEASE_LIABILITIES","FQ3 2022","FQ3 2022","Currency=USD","Period=FQ","BEST_FPERIOD_OVERRIDE=FQ","FILING_STATUS=MR","SCALING_FORMAT=MLN","Sort=A","Dates=H","DateFormat=P","Fill=—","Direction=H","UseDPDF=Y")</f>
        <v>17156</v>
      </c>
      <c r="AB53" s="13">
        <f>_xll.BDH("WMT US Equity","LT_CAPITALIZED_LEASE_LIABILITIES","FQ4 2022","FQ4 2022","Currency=USD","Period=FQ","BEST_FPERIOD_OVERRIDE=FQ","FILING_STATUS=MR","SCALING_FORMAT=MLN","Sort=A","Dates=H","DateFormat=P","Fill=—","Direction=H","UseDPDF=Y")</f>
        <v>17252</v>
      </c>
      <c r="AC53" s="13">
        <f>_xll.BDH("WMT US Equity","LT_CAPITALIZED_LEASE_LIABILITIES","FQ1 2023","FQ1 2023","Currency=USD","Period=FQ","BEST_FPERIOD_OVERRIDE=FQ","FILING_STATUS=MR","SCALING_FORMAT=MLN","Sort=A","Dates=H","DateFormat=P","Fill=—","Direction=H","UseDPDF=Y")</f>
        <v>17635</v>
      </c>
      <c r="AD53" s="13">
        <f>_xll.BDH("WMT US Equity","LT_CAPITALIZED_LEASE_LIABILITIES","FQ2 2023","FQ2 2023","Currency=USD","Period=FQ","BEST_FPERIOD_OVERRIDE=FQ","FILING_STATUS=MR","SCALING_FORMAT=MLN","Sort=A","Dates=H","DateFormat=P","Fill=—","Direction=H","UseDPDF=Y")</f>
        <v>17560</v>
      </c>
      <c r="AE53" s="13">
        <f>_xll.BDH("WMT US Equity","LT_CAPITALIZED_LEASE_LIABILITIES","FQ3 2023","FQ3 2023","Currency=USD","Period=FQ","BEST_FPERIOD_OVERRIDE=FQ","FILING_STATUS=MR","SCALING_FORMAT=MLN","Sort=A","Dates=H","DateFormat=P","Fill=—","Direction=H","UseDPDF=Y")</f>
        <v>17170</v>
      </c>
      <c r="AF53" s="13">
        <f>_xll.BDH("WMT US Equity","LT_CAPITALIZED_LEASE_LIABILITIES","FQ4 2023","FQ4 2023","Currency=USD","Period=FQ","BEST_FPERIOD_OVERRIDE=FQ","FILING_STATUS=MR","SCALING_FORMAT=MLN","Sort=A","Dates=H","DateFormat=P","Fill=—","Direction=H","UseDPDF=Y")</f>
        <v>17671</v>
      </c>
      <c r="AG53" s="13">
        <f>_xll.BDH("WMT US Equity","LT_CAPITALIZED_LEASE_LIABILITIES","FQ1 2024","FQ1 2024","Currency=USD","Period=FQ","BEST_FPERIOD_OVERRIDE=FQ","FILING_STATUS=MR","SCALING_FORMAT=MLN","Sort=A","Dates=H","DateFormat=P","Fill=—","Direction=H","UseDPDF=Y")</f>
        <v>17964</v>
      </c>
      <c r="AH53" s="13">
        <f>_xll.BDH("WMT US Equity","LT_CAPITALIZED_LEASE_LIABILITIES","FQ2 2024","FQ2 2024","Currency=USD","Period=FQ","BEST_FPERIOD_OVERRIDE=FQ","FILING_STATUS=MR","SCALING_FORMAT=MLN","Sort=A","Dates=H","DateFormat=P","Fill=—","Direction=H","UseDPDF=Y")</f>
        <v>18427</v>
      </c>
      <c r="AI53" s="13">
        <f>_xll.BDH("WMT US Equity","LT_CAPITALIZED_LEASE_LIABILITIES","FQ3 2024","FQ3 2024","Currency=USD","Period=FQ","BEST_FPERIOD_OVERRIDE=FQ","FILING_STATUS=MR","SCALING_FORMAT=MLN","Sort=A","Dates=H","DateFormat=P","Fill=—","Direction=H","UseDPDF=Y")</f>
        <v>18487</v>
      </c>
      <c r="AJ53" s="13">
        <f>_xll.BDH("WMT US Equity","LT_CAPITALIZED_LEASE_LIABILITIES","FQ4 2024","FQ4 2024","Currency=USD","Period=FQ","BEST_FPERIOD_OVERRIDE=FQ","FILING_STATUS=MR","SCALING_FORMAT=MLN","Sort=A","Dates=H","DateFormat=P","Fill=—","Direction=H","UseDPDF=Y")</f>
        <v>18652</v>
      </c>
      <c r="AK53" s="13">
        <f>_xll.BDH("WMT US Equity","LT_CAPITALIZED_LEASE_LIABILITIES","FQ1 2025","FQ1 2025","Currency=USD","Period=FQ","BEST_FPERIOD_OVERRIDE=FQ","FILING_STATUS=MR","SCALING_FORMAT=MLN","Sort=A","Dates=H","DateFormat=P","Fill=—","Direction=H","UseDPDF=Y")</f>
        <v>18887</v>
      </c>
      <c r="AL53" s="13">
        <f>_xll.BDH("WMT US Equity","LT_CAPITALIZED_LEASE_LIABILITIES","FQ2 2025","FQ2 2025","Currency=USD","Period=FQ","BEST_FPERIOD_OVERRIDE=FQ","FILING_STATUS=MR","SCALING_FORMAT=MLN","Sort=A","Dates=H","DateFormat=P","Fill=—","Direction=H","UseDPDF=Y")</f>
        <v>18972</v>
      </c>
      <c r="AM53" s="13">
        <f>_xll.BDH("WMT US Equity","LT_CAPITALIZED_LEASE_LIABILITIES","FQ3 2025","FQ3 2025","Currency=USD","Period=FQ","BEST_FPERIOD_OVERRIDE=FQ","FILING_STATUS=MR","SCALING_FORMAT=MLN","Sort=A","Dates=H","DateFormat=P","Fill=—","Direction=H","UseDPDF=Y")</f>
        <v>18983</v>
      </c>
      <c r="AN53" s="13">
        <f>_xll.BDH("WMT US Equity","LT_CAPITALIZED_LEASE_LIABILITIES","FQ4 2025","FQ4 2025","Currency=USD","Period=FQ","BEST_FPERIOD_OVERRIDE=FQ","FILING_STATUS=MR","SCALING_FORMAT=MLN","Sort=A","Dates=H","DateFormat=P","Fill=—","Direction=H","UseDPDF=Y")</f>
        <v>18748</v>
      </c>
      <c r="AO53" s="13">
        <f>_xll.BDH("WMT US Equity","LT_CAPITALIZED_LEASE_LIABILITIES","FQ1 2026","FQ1 2026","Currency=USD","Period=FQ","BEST_FPERIOD_OVERRIDE=FQ","FILING_STATUS=MR","SCALING_FORMAT=MLN","Sort=A","Dates=H","DateFormat=P","Fill=—","Direction=H","UseDPDF=Y")</f>
        <v>18675</v>
      </c>
      <c r="AP53" s="13">
        <f>_xll.BDH("WMT US Equity","LT_CAPITALIZED_LEASE_LIABILITIES","FQ2 2026","FQ2 2026","Currency=USD","Period=FQ","BEST_FPERIOD_OVERRIDE=FQ","FILING_STATUS=MR","SCALING_FORMAT=MLN","Sort=A","Dates=H","DateFormat=P","Fill=—","Direction=H","UseDPDF=Y")</f>
        <v>19118</v>
      </c>
    </row>
    <row r="54" spans="1:42" x14ac:dyDescent="0.3">
      <c r="A54" s="11" t="s">
        <v>228</v>
      </c>
      <c r="B54" s="11" t="s">
        <v>134</v>
      </c>
      <c r="C54" s="17">
        <f>_xll.BDH("WMT US Equity","LT_CAPITAL_LEASE_OBLIGATIONS","FQ3 2016","FQ3 2016","Currency=USD","Period=FQ","BEST_FPERIOD_OVERRIDE=FQ","FILING_STATUS=MR","SCALING_FORMAT=MLN","Sort=A","Dates=H","DateFormat=P","Fill=—","Direction=H","UseDPDF=Y")</f>
        <v>5581</v>
      </c>
      <c r="D54" s="17">
        <f>_xll.BDH("WMT US Equity","LT_CAPITAL_LEASE_OBLIGATIONS","FQ4 2016","FQ4 2016","Currency=USD","Period=FQ","BEST_FPERIOD_OVERRIDE=FQ","FILING_STATUS=MR","SCALING_FORMAT=MLN","Sort=A","Dates=H","DateFormat=P","Fill=—","Direction=H","UseDPDF=Y")</f>
        <v>5816</v>
      </c>
      <c r="E54" s="17">
        <f>_xll.BDH("WMT US Equity","LT_CAPITAL_LEASE_OBLIGATIONS","FQ1 2017","FQ1 2017","Currency=USD","Period=FQ","BEST_FPERIOD_OVERRIDE=FQ","FILING_STATUS=MR","SCALING_FORMAT=MLN","Sort=A","Dates=H","DateFormat=P","Fill=—","Direction=H","UseDPDF=Y")</f>
        <v>6242</v>
      </c>
      <c r="F54" s="17">
        <f>_xll.BDH("WMT US Equity","LT_CAPITAL_LEASE_OBLIGATIONS","FQ2 2017","FQ2 2017","Currency=USD","Period=FQ","BEST_FPERIOD_OVERRIDE=FQ","FILING_STATUS=MR","SCALING_FORMAT=MLN","Sort=A","Dates=H","DateFormat=P","Fill=—","Direction=H","UseDPDF=Y")</f>
        <v>6070</v>
      </c>
      <c r="G54" s="17">
        <f>_xll.BDH("WMT US Equity","LT_CAPITAL_LEASE_OBLIGATIONS","FQ3 2017","FQ3 2017","Currency=USD","Period=FQ","BEST_FPERIOD_OVERRIDE=FQ","FILING_STATUS=MR","SCALING_FORMAT=MLN","Sort=A","Dates=H","DateFormat=P","Fill=—","Direction=H","UseDPDF=Y")</f>
        <v>5930</v>
      </c>
      <c r="H54" s="17">
        <f>_xll.BDH("WMT US Equity","LT_CAPITAL_LEASE_OBLIGATIONS","FQ4 2017","FQ4 2017","Currency=USD","Period=FQ","BEST_FPERIOD_OVERRIDE=FQ","FILING_STATUS=MR","SCALING_FORMAT=MLN","Sort=A","Dates=H","DateFormat=P","Fill=—","Direction=H","UseDPDF=Y")</f>
        <v>6003</v>
      </c>
      <c r="I54" s="17">
        <f>_xll.BDH("WMT US Equity","LT_CAPITAL_LEASE_OBLIGATIONS","FQ1 2018","FQ1 2018","Currency=USD","Period=FQ","BEST_FPERIOD_OVERRIDE=FQ","FILING_STATUS=MR","SCALING_FORMAT=MLN","Sort=A","Dates=H","DateFormat=P","Fill=—","Direction=H","UseDPDF=Y")</f>
        <v>6251</v>
      </c>
      <c r="J54" s="17">
        <f>_xll.BDH("WMT US Equity","LT_CAPITAL_LEASE_OBLIGATIONS","FQ2 2018","FQ2 2018","Currency=USD","Period=FQ","BEST_FPERIOD_OVERRIDE=FQ","FILING_STATUS=MR","SCALING_FORMAT=MLN","Sort=A","Dates=H","DateFormat=P","Fill=—","Direction=H","UseDPDF=Y")</f>
        <v>6763</v>
      </c>
      <c r="K54" s="17">
        <f>_xll.BDH("WMT US Equity","LT_CAPITAL_LEASE_OBLIGATIONS","FQ3 2018","FQ3 2018","Currency=USD","Period=FQ","BEST_FPERIOD_OVERRIDE=FQ","FILING_STATUS=MR","SCALING_FORMAT=MLN","Sort=A","Dates=H","DateFormat=P","Fill=—","Direction=H","UseDPDF=Y")</f>
        <v>6700</v>
      </c>
      <c r="L54" s="17">
        <f>_xll.BDH("WMT US Equity","LT_CAPITAL_LEASE_OBLIGATIONS","FQ4 2018","FQ4 2018","Currency=USD","Period=FQ","BEST_FPERIOD_OVERRIDE=FQ","FILING_STATUS=MR","SCALING_FORMAT=MLN","Sort=A","Dates=H","DateFormat=P","Fill=—","Direction=H","UseDPDF=Y")</f>
        <v>6780</v>
      </c>
      <c r="M54" s="17">
        <f>_xll.BDH("WMT US Equity","LT_CAPITAL_LEASE_OBLIGATIONS","FQ1 2019","FQ1 2019","Currency=USD","Period=FQ","BEST_FPERIOD_OVERRIDE=FQ","FILING_STATUS=MR","SCALING_FORMAT=MLN","Sort=A","Dates=H","DateFormat=P","Fill=—","Direction=H","UseDPDF=Y")</f>
        <v>6828</v>
      </c>
      <c r="N54" s="17">
        <f>_xll.BDH("WMT US Equity","LT_CAPITAL_LEASE_OBLIGATIONS","FQ2 2019","FQ2 2019","Currency=USD","Period=FQ","BEST_FPERIOD_OVERRIDE=FQ","FILING_STATUS=MR","SCALING_FORMAT=MLN","Sort=A","Dates=H","DateFormat=P","Fill=—","Direction=H","UseDPDF=Y")</f>
        <v>6610</v>
      </c>
      <c r="O54" s="17">
        <f>_xll.BDH("WMT US Equity","LT_CAPITAL_LEASE_OBLIGATIONS","FQ3 2019","FQ3 2019","Currency=USD","Period=FQ","BEST_FPERIOD_OVERRIDE=FQ","FILING_STATUS=MR","SCALING_FORMAT=MLN","Sort=A","Dates=H","DateFormat=P","Fill=—","Direction=H","UseDPDF=Y")</f>
        <v>6621</v>
      </c>
      <c r="P54" s="17">
        <f>_xll.BDH("WMT US Equity","LT_CAPITAL_LEASE_OBLIGATIONS","FQ4 2019","FQ4 2019","Currency=USD","Period=FQ","BEST_FPERIOD_OVERRIDE=FQ","FILING_STATUS=MR","SCALING_FORMAT=MLN","Sort=A","Dates=H","DateFormat=P","Fill=—","Direction=H","UseDPDF=Y")</f>
        <v>6683</v>
      </c>
      <c r="Q54" s="17">
        <f>_xll.BDH("WMT US Equity","LT_CAPITAL_LEASE_OBLIGATIONS","FQ1 2020","FQ1 2020","Currency=USD","Period=FQ","BEST_FPERIOD_OVERRIDE=FQ","FILING_STATUS=MR","SCALING_FORMAT=MLN","Sort=A","Dates=H","DateFormat=P","Fill=—","Direction=H","UseDPDF=Y")</f>
        <v>3810</v>
      </c>
      <c r="R54" s="17">
        <f>_xll.BDH("WMT US Equity","LT_CAPITAL_LEASE_OBLIGATIONS","FQ2 2020","FQ2 2020","Currency=USD","Period=FQ","BEST_FPERIOD_OVERRIDE=FQ","FILING_STATUS=MR","SCALING_FORMAT=MLN","Sort=A","Dates=H","DateFormat=P","Fill=—","Direction=H","UseDPDF=Y")</f>
        <v>3915</v>
      </c>
      <c r="S54" s="17">
        <f>_xll.BDH("WMT US Equity","LT_CAPITAL_LEASE_OBLIGATIONS","FQ3 2020","FQ3 2020","Currency=USD","Period=FQ","BEST_FPERIOD_OVERRIDE=FQ","FILING_STATUS=MR","SCALING_FORMAT=MLN","Sort=A","Dates=H","DateFormat=P","Fill=—","Direction=H","UseDPDF=Y")</f>
        <v>4068</v>
      </c>
      <c r="T54" s="17">
        <f>_xll.BDH("WMT US Equity","LT_CAPITAL_LEASE_OBLIGATIONS","FQ4 2020","FQ4 2020","Currency=USD","Period=FQ","BEST_FPERIOD_OVERRIDE=FQ","FILING_STATUS=MR","SCALING_FORMAT=MLN","Sort=A","Dates=H","DateFormat=P","Fill=—","Direction=H","UseDPDF=Y")</f>
        <v>4307</v>
      </c>
      <c r="U54" s="17">
        <f>_xll.BDH("WMT US Equity","LT_CAPITAL_LEASE_OBLIGATIONS","FQ1 2021","FQ1 2021","Currency=USD","Period=FQ","BEST_FPERIOD_OVERRIDE=FQ","FILING_STATUS=MR","SCALING_FORMAT=MLN","Sort=A","Dates=H","DateFormat=P","Fill=—","Direction=H","UseDPDF=Y")</f>
        <v>4474</v>
      </c>
      <c r="V54" s="17">
        <f>_xll.BDH("WMT US Equity","LT_CAPITAL_LEASE_OBLIGATIONS","FQ2 2021","FQ2 2021","Currency=USD","Period=FQ","BEST_FPERIOD_OVERRIDE=FQ","FILING_STATUS=MR","SCALING_FORMAT=MLN","Sort=A","Dates=H","DateFormat=P","Fill=—","Direction=H","UseDPDF=Y")</f>
        <v>4673</v>
      </c>
      <c r="W54" s="17">
        <f>_xll.BDH("WMT US Equity","LT_CAPITAL_LEASE_OBLIGATIONS","FQ3 2021","FQ3 2021","Currency=USD","Period=FQ","BEST_FPERIOD_OVERRIDE=FQ","FILING_STATUS=MR","SCALING_FORMAT=MLN","Sort=A","Dates=H","DateFormat=P","Fill=—","Direction=H","UseDPDF=Y")</f>
        <v>4750</v>
      </c>
      <c r="X54" s="17">
        <f>_xll.BDH("WMT US Equity","LT_CAPITAL_LEASE_OBLIGATIONS","FQ4 2021","FQ4 2021","Currency=USD","Period=FQ","BEST_FPERIOD_OVERRIDE=FQ","FILING_STATUS=MR","SCALING_FORMAT=MLN","Sort=A","Dates=H","DateFormat=P","Fill=—","Direction=H","UseDPDF=Y")</f>
        <v>3847</v>
      </c>
      <c r="Y54" s="17">
        <f>_xll.BDH("WMT US Equity","LT_CAPITAL_LEASE_OBLIGATIONS","FQ1 2022","FQ1 2022","Currency=USD","Period=FQ","BEST_FPERIOD_OVERRIDE=FQ","FILING_STATUS=MR","SCALING_FORMAT=MLN","Sort=A","Dates=H","DateFormat=P","Fill=—","Direction=H","UseDPDF=Y")</f>
        <v>3802</v>
      </c>
      <c r="Z54" s="17">
        <f>_xll.BDH("WMT US Equity","LT_CAPITAL_LEASE_OBLIGATIONS","FQ2 2022","FQ2 2022","Currency=USD","Period=FQ","BEST_FPERIOD_OVERRIDE=FQ","FILING_STATUS=MR","SCALING_FORMAT=MLN","Sort=A","Dates=H","DateFormat=P","Fill=—","Direction=H","UseDPDF=Y")</f>
        <v>3952</v>
      </c>
      <c r="AA54" s="17">
        <f>_xll.BDH("WMT US Equity","LT_CAPITAL_LEASE_OBLIGATIONS","FQ3 2022","FQ3 2022","Currency=USD","Period=FQ","BEST_FPERIOD_OVERRIDE=FQ","FILING_STATUS=MR","SCALING_FORMAT=MLN","Sort=A","Dates=H","DateFormat=P","Fill=—","Direction=H","UseDPDF=Y")</f>
        <v>4061</v>
      </c>
      <c r="AB54" s="17">
        <f>_xll.BDH("WMT US Equity","LT_CAPITAL_LEASE_OBLIGATIONS","FQ4 2022","FQ4 2022","Currency=USD","Period=FQ","BEST_FPERIOD_OVERRIDE=FQ","FILING_STATUS=MR","SCALING_FORMAT=MLN","Sort=A","Dates=H","DateFormat=P","Fill=—","Direction=H","UseDPDF=Y")</f>
        <v>4243</v>
      </c>
      <c r="AC54" s="17">
        <f>_xll.BDH("WMT US Equity","LT_CAPITAL_LEASE_OBLIGATIONS","FQ1 2023","FQ1 2023","Currency=USD","Period=FQ","BEST_FPERIOD_OVERRIDE=FQ","FILING_STATUS=MR","SCALING_FORMAT=MLN","Sort=A","Dates=H","DateFormat=P","Fill=—","Direction=H","UseDPDF=Y")</f>
        <v>4409</v>
      </c>
      <c r="AD54" s="17">
        <f>_xll.BDH("WMT US Equity","LT_CAPITAL_LEASE_OBLIGATIONS","FQ2 2023","FQ2 2023","Currency=USD","Period=FQ","BEST_FPERIOD_OVERRIDE=FQ","FILING_STATUS=MR","SCALING_FORMAT=MLN","Sort=A","Dates=H","DateFormat=P","Fill=—","Direction=H","UseDPDF=Y")</f>
        <v>4420</v>
      </c>
      <c r="AE54" s="17">
        <f>_xll.BDH("WMT US Equity","LT_CAPITAL_LEASE_OBLIGATIONS","FQ3 2023","FQ3 2023","Currency=USD","Period=FQ","BEST_FPERIOD_OVERRIDE=FQ","FILING_STATUS=MR","SCALING_FORMAT=MLN","Sort=A","Dates=H","DateFormat=P","Fill=—","Direction=H","UseDPDF=Y")</f>
        <v>4512</v>
      </c>
      <c r="AF54" s="17">
        <f>_xll.BDH("WMT US Equity","LT_CAPITAL_LEASE_OBLIGATIONS","FQ4 2023","FQ4 2023","Currency=USD","Period=FQ","BEST_FPERIOD_OVERRIDE=FQ","FILING_STATUS=MR","SCALING_FORMAT=MLN","Sort=A","Dates=H","DateFormat=P","Fill=—","Direction=H","UseDPDF=Y")</f>
        <v>4843</v>
      </c>
      <c r="AG54" s="17">
        <f>_xll.BDH("WMT US Equity","LT_CAPITAL_LEASE_OBLIGATIONS","FQ1 2024","FQ1 2024","Currency=USD","Period=FQ","BEST_FPERIOD_OVERRIDE=FQ","FILING_STATUS=MR","SCALING_FORMAT=MLN","Sort=A","Dates=H","DateFormat=P","Fill=—","Direction=H","UseDPDF=Y")</f>
        <v>5039</v>
      </c>
      <c r="AH54" s="17">
        <f>_xll.BDH("WMT US Equity","LT_CAPITAL_LEASE_OBLIGATIONS","FQ2 2024","FQ2 2024","Currency=USD","Period=FQ","BEST_FPERIOD_OVERRIDE=FQ","FILING_STATUS=MR","SCALING_FORMAT=MLN","Sort=A","Dates=H","DateFormat=P","Fill=—","Direction=H","UseDPDF=Y")</f>
        <v>5449</v>
      </c>
      <c r="AI54" s="17">
        <f>_xll.BDH("WMT US Equity","LT_CAPITAL_LEASE_OBLIGATIONS","FQ3 2024","FQ3 2024","Currency=USD","Period=FQ","BEST_FPERIOD_OVERRIDE=FQ","FILING_STATUS=MR","SCALING_FORMAT=MLN","Sort=A","Dates=H","DateFormat=P","Fill=—","Direction=H","UseDPDF=Y")</f>
        <v>5670</v>
      </c>
      <c r="AJ54" s="17">
        <f>_xll.BDH("WMT US Equity","LT_CAPITAL_LEASE_OBLIGATIONS","FQ4 2024","FQ4 2024","Currency=USD","Period=FQ","BEST_FPERIOD_OVERRIDE=FQ","FILING_STATUS=MR","SCALING_FORMAT=MLN","Sort=A","Dates=H","DateFormat=P","Fill=—","Direction=H","UseDPDF=Y")</f>
        <v>5709</v>
      </c>
      <c r="AK54" s="17">
        <f>_xll.BDH("WMT US Equity","LT_CAPITAL_LEASE_OBLIGATIONS","FQ1 2025","FQ1 2025","Currency=USD","Period=FQ","BEST_FPERIOD_OVERRIDE=FQ","FILING_STATUS=MR","SCALING_FORMAT=MLN","Sort=A","Dates=H","DateFormat=P","Fill=—","Direction=H","UseDPDF=Y")</f>
        <v>6047</v>
      </c>
      <c r="AL54" s="17">
        <f>_xll.BDH("WMT US Equity","LT_CAPITAL_LEASE_OBLIGATIONS","FQ2 2025","FQ2 2025","Currency=USD","Period=FQ","BEST_FPERIOD_OVERRIDE=FQ","FILING_STATUS=MR","SCALING_FORMAT=MLN","Sort=A","Dates=H","DateFormat=P","Fill=—","Direction=H","UseDPDF=Y")</f>
        <v>6161</v>
      </c>
      <c r="AM54" s="17">
        <f>_xll.BDH("WMT US Equity","LT_CAPITAL_LEASE_OBLIGATIONS","FQ3 2025","FQ3 2025","Currency=USD","Period=FQ","BEST_FPERIOD_OVERRIDE=FQ","FILING_STATUS=MR","SCALING_FORMAT=MLN","Sort=A","Dates=H","DateFormat=P","Fill=—","Direction=H","UseDPDF=Y")</f>
        <v>6056</v>
      </c>
      <c r="AN54" s="17">
        <f>_xll.BDH("WMT US Equity","LT_CAPITAL_LEASE_OBLIGATIONS","FQ4 2025","FQ4 2025","Currency=USD","Period=FQ","BEST_FPERIOD_OVERRIDE=FQ","FILING_STATUS=MR","SCALING_FORMAT=MLN","Sort=A","Dates=H","DateFormat=P","Fill=—","Direction=H","UseDPDF=Y")</f>
        <v>5923</v>
      </c>
      <c r="AO54" s="17">
        <f>_xll.BDH("WMT US Equity","LT_CAPITAL_LEASE_OBLIGATIONS","FQ1 2026","FQ1 2026","Currency=USD","Period=FQ","BEST_FPERIOD_OVERRIDE=FQ","FILING_STATUS=MR","SCALING_FORMAT=MLN","Sort=A","Dates=H","DateFormat=P","Fill=—","Direction=H","UseDPDF=Y")</f>
        <v>5878</v>
      </c>
      <c r="AP54" s="17">
        <f>_xll.BDH("WMT US Equity","LT_CAPITAL_LEASE_OBLIGATIONS","FQ2 2026","FQ2 2026","Currency=USD","Period=FQ","BEST_FPERIOD_OVERRIDE=FQ","FILING_STATUS=MR","SCALING_FORMAT=MLN","Sort=A","Dates=H","DateFormat=P","Fill=—","Direction=H","UseDPDF=Y")</f>
        <v>5947</v>
      </c>
    </row>
    <row r="55" spans="1:42" x14ac:dyDescent="0.3">
      <c r="A55" s="11" t="s">
        <v>229</v>
      </c>
      <c r="B55" s="11" t="s">
        <v>135</v>
      </c>
      <c r="C55" s="17" t="str">
        <f>_xll.BDH("WMT US Equity","BS_LT_OPERATING_LEASE_LIABS","FQ3 2016","FQ3 2016","Currency=USD","Period=FQ","BEST_FPERIOD_OVERRIDE=FQ","FILING_STATUS=MR","SCALING_FORMAT=MLN","Sort=A","Dates=H","DateFormat=P","Fill=—","Direction=H","UseDPDF=Y")</f>
        <v>—</v>
      </c>
      <c r="D55" s="17" t="str">
        <f>_xll.BDH("WMT US Equity","BS_LT_OPERATING_LEASE_LIABS","FQ4 2016","FQ4 2016","Currency=USD","Period=FQ","BEST_FPERIOD_OVERRIDE=FQ","FILING_STATUS=MR","SCALING_FORMAT=MLN","Sort=A","Dates=H","DateFormat=P","Fill=—","Direction=H","UseDPDF=Y")</f>
        <v>—</v>
      </c>
      <c r="E55" s="17" t="str">
        <f>_xll.BDH("WMT US Equity","BS_LT_OPERATING_LEASE_LIABS","FQ1 2017","FQ1 2017","Currency=USD","Period=FQ","BEST_FPERIOD_OVERRIDE=FQ","FILING_STATUS=MR","SCALING_FORMAT=MLN","Sort=A","Dates=H","DateFormat=P","Fill=—","Direction=H","UseDPDF=Y")</f>
        <v>—</v>
      </c>
      <c r="F55" s="17" t="str">
        <f>_xll.BDH("WMT US Equity","BS_LT_OPERATING_LEASE_LIABS","FQ2 2017","FQ2 2017","Currency=USD","Period=FQ","BEST_FPERIOD_OVERRIDE=FQ","FILING_STATUS=MR","SCALING_FORMAT=MLN","Sort=A","Dates=H","DateFormat=P","Fill=—","Direction=H","UseDPDF=Y")</f>
        <v>—</v>
      </c>
      <c r="G55" s="17" t="str">
        <f>_xll.BDH("WMT US Equity","BS_LT_OPERATING_LEASE_LIABS","FQ3 2017","FQ3 2017","Currency=USD","Period=FQ","BEST_FPERIOD_OVERRIDE=FQ","FILING_STATUS=MR","SCALING_FORMAT=MLN","Sort=A","Dates=H","DateFormat=P","Fill=—","Direction=H","UseDPDF=Y")</f>
        <v>—</v>
      </c>
      <c r="H55" s="17" t="str">
        <f>_xll.BDH("WMT US Equity","BS_LT_OPERATING_LEASE_LIABS","FQ4 2017","FQ4 2017","Currency=USD","Period=FQ","BEST_FPERIOD_OVERRIDE=FQ","FILING_STATUS=MR","SCALING_FORMAT=MLN","Sort=A","Dates=H","DateFormat=P","Fill=—","Direction=H","UseDPDF=Y")</f>
        <v>—</v>
      </c>
      <c r="I55" s="17" t="str">
        <f>_xll.BDH("WMT US Equity","BS_LT_OPERATING_LEASE_LIABS","FQ1 2018","FQ1 2018","Currency=USD","Period=FQ","BEST_FPERIOD_OVERRIDE=FQ","FILING_STATUS=MR","SCALING_FORMAT=MLN","Sort=A","Dates=H","DateFormat=P","Fill=—","Direction=H","UseDPDF=Y")</f>
        <v>—</v>
      </c>
      <c r="J55" s="17" t="str">
        <f>_xll.BDH("WMT US Equity","BS_LT_OPERATING_LEASE_LIABS","FQ2 2018","FQ2 2018","Currency=USD","Period=FQ","BEST_FPERIOD_OVERRIDE=FQ","FILING_STATUS=MR","SCALING_FORMAT=MLN","Sort=A","Dates=H","DateFormat=P","Fill=—","Direction=H","UseDPDF=Y")</f>
        <v>—</v>
      </c>
      <c r="K55" s="17" t="str">
        <f>_xll.BDH("WMT US Equity","BS_LT_OPERATING_LEASE_LIABS","FQ3 2018","FQ3 2018","Currency=USD","Period=FQ","BEST_FPERIOD_OVERRIDE=FQ","FILING_STATUS=MR","SCALING_FORMAT=MLN","Sort=A","Dates=H","DateFormat=P","Fill=—","Direction=H","UseDPDF=Y")</f>
        <v>—</v>
      </c>
      <c r="L55" s="17" t="str">
        <f>_xll.BDH("WMT US Equity","BS_LT_OPERATING_LEASE_LIABS","FQ4 2018","FQ4 2018","Currency=USD","Period=FQ","BEST_FPERIOD_OVERRIDE=FQ","FILING_STATUS=MR","SCALING_FORMAT=MLN","Sort=A","Dates=H","DateFormat=P","Fill=—","Direction=H","UseDPDF=Y")</f>
        <v>—</v>
      </c>
      <c r="M55" s="17" t="str">
        <f>_xll.BDH("WMT US Equity","BS_LT_OPERATING_LEASE_LIABS","FQ1 2019","FQ1 2019","Currency=USD","Period=FQ","BEST_FPERIOD_OVERRIDE=FQ","FILING_STATUS=MR","SCALING_FORMAT=MLN","Sort=A","Dates=H","DateFormat=P","Fill=—","Direction=H","UseDPDF=Y")</f>
        <v>—</v>
      </c>
      <c r="N55" s="17" t="str">
        <f>_xll.BDH("WMT US Equity","BS_LT_OPERATING_LEASE_LIABS","FQ2 2019","FQ2 2019","Currency=USD","Period=FQ","BEST_FPERIOD_OVERRIDE=FQ","FILING_STATUS=MR","SCALING_FORMAT=MLN","Sort=A","Dates=H","DateFormat=P","Fill=—","Direction=H","UseDPDF=Y")</f>
        <v>—</v>
      </c>
      <c r="O55" s="17" t="str">
        <f>_xll.BDH("WMT US Equity","BS_LT_OPERATING_LEASE_LIABS","FQ3 2019","FQ3 2019","Currency=USD","Period=FQ","BEST_FPERIOD_OVERRIDE=FQ","FILING_STATUS=MR","SCALING_FORMAT=MLN","Sort=A","Dates=H","DateFormat=P","Fill=—","Direction=H","UseDPDF=Y")</f>
        <v>—</v>
      </c>
      <c r="P55" s="17" t="str">
        <f>_xll.BDH("WMT US Equity","BS_LT_OPERATING_LEASE_LIABS","FQ4 2019","FQ4 2019","Currency=USD","Period=FQ","BEST_FPERIOD_OVERRIDE=FQ","FILING_STATUS=MR","SCALING_FORMAT=MLN","Sort=A","Dates=H","DateFormat=P","Fill=—","Direction=H","UseDPDF=Y")</f>
        <v>—</v>
      </c>
      <c r="Q55" s="17">
        <f>_xll.BDH("WMT US Equity","BS_LT_OPERATING_LEASE_LIABS","FQ1 2020","FQ1 2020","Currency=USD","Period=FQ","BEST_FPERIOD_OVERRIDE=FQ","FILING_STATUS=MR","SCALING_FORMAT=MLN","Sort=A","Dates=H","DateFormat=P","Fill=—","Direction=H","UseDPDF=Y")</f>
        <v>15719</v>
      </c>
      <c r="R55" s="17">
        <f>_xll.BDH("WMT US Equity","BS_LT_OPERATING_LEASE_LIABS","FQ2 2020","FQ2 2020","Currency=USD","Period=FQ","BEST_FPERIOD_OVERRIDE=FQ","FILING_STATUS=MR","SCALING_FORMAT=MLN","Sort=A","Dates=H","DateFormat=P","Fill=—","Direction=H","UseDPDF=Y")</f>
        <v>16079</v>
      </c>
      <c r="S55" s="17">
        <f>_xll.BDH("WMT US Equity","BS_LT_OPERATING_LEASE_LIABS","FQ3 2020","FQ3 2020","Currency=USD","Period=FQ","BEST_FPERIOD_OVERRIDE=FQ","FILING_STATUS=MR","SCALING_FORMAT=MLN","Sort=A","Dates=H","DateFormat=P","Fill=—","Direction=H","UseDPDF=Y")</f>
        <v>15741</v>
      </c>
      <c r="T55" s="17">
        <f>_xll.BDH("WMT US Equity","BS_LT_OPERATING_LEASE_LIABS","FQ4 2020","FQ4 2020","Currency=USD","Period=FQ","BEST_FPERIOD_OVERRIDE=FQ","FILING_STATUS=MR","SCALING_FORMAT=MLN","Sort=A","Dates=H","DateFormat=P","Fill=—","Direction=H","UseDPDF=Y")</f>
        <v>16171</v>
      </c>
      <c r="U55" s="17">
        <f>_xll.BDH("WMT US Equity","BS_LT_OPERATING_LEASE_LIABS","FQ1 2021","FQ1 2021","Currency=USD","Period=FQ","BEST_FPERIOD_OVERRIDE=FQ","FILING_STATUS=MR","SCALING_FORMAT=MLN","Sort=A","Dates=H","DateFormat=P","Fill=—","Direction=H","UseDPDF=Y")</f>
        <v>15669</v>
      </c>
      <c r="V55" s="17">
        <f>_xll.BDH("WMT US Equity","BS_LT_OPERATING_LEASE_LIABS","FQ2 2021","FQ2 2021","Currency=USD","Period=FQ","BEST_FPERIOD_OVERRIDE=FQ","FILING_STATUS=MR","SCALING_FORMAT=MLN","Sort=A","Dates=H","DateFormat=P","Fill=—","Direction=H","UseDPDF=Y")</f>
        <v>15669</v>
      </c>
      <c r="W55" s="17">
        <f>_xll.BDH("WMT US Equity","BS_LT_OPERATING_LEASE_LIABS","FQ3 2021","FQ3 2021","Currency=USD","Period=FQ","BEST_FPERIOD_OVERRIDE=FQ","FILING_STATUS=MR","SCALING_FORMAT=MLN","Sort=A","Dates=H","DateFormat=P","Fill=—","Direction=H","UseDPDF=Y")</f>
        <v>15982</v>
      </c>
      <c r="X55" s="17">
        <f>_xll.BDH("WMT US Equity","BS_LT_OPERATING_LEASE_LIABS","FQ4 2021","FQ4 2021","Currency=USD","Period=FQ","BEST_FPERIOD_OVERRIDE=FQ","FILING_STATUS=MR","SCALING_FORMAT=MLN","Sort=A","Dates=H","DateFormat=P","Fill=—","Direction=H","UseDPDF=Y")</f>
        <v>12909</v>
      </c>
      <c r="Y55" s="17">
        <f>_xll.BDH("WMT US Equity","BS_LT_OPERATING_LEASE_LIABS","FQ1 2022","FQ1 2022","Currency=USD","Period=FQ","BEST_FPERIOD_OVERRIDE=FQ","FILING_STATUS=MR","SCALING_FORMAT=MLN","Sort=A","Dates=H","DateFormat=P","Fill=—","Direction=H","UseDPDF=Y")</f>
        <v>12930</v>
      </c>
      <c r="Z55" s="17">
        <f>_xll.BDH("WMT US Equity","BS_LT_OPERATING_LEASE_LIABS","FQ2 2022","FQ2 2022","Currency=USD","Period=FQ","BEST_FPERIOD_OVERRIDE=FQ","FILING_STATUS=MR","SCALING_FORMAT=MLN","Sort=A","Dates=H","DateFormat=P","Fill=—","Direction=H","UseDPDF=Y")</f>
        <v>13116</v>
      </c>
      <c r="AA55" s="17">
        <f>_xll.BDH("WMT US Equity","BS_LT_OPERATING_LEASE_LIABS","FQ3 2022","FQ3 2022","Currency=USD","Period=FQ","BEST_FPERIOD_OVERRIDE=FQ","FILING_STATUS=MR","SCALING_FORMAT=MLN","Sort=A","Dates=H","DateFormat=P","Fill=—","Direction=H","UseDPDF=Y")</f>
        <v>13095</v>
      </c>
      <c r="AB55" s="17">
        <f>_xll.BDH("WMT US Equity","BS_LT_OPERATING_LEASE_LIABS","FQ4 2022","FQ4 2022","Currency=USD","Period=FQ","BEST_FPERIOD_OVERRIDE=FQ","FILING_STATUS=MR","SCALING_FORMAT=MLN","Sort=A","Dates=H","DateFormat=P","Fill=—","Direction=H","UseDPDF=Y")</f>
        <v>13009</v>
      </c>
      <c r="AC55" s="17">
        <f>_xll.BDH("WMT US Equity","BS_LT_OPERATING_LEASE_LIABS","FQ1 2023","FQ1 2023","Currency=USD","Period=FQ","BEST_FPERIOD_OVERRIDE=FQ","FILING_STATUS=MR","SCALING_FORMAT=MLN","Sort=A","Dates=H","DateFormat=P","Fill=—","Direction=H","UseDPDF=Y")</f>
        <v>13226</v>
      </c>
      <c r="AD55" s="17">
        <f>_xll.BDH("WMT US Equity","BS_LT_OPERATING_LEASE_LIABS","FQ2 2023","FQ2 2023","Currency=USD","Period=FQ","BEST_FPERIOD_OVERRIDE=FQ","FILING_STATUS=MR","SCALING_FORMAT=MLN","Sort=A","Dates=H","DateFormat=P","Fill=—","Direction=H","UseDPDF=Y")</f>
        <v>13140</v>
      </c>
      <c r="AE55" s="17">
        <f>_xll.BDH("WMT US Equity","BS_LT_OPERATING_LEASE_LIABS","FQ3 2023","FQ3 2023","Currency=USD","Period=FQ","BEST_FPERIOD_OVERRIDE=FQ","FILING_STATUS=MR","SCALING_FORMAT=MLN","Sort=A","Dates=H","DateFormat=P","Fill=—","Direction=H","UseDPDF=Y")</f>
        <v>12658</v>
      </c>
      <c r="AF55" s="17">
        <f>_xll.BDH("WMT US Equity","BS_LT_OPERATING_LEASE_LIABS","FQ4 2023","FQ4 2023","Currency=USD","Period=FQ","BEST_FPERIOD_OVERRIDE=FQ","FILING_STATUS=MR","SCALING_FORMAT=MLN","Sort=A","Dates=H","DateFormat=P","Fill=—","Direction=H","UseDPDF=Y")</f>
        <v>12828</v>
      </c>
      <c r="AG55" s="17">
        <f>_xll.BDH("WMT US Equity","BS_LT_OPERATING_LEASE_LIABS","FQ1 2024","FQ1 2024","Currency=USD","Period=FQ","BEST_FPERIOD_OVERRIDE=FQ","FILING_STATUS=MR","SCALING_FORMAT=MLN","Sort=A","Dates=H","DateFormat=P","Fill=—","Direction=H","UseDPDF=Y")</f>
        <v>12925</v>
      </c>
      <c r="AH55" s="17">
        <f>_xll.BDH("WMT US Equity","BS_LT_OPERATING_LEASE_LIABS","FQ2 2024","FQ2 2024","Currency=USD","Period=FQ","BEST_FPERIOD_OVERRIDE=FQ","FILING_STATUS=MR","SCALING_FORMAT=MLN","Sort=A","Dates=H","DateFormat=P","Fill=—","Direction=H","UseDPDF=Y")</f>
        <v>12978</v>
      </c>
      <c r="AI55" s="17">
        <f>_xll.BDH("WMT US Equity","BS_LT_OPERATING_LEASE_LIABS","FQ3 2024","FQ3 2024","Currency=USD","Period=FQ","BEST_FPERIOD_OVERRIDE=FQ","FILING_STATUS=MR","SCALING_FORMAT=MLN","Sort=A","Dates=H","DateFormat=P","Fill=—","Direction=H","UseDPDF=Y")</f>
        <v>12817</v>
      </c>
      <c r="AJ55" s="17">
        <f>_xll.BDH("WMT US Equity","BS_LT_OPERATING_LEASE_LIABS","FQ4 2024","FQ4 2024","Currency=USD","Period=FQ","BEST_FPERIOD_OVERRIDE=FQ","FILING_STATUS=MR","SCALING_FORMAT=MLN","Sort=A","Dates=H","DateFormat=P","Fill=—","Direction=H","UseDPDF=Y")</f>
        <v>12943</v>
      </c>
      <c r="AK55" s="17">
        <f>_xll.BDH("WMT US Equity","BS_LT_OPERATING_LEASE_LIABS","FQ1 2025","FQ1 2025","Currency=USD","Period=FQ","BEST_FPERIOD_OVERRIDE=FQ","FILING_STATUS=MR","SCALING_FORMAT=MLN","Sort=A","Dates=H","DateFormat=P","Fill=—","Direction=H","UseDPDF=Y")</f>
        <v>12840</v>
      </c>
      <c r="AL55" s="17">
        <f>_xll.BDH("WMT US Equity","BS_LT_OPERATING_LEASE_LIABS","FQ2 2025","FQ2 2025","Currency=USD","Period=FQ","BEST_FPERIOD_OVERRIDE=FQ","FILING_STATUS=MR","SCALING_FORMAT=MLN","Sort=A","Dates=H","DateFormat=P","Fill=—","Direction=H","UseDPDF=Y")</f>
        <v>12811</v>
      </c>
      <c r="AM55" s="17">
        <f>_xll.BDH("WMT US Equity","BS_LT_OPERATING_LEASE_LIABS","FQ3 2025","FQ3 2025","Currency=USD","Period=FQ","BEST_FPERIOD_OVERRIDE=FQ","FILING_STATUS=MR","SCALING_FORMAT=MLN","Sort=A","Dates=H","DateFormat=P","Fill=—","Direction=H","UseDPDF=Y")</f>
        <v>12927</v>
      </c>
      <c r="AN55" s="17">
        <f>_xll.BDH("WMT US Equity","BS_LT_OPERATING_LEASE_LIABS","FQ4 2025","FQ4 2025","Currency=USD","Period=FQ","BEST_FPERIOD_OVERRIDE=FQ","FILING_STATUS=MR","SCALING_FORMAT=MLN","Sort=A","Dates=H","DateFormat=P","Fill=—","Direction=H","UseDPDF=Y")</f>
        <v>12825</v>
      </c>
      <c r="AO55" s="17">
        <f>_xll.BDH("WMT US Equity","BS_LT_OPERATING_LEASE_LIABS","FQ1 2026","FQ1 2026","Currency=USD","Period=FQ","BEST_FPERIOD_OVERRIDE=FQ","FILING_STATUS=MR","SCALING_FORMAT=MLN","Sort=A","Dates=H","DateFormat=P","Fill=—","Direction=H","UseDPDF=Y")</f>
        <v>12797</v>
      </c>
      <c r="AP55" s="17">
        <f>_xll.BDH("WMT US Equity","BS_LT_OPERATING_LEASE_LIABS","FQ2 2026","FQ2 2026","Currency=USD","Period=FQ","BEST_FPERIOD_OVERRIDE=FQ","FILING_STATUS=MR","SCALING_FORMAT=MLN","Sort=A","Dates=H","DateFormat=P","Fill=—","Direction=H","UseDPDF=Y")</f>
        <v>13171</v>
      </c>
    </row>
    <row r="56" spans="1:42" x14ac:dyDescent="0.3">
      <c r="A56" s="10" t="s">
        <v>230</v>
      </c>
      <c r="B56" s="10" t="s">
        <v>136</v>
      </c>
      <c r="C56" s="13">
        <f>_xll.BDH("WMT US Equity","OTHER_NONCUR_LIABS_SUB_DETAILED","FQ3 2016","FQ3 2016","Currency=USD","Period=FQ","BEST_FPERIOD_OVERRIDE=FQ","FILING_STATUS=MR","SCALING_FORMAT=MLN","Sort=A","Dates=H","DateFormat=P","Fill=—","Direction=H","UseDPDF=Y")</f>
        <v>11764</v>
      </c>
      <c r="D56" s="13">
        <f>_xll.BDH("WMT US Equity","OTHER_NONCUR_LIABS_SUB_DETAILED","FQ4 2016","FQ4 2016","Currency=USD","Period=FQ","BEST_FPERIOD_OVERRIDE=FQ","FILING_STATUS=MR","SCALING_FORMAT=MLN","Sort=A","Dates=H","DateFormat=P","Fill=—","Direction=H","UseDPDF=Y")</f>
        <v>10965</v>
      </c>
      <c r="E56" s="13">
        <f>_xll.BDH("WMT US Equity","OTHER_NONCUR_LIABS_SUB_DETAILED","FQ1 2017","FQ1 2017","Currency=USD","Period=FQ","BEST_FPERIOD_OVERRIDE=FQ","FILING_STATUS=MR","SCALING_FORMAT=MLN","Sort=A","Dates=H","DateFormat=P","Fill=—","Direction=H","UseDPDF=Y")</f>
        <v>11019</v>
      </c>
      <c r="F56" s="13">
        <f>_xll.BDH("WMT US Equity","OTHER_NONCUR_LIABS_SUB_DETAILED","FQ2 2017","FQ2 2017","Currency=USD","Period=FQ","BEST_FPERIOD_OVERRIDE=FQ","FILING_STATUS=MR","SCALING_FORMAT=MLN","Sort=A","Dates=H","DateFormat=P","Fill=—","Direction=H","UseDPDF=Y")</f>
        <v>11282</v>
      </c>
      <c r="G56" s="13">
        <f>_xll.BDH("WMT US Equity","OTHER_NONCUR_LIABS_SUB_DETAILED","FQ3 2017","FQ3 2017","Currency=USD","Period=FQ","BEST_FPERIOD_OVERRIDE=FQ","FILING_STATUS=MR","SCALING_FORMAT=MLN","Sort=A","Dates=H","DateFormat=P","Fill=—","Direction=H","UseDPDF=Y")</f>
        <v>13286</v>
      </c>
      <c r="H56" s="13">
        <f>_xll.BDH("WMT US Equity","OTHER_NONCUR_LIABS_SUB_DETAILED","FQ4 2017","FQ4 2017","Currency=USD","Period=FQ","BEST_FPERIOD_OVERRIDE=FQ","FILING_STATUS=MR","SCALING_FORMAT=MLN","Sort=A","Dates=H","DateFormat=P","Fill=—","Direction=H","UseDPDF=Y")</f>
        <v>12553</v>
      </c>
      <c r="I56" s="13">
        <f>_xll.BDH("WMT US Equity","OTHER_NONCUR_LIABS_SUB_DETAILED","FQ1 2018","FQ1 2018","Currency=USD","Period=FQ","BEST_FPERIOD_OVERRIDE=FQ","FILING_STATUS=MR","SCALING_FORMAT=MLN","Sort=A","Dates=H","DateFormat=P","Fill=—","Direction=H","UseDPDF=Y")</f>
        <v>12714</v>
      </c>
      <c r="J56" s="13">
        <f>_xll.BDH("WMT US Equity","OTHER_NONCUR_LIABS_SUB_DETAILED","FQ2 2018","FQ2 2018","Currency=USD","Period=FQ","BEST_FPERIOD_OVERRIDE=FQ","FILING_STATUS=MR","SCALING_FORMAT=MLN","Sort=A","Dates=H","DateFormat=P","Fill=—","Direction=H","UseDPDF=Y")</f>
        <v>13684</v>
      </c>
      <c r="K56" s="13">
        <f>_xll.BDH("WMT US Equity","OTHER_NONCUR_LIABS_SUB_DETAILED","FQ3 2018","FQ3 2018","Currency=USD","Period=FQ","BEST_FPERIOD_OVERRIDE=FQ","FILING_STATUS=MR","SCALING_FORMAT=MLN","Sort=A","Dates=H","DateFormat=P","Fill=—","Direction=H","UseDPDF=Y")</f>
        <v>13590</v>
      </c>
      <c r="L56" s="13">
        <f>_xll.BDH("WMT US Equity","OTHER_NONCUR_LIABS_SUB_DETAILED","FQ4 2018","FQ4 2018","Currency=USD","Period=FQ","BEST_FPERIOD_OVERRIDE=FQ","FILING_STATUS=MR","SCALING_FORMAT=MLN","Sort=A","Dates=H","DateFormat=P","Fill=—","Direction=H","UseDPDF=Y")</f>
        <v>12395</v>
      </c>
      <c r="M56" s="13">
        <f>_xll.BDH("WMT US Equity","OTHER_NONCUR_LIABS_SUB_DETAILED","FQ1 2019","FQ1 2019","Currency=USD","Period=FQ","BEST_FPERIOD_OVERRIDE=FQ","FILING_STATUS=MR","SCALING_FORMAT=MLN","Sort=A","Dates=H","DateFormat=P","Fill=—","Direction=H","UseDPDF=Y")</f>
        <v>13516</v>
      </c>
      <c r="N56" s="13">
        <f>_xll.BDH("WMT US Equity","OTHER_NONCUR_LIABS_SUB_DETAILED","FQ2 2019","FQ2 2019","Currency=USD","Period=FQ","BEST_FPERIOD_OVERRIDE=FQ","FILING_STATUS=MR","SCALING_FORMAT=MLN","Sort=A","Dates=H","DateFormat=P","Fill=—","Direction=H","UseDPDF=Y")</f>
        <v>12835</v>
      </c>
      <c r="O56" s="13">
        <f>_xll.BDH("WMT US Equity","OTHER_NONCUR_LIABS_SUB_DETAILED","FQ3 2019","FQ3 2019","Currency=USD","Period=FQ","BEST_FPERIOD_OVERRIDE=FQ","FILING_STATUS=MR","SCALING_FORMAT=MLN","Sort=A","Dates=H","DateFormat=P","Fill=—","Direction=H","UseDPDF=Y")</f>
        <v>15202</v>
      </c>
      <c r="P56" s="13">
        <f>_xll.BDH("WMT US Equity","OTHER_NONCUR_LIABS_SUB_DETAILED","FQ4 2019","FQ4 2019","Currency=USD","Period=FQ","BEST_FPERIOD_OVERRIDE=FQ","FILING_STATUS=MR","SCALING_FORMAT=MLN","Sort=A","Dates=H","DateFormat=P","Fill=—","Direction=H","UseDPDF=Y")</f>
        <v>15844</v>
      </c>
      <c r="Q56" s="13">
        <f>_xll.BDH("WMT US Equity","OTHER_NONCUR_LIABS_SUB_DETAILED","FQ1 2020","FQ1 2020","Currency=USD","Period=FQ","BEST_FPERIOD_OVERRIDE=FQ","FILING_STATUS=MR","SCALING_FORMAT=MLN","Sort=A","Dates=H","DateFormat=P","Fill=—","Direction=H","UseDPDF=Y")</f>
        <v>16586</v>
      </c>
      <c r="R56" s="13">
        <f>_xll.BDH("WMT US Equity","OTHER_NONCUR_LIABS_SUB_DETAILED","FQ2 2020","FQ2 2020","Currency=USD","Period=FQ","BEST_FPERIOD_OVERRIDE=FQ","FILING_STATUS=MR","SCALING_FORMAT=MLN","Sort=A","Dates=H","DateFormat=P","Fill=—","Direction=H","UseDPDF=Y")</f>
        <v>16756</v>
      </c>
      <c r="S56" s="13">
        <f>_xll.BDH("WMT US Equity","OTHER_NONCUR_LIABS_SUB_DETAILED","FQ3 2020","FQ3 2020","Currency=USD","Period=FQ","BEST_FPERIOD_OVERRIDE=FQ","FILING_STATUS=MR","SCALING_FORMAT=MLN","Sort=A","Dates=H","DateFormat=P","Fill=—","Direction=H","UseDPDF=Y")</f>
        <v>16848</v>
      </c>
      <c r="T56" s="13">
        <f>_xll.BDH("WMT US Equity","OTHER_NONCUR_LIABS_SUB_DETAILED","FQ4 2020","FQ4 2020","Currency=USD","Period=FQ","BEST_FPERIOD_OVERRIDE=FQ","FILING_STATUS=MR","SCALING_FORMAT=MLN","Sort=A","Dates=H","DateFormat=P","Fill=—","Direction=H","UseDPDF=Y")</f>
        <v>12961</v>
      </c>
      <c r="U56" s="13">
        <f>_xll.BDH("WMT US Equity","OTHER_NONCUR_LIABS_SUB_DETAILED","FQ1 2021","FQ1 2021","Currency=USD","Period=FQ","BEST_FPERIOD_OVERRIDE=FQ","FILING_STATUS=MR","SCALING_FORMAT=MLN","Sort=A","Dates=H","DateFormat=P","Fill=—","Direction=H","UseDPDF=Y")</f>
        <v>12986</v>
      </c>
      <c r="V56" s="13">
        <f>_xll.BDH("WMT US Equity","OTHER_NONCUR_LIABS_SUB_DETAILED","FQ2 2021","FQ2 2021","Currency=USD","Period=FQ","BEST_FPERIOD_OVERRIDE=FQ","FILING_STATUS=MR","SCALING_FORMAT=MLN","Sort=A","Dates=H","DateFormat=P","Fill=—","Direction=H","UseDPDF=Y")</f>
        <v>12927</v>
      </c>
      <c r="W56" s="13">
        <f>_xll.BDH("WMT US Equity","OTHER_NONCUR_LIABS_SUB_DETAILED","FQ3 2021","FQ3 2021","Currency=USD","Period=FQ","BEST_FPERIOD_OVERRIDE=FQ","FILING_STATUS=MR","SCALING_FORMAT=MLN","Sort=A","Dates=H","DateFormat=P","Fill=—","Direction=H","UseDPDF=Y")</f>
        <v>13657</v>
      </c>
      <c r="X56" s="13">
        <f>_xll.BDH("WMT US Equity","OTHER_NONCUR_LIABS_SUB_DETAILED","FQ4 2021","FQ4 2021","Currency=USD","Period=FQ","BEST_FPERIOD_OVERRIDE=FQ","FILING_STATUS=MR","SCALING_FORMAT=MLN","Sort=A","Dates=H","DateFormat=P","Fill=—","Direction=H","UseDPDF=Y")</f>
        <v>14370</v>
      </c>
      <c r="Y56" s="13">
        <f>_xll.BDH("WMT US Equity","OTHER_NONCUR_LIABS_SUB_DETAILED","FQ1 2022","FQ1 2022","Currency=USD","Period=FQ","BEST_FPERIOD_OVERRIDE=FQ","FILING_STATUS=MR","SCALING_FORMAT=MLN","Sort=A","Dates=H","DateFormat=P","Fill=—","Direction=H","UseDPDF=Y")</f>
        <v>14143</v>
      </c>
      <c r="Z56" s="13">
        <f>_xll.BDH("WMT US Equity","OTHER_NONCUR_LIABS_SUB_DETAILED","FQ2 2022","FQ2 2022","Currency=USD","Period=FQ","BEST_FPERIOD_OVERRIDE=FQ","FILING_STATUS=MR","SCALING_FORMAT=MLN","Sort=A","Dates=H","DateFormat=P","Fill=—","Direction=H","UseDPDF=Y")</f>
        <v>13654</v>
      </c>
      <c r="AA56" s="13">
        <f>_xll.BDH("WMT US Equity","OTHER_NONCUR_LIABS_SUB_DETAILED","FQ3 2022","FQ3 2022","Currency=USD","Period=FQ","BEST_FPERIOD_OVERRIDE=FQ","FILING_STATUS=MR","SCALING_FORMAT=MLN","Sort=A","Dates=H","DateFormat=P","Fill=—","Direction=H","UseDPDF=Y")</f>
        <v>12893</v>
      </c>
      <c r="AB56" s="13">
        <f>_xll.BDH("WMT US Equity","OTHER_NONCUR_LIABS_SUB_DETAILED","FQ4 2022","FQ4 2022","Currency=USD","Period=FQ","BEST_FPERIOD_OVERRIDE=FQ","FILING_STATUS=MR","SCALING_FORMAT=MLN","Sort=A","Dates=H","DateFormat=P","Fill=—","Direction=H","UseDPDF=Y")</f>
        <v>13474</v>
      </c>
      <c r="AC56" s="13">
        <f>_xll.BDH("WMT US Equity","OTHER_NONCUR_LIABS_SUB_DETAILED","FQ1 2023","FQ1 2023","Currency=USD","Period=FQ","BEST_FPERIOD_OVERRIDE=FQ","FILING_STATUS=MR","SCALING_FORMAT=MLN","Sort=A","Dates=H","DateFormat=P","Fill=—","Direction=H","UseDPDF=Y")</f>
        <v>13943</v>
      </c>
      <c r="AD56" s="13">
        <f>_xll.BDH("WMT US Equity","OTHER_NONCUR_LIABS_SUB_DETAILED","FQ2 2023","FQ2 2023","Currency=USD","Period=FQ","BEST_FPERIOD_OVERRIDE=FQ","FILING_STATUS=MR","SCALING_FORMAT=MLN","Sort=A","Dates=H","DateFormat=P","Fill=—","Direction=H","UseDPDF=Y")</f>
        <v>14092</v>
      </c>
      <c r="AE56" s="13">
        <f>_xll.BDH("WMT US Equity","OTHER_NONCUR_LIABS_SUB_DETAILED","FQ3 2023","FQ3 2023","Currency=USD","Period=FQ","BEST_FPERIOD_OVERRIDE=FQ","FILING_STATUS=MR","SCALING_FORMAT=MLN","Sort=A","Dates=H","DateFormat=P","Fill=—","Direction=H","UseDPDF=Y")</f>
        <v>14760</v>
      </c>
      <c r="AF56" s="13">
        <f>_xll.BDH("WMT US Equity","OTHER_NONCUR_LIABS_SUB_DETAILED","FQ4 2023","FQ4 2023","Currency=USD","Period=FQ","BEST_FPERIOD_OVERRIDE=FQ","FILING_STATUS=MR","SCALING_FORMAT=MLN","Sort=A","Dates=H","DateFormat=P","Fill=—","Direction=H","UseDPDF=Y")</f>
        <v>14688</v>
      </c>
      <c r="AG56" s="13">
        <f>_xll.BDH("WMT US Equity","OTHER_NONCUR_LIABS_SUB_DETAILED","FQ1 2024","FQ1 2024","Currency=USD","Period=FQ","BEST_FPERIOD_OVERRIDE=FQ","FILING_STATUS=MR","SCALING_FORMAT=MLN","Sort=A","Dates=H","DateFormat=P","Fill=—","Direction=H","UseDPDF=Y")</f>
        <v>13999</v>
      </c>
      <c r="AH56" s="13">
        <f>_xll.BDH("WMT US Equity","OTHER_NONCUR_LIABS_SUB_DETAILED","FQ2 2024","FQ2 2024","Currency=USD","Period=FQ","BEST_FPERIOD_OVERRIDE=FQ","FILING_STATUS=MR","SCALING_FORMAT=MLN","Sort=A","Dates=H","DateFormat=P","Fill=—","Direction=H","UseDPDF=Y")</f>
        <v>15109</v>
      </c>
      <c r="AI56" s="13">
        <f>_xll.BDH("WMT US Equity","OTHER_NONCUR_LIABS_SUB_DETAILED","FQ3 2024","FQ3 2024","Currency=USD","Period=FQ","BEST_FPERIOD_OVERRIDE=FQ","FILING_STATUS=MR","SCALING_FORMAT=MLN","Sort=A","Dates=H","DateFormat=P","Fill=—","Direction=H","UseDPDF=Y")</f>
        <v>14304</v>
      </c>
      <c r="AJ56" s="13">
        <f>_xll.BDH("WMT US Equity","OTHER_NONCUR_LIABS_SUB_DETAILED","FQ4 2024","FQ4 2024","Currency=USD","Period=FQ","BEST_FPERIOD_OVERRIDE=FQ","FILING_STATUS=MR","SCALING_FORMAT=MLN","Sort=A","Dates=H","DateFormat=P","Fill=—","Direction=H","UseDPDF=Y")</f>
        <v>14629</v>
      </c>
      <c r="AK56" s="13">
        <f>_xll.BDH("WMT US Equity","OTHER_NONCUR_LIABS_SUB_DETAILED","FQ1 2025","FQ1 2025","Currency=USD","Period=FQ","BEST_FPERIOD_OVERRIDE=FQ","FILING_STATUS=MR","SCALING_FORMAT=MLN","Sort=A","Dates=H","DateFormat=P","Fill=—","Direction=H","UseDPDF=Y")</f>
        <v>14849</v>
      </c>
      <c r="AL56" s="13">
        <f>_xll.BDH("WMT US Equity","OTHER_NONCUR_LIABS_SUB_DETAILED","FQ2 2025","FQ2 2025","Currency=USD","Period=FQ","BEST_FPERIOD_OVERRIDE=FQ","FILING_STATUS=MR","SCALING_FORMAT=MLN","Sort=A","Dates=H","DateFormat=P","Fill=—","Direction=H","UseDPDF=Y")</f>
        <v>14072</v>
      </c>
      <c r="AM56" s="13">
        <f>_xll.BDH("WMT US Equity","OTHER_NONCUR_LIABS_SUB_DETAILED","FQ3 2025","FQ3 2025","Currency=USD","Period=FQ","BEST_FPERIOD_OVERRIDE=FQ","FILING_STATUS=MR","SCALING_FORMAT=MLN","Sort=A","Dates=H","DateFormat=P","Fill=—","Direction=H","UseDPDF=Y")</f>
        <v>13748</v>
      </c>
      <c r="AN56" s="13">
        <f>_xll.BDH("WMT US Equity","OTHER_NONCUR_LIABS_SUB_DETAILED","FQ4 2025","FQ4 2025","Currency=USD","Period=FQ","BEST_FPERIOD_OVERRIDE=FQ","FILING_STATUS=MR","SCALING_FORMAT=MLN","Sort=A","Dates=H","DateFormat=P","Fill=—","Direction=H","UseDPDF=Y")</f>
        <v>14398</v>
      </c>
      <c r="AO56" s="13">
        <f>_xll.BDH("WMT US Equity","OTHER_NONCUR_LIABS_SUB_DETAILED","FQ1 2026","FQ1 2026","Currency=USD","Period=FQ","BEST_FPERIOD_OVERRIDE=FQ","FILING_STATUS=MR","SCALING_FORMAT=MLN","Sort=A","Dates=H","DateFormat=P","Fill=—","Direction=H","UseDPDF=Y")</f>
        <v>13609</v>
      </c>
      <c r="AP56" s="13">
        <f>_xll.BDH("WMT US Equity","OTHER_NONCUR_LIABS_SUB_DETAILED","FQ2 2026","FQ2 2026","Currency=USD","Period=FQ","BEST_FPERIOD_OVERRIDE=FQ","FILING_STATUS=MR","SCALING_FORMAT=MLN","Sort=A","Dates=H","DateFormat=P","Fill=—","Direction=H","UseDPDF=Y")</f>
        <v>15656</v>
      </c>
    </row>
    <row r="57" spans="1:42" x14ac:dyDescent="0.3">
      <c r="A57" s="10" t="s">
        <v>231</v>
      </c>
      <c r="B57" s="10" t="s">
        <v>137</v>
      </c>
      <c r="C57" s="13" t="str">
        <f>_xll.BDH("WMT US Equity","BS_ACCRUED_LIABILITIES","FQ3 2016","FQ3 2016","Currency=USD","Period=FQ","BEST_FPERIOD_OVERRIDE=FQ","FILING_STATUS=MR","SCALING_FORMAT=MLN","Sort=A","Dates=H","DateFormat=P","Fill=—","Direction=H","UseDPDF=Y")</f>
        <v>—</v>
      </c>
      <c r="D57" s="13">
        <f>_xll.BDH("WMT US Equity","BS_ACCRUED_LIABILITIES","FQ4 2016","FQ4 2016","Currency=USD","Period=FQ","BEST_FPERIOD_OVERRIDE=FQ","FILING_STATUS=MR","SCALING_FORMAT=MLN","Sort=A","Dates=H","DateFormat=P","Fill=—","Direction=H","UseDPDF=Y")</f>
        <v>0</v>
      </c>
      <c r="E57" s="13" t="str">
        <f>_xll.BDH("WMT US Equity","BS_ACCRUED_LIABILITIES","FQ1 2017","FQ1 2017","Currency=USD","Period=FQ","BEST_FPERIOD_OVERRIDE=FQ","FILING_STATUS=MR","SCALING_FORMAT=MLN","Sort=A","Dates=H","DateFormat=P","Fill=—","Direction=H","UseDPDF=Y")</f>
        <v>—</v>
      </c>
      <c r="F57" s="13" t="str">
        <f>_xll.BDH("WMT US Equity","BS_ACCRUED_LIABILITIES","FQ2 2017","FQ2 2017","Currency=USD","Period=FQ","BEST_FPERIOD_OVERRIDE=FQ","FILING_STATUS=MR","SCALING_FORMAT=MLN","Sort=A","Dates=H","DateFormat=P","Fill=—","Direction=H","UseDPDF=Y")</f>
        <v>—</v>
      </c>
      <c r="G57" s="13" t="str">
        <f>_xll.BDH("WMT US Equity","BS_ACCRUED_LIABILITIES","FQ3 2017","FQ3 2017","Currency=USD","Period=FQ","BEST_FPERIOD_OVERRIDE=FQ","FILING_STATUS=MR","SCALING_FORMAT=MLN","Sort=A","Dates=H","DateFormat=P","Fill=—","Direction=H","UseDPDF=Y")</f>
        <v>—</v>
      </c>
      <c r="H57" s="13">
        <f>_xll.BDH("WMT US Equity","BS_ACCRUED_LIABILITIES","FQ4 2017","FQ4 2017","Currency=USD","Period=FQ","BEST_FPERIOD_OVERRIDE=FQ","FILING_STATUS=MR","SCALING_FORMAT=MLN","Sort=A","Dates=H","DateFormat=P","Fill=—","Direction=H","UseDPDF=Y")</f>
        <v>0</v>
      </c>
      <c r="I57" s="13" t="str">
        <f>_xll.BDH("WMT US Equity","BS_ACCRUED_LIABILITIES","FQ1 2018","FQ1 2018","Currency=USD","Period=FQ","BEST_FPERIOD_OVERRIDE=FQ","FILING_STATUS=MR","SCALING_FORMAT=MLN","Sort=A","Dates=H","DateFormat=P","Fill=—","Direction=H","UseDPDF=Y")</f>
        <v>—</v>
      </c>
      <c r="J57" s="13" t="str">
        <f>_xll.BDH("WMT US Equity","BS_ACCRUED_LIABILITIES","FQ2 2018","FQ2 2018","Currency=USD","Period=FQ","BEST_FPERIOD_OVERRIDE=FQ","FILING_STATUS=MR","SCALING_FORMAT=MLN","Sort=A","Dates=H","DateFormat=P","Fill=—","Direction=H","UseDPDF=Y")</f>
        <v>—</v>
      </c>
      <c r="K57" s="13" t="str">
        <f>_xll.BDH("WMT US Equity","BS_ACCRUED_LIABILITIES","FQ3 2018","FQ3 2018","Currency=USD","Period=FQ","BEST_FPERIOD_OVERRIDE=FQ","FILING_STATUS=MR","SCALING_FORMAT=MLN","Sort=A","Dates=H","DateFormat=P","Fill=—","Direction=H","UseDPDF=Y")</f>
        <v>—</v>
      </c>
      <c r="L57" s="13">
        <f>_xll.BDH("WMT US Equity","BS_ACCRUED_LIABILITIES","FQ4 2018","FQ4 2018","Currency=USD","Period=FQ","BEST_FPERIOD_OVERRIDE=FQ","FILING_STATUS=MR","SCALING_FORMAT=MLN","Sort=A","Dates=H","DateFormat=P","Fill=—","Direction=H","UseDPDF=Y")</f>
        <v>0</v>
      </c>
      <c r="M57" s="13" t="str">
        <f>_xll.BDH("WMT US Equity","BS_ACCRUED_LIABILITIES","FQ1 2019","FQ1 2019","Currency=USD","Period=FQ","BEST_FPERIOD_OVERRIDE=FQ","FILING_STATUS=MR","SCALING_FORMAT=MLN","Sort=A","Dates=H","DateFormat=P","Fill=—","Direction=H","UseDPDF=Y")</f>
        <v>—</v>
      </c>
      <c r="N57" s="13" t="str">
        <f>_xll.BDH("WMT US Equity","BS_ACCRUED_LIABILITIES","FQ2 2019","FQ2 2019","Currency=USD","Period=FQ","BEST_FPERIOD_OVERRIDE=FQ","FILING_STATUS=MR","SCALING_FORMAT=MLN","Sort=A","Dates=H","DateFormat=P","Fill=—","Direction=H","UseDPDF=Y")</f>
        <v>—</v>
      </c>
      <c r="O57" s="13" t="str">
        <f>_xll.BDH("WMT US Equity","BS_ACCRUED_LIABILITIES","FQ3 2019","FQ3 2019","Currency=USD","Period=FQ","BEST_FPERIOD_OVERRIDE=FQ","FILING_STATUS=MR","SCALING_FORMAT=MLN","Sort=A","Dates=H","DateFormat=P","Fill=—","Direction=H","UseDPDF=Y")</f>
        <v>—</v>
      </c>
      <c r="P57" s="13">
        <f>_xll.BDH("WMT US Equity","BS_ACCRUED_LIABILITIES","FQ4 2019","FQ4 2019","Currency=USD","Period=FQ","BEST_FPERIOD_OVERRIDE=FQ","FILING_STATUS=MR","SCALING_FORMAT=MLN","Sort=A","Dates=H","DateFormat=P","Fill=—","Direction=H","UseDPDF=Y")</f>
        <v>0</v>
      </c>
      <c r="Q57" s="13" t="str">
        <f>_xll.BDH("WMT US Equity","BS_ACCRUED_LIABILITIES","FQ1 2020","FQ1 2020","Currency=USD","Period=FQ","BEST_FPERIOD_OVERRIDE=FQ","FILING_STATUS=MR","SCALING_FORMAT=MLN","Sort=A","Dates=H","DateFormat=P","Fill=—","Direction=H","UseDPDF=Y")</f>
        <v>—</v>
      </c>
      <c r="R57" s="13" t="str">
        <f>_xll.BDH("WMT US Equity","BS_ACCRUED_LIABILITIES","FQ2 2020","FQ2 2020","Currency=USD","Period=FQ","BEST_FPERIOD_OVERRIDE=FQ","FILING_STATUS=MR","SCALING_FORMAT=MLN","Sort=A","Dates=H","DateFormat=P","Fill=—","Direction=H","UseDPDF=Y")</f>
        <v>—</v>
      </c>
      <c r="S57" s="13" t="str">
        <f>_xll.BDH("WMT US Equity","BS_ACCRUED_LIABILITIES","FQ3 2020","FQ3 2020","Currency=USD","Period=FQ","BEST_FPERIOD_OVERRIDE=FQ","FILING_STATUS=MR","SCALING_FORMAT=MLN","Sort=A","Dates=H","DateFormat=P","Fill=—","Direction=H","UseDPDF=Y")</f>
        <v>—</v>
      </c>
      <c r="T57" s="13" t="str">
        <f>_xll.BDH("WMT US Equity","BS_ACCRUED_LIABILITIES","FQ4 2020","FQ4 2020","Currency=USD","Period=FQ","BEST_FPERIOD_OVERRIDE=FQ","FILING_STATUS=MR","SCALING_FORMAT=MLN","Sort=A","Dates=H","DateFormat=P","Fill=—","Direction=H","UseDPDF=Y")</f>
        <v>—</v>
      </c>
      <c r="U57" s="13" t="str">
        <f>_xll.BDH("WMT US Equity","BS_ACCRUED_LIABILITIES","FQ1 2021","FQ1 2021","Currency=USD","Period=FQ","BEST_FPERIOD_OVERRIDE=FQ","FILING_STATUS=MR","SCALING_FORMAT=MLN","Sort=A","Dates=H","DateFormat=P","Fill=—","Direction=H","UseDPDF=Y")</f>
        <v>—</v>
      </c>
      <c r="V57" s="13" t="str">
        <f>_xll.BDH("WMT US Equity","BS_ACCRUED_LIABILITIES","FQ2 2021","FQ2 2021","Currency=USD","Period=FQ","BEST_FPERIOD_OVERRIDE=FQ","FILING_STATUS=MR","SCALING_FORMAT=MLN","Sort=A","Dates=H","DateFormat=P","Fill=—","Direction=H","UseDPDF=Y")</f>
        <v>—</v>
      </c>
      <c r="W57" s="13" t="str">
        <f>_xll.BDH("WMT US Equity","BS_ACCRUED_LIABILITIES","FQ3 2021","FQ3 2021","Currency=USD","Period=FQ","BEST_FPERIOD_OVERRIDE=FQ","FILING_STATUS=MR","SCALING_FORMAT=MLN","Sort=A","Dates=H","DateFormat=P","Fill=—","Direction=H","UseDPDF=Y")</f>
        <v>—</v>
      </c>
      <c r="X57" s="13">
        <f>_xll.BDH("WMT US Equity","BS_ACCRUED_LIABILITIES","FQ4 2021","FQ4 2021","Currency=USD","Period=FQ","BEST_FPERIOD_OVERRIDE=FQ","FILING_STATUS=MR","SCALING_FORMAT=MLN","Sort=A","Dates=H","DateFormat=P","Fill=—","Direction=H","UseDPDF=Y")</f>
        <v>0</v>
      </c>
      <c r="Y57" s="13" t="str">
        <f>_xll.BDH("WMT US Equity","BS_ACCRUED_LIABILITIES","FQ1 2022","FQ1 2022","Currency=USD","Period=FQ","BEST_FPERIOD_OVERRIDE=FQ","FILING_STATUS=MR","SCALING_FORMAT=MLN","Sort=A","Dates=H","DateFormat=P","Fill=—","Direction=H","UseDPDF=Y")</f>
        <v>—</v>
      </c>
      <c r="Z57" s="13">
        <f>_xll.BDH("WMT US Equity","BS_ACCRUED_LIABILITIES","FQ2 2022","FQ2 2022","Currency=USD","Period=FQ","BEST_FPERIOD_OVERRIDE=FQ","FILING_STATUS=MR","SCALING_FORMAT=MLN","Sort=A","Dates=H","DateFormat=P","Fill=—","Direction=H","UseDPDF=Y")</f>
        <v>0</v>
      </c>
      <c r="AA57" s="13">
        <f>_xll.BDH("WMT US Equity","BS_ACCRUED_LIABILITIES","FQ3 2022","FQ3 2022","Currency=USD","Period=FQ","BEST_FPERIOD_OVERRIDE=FQ","FILING_STATUS=MR","SCALING_FORMAT=MLN","Sort=A","Dates=H","DateFormat=P","Fill=—","Direction=H","UseDPDF=Y")</f>
        <v>0</v>
      </c>
      <c r="AB57" s="13">
        <f>_xll.BDH("WMT US Equity","BS_ACCRUED_LIABILITIES","FQ4 2022","FQ4 2022","Currency=USD","Period=FQ","BEST_FPERIOD_OVERRIDE=FQ","FILING_STATUS=MR","SCALING_FORMAT=MLN","Sort=A","Dates=H","DateFormat=P","Fill=—","Direction=H","UseDPDF=Y")</f>
        <v>0</v>
      </c>
      <c r="AC57" s="13">
        <f>_xll.BDH("WMT US Equity","BS_ACCRUED_LIABILITIES","FQ1 2023","FQ1 2023","Currency=USD","Period=FQ","BEST_FPERIOD_OVERRIDE=FQ","FILING_STATUS=MR","SCALING_FORMAT=MLN","Sort=A","Dates=H","DateFormat=P","Fill=—","Direction=H","UseDPDF=Y")</f>
        <v>0</v>
      </c>
      <c r="AD57" s="13">
        <f>_xll.BDH("WMT US Equity","BS_ACCRUED_LIABILITIES","FQ2 2023","FQ2 2023","Currency=USD","Period=FQ","BEST_FPERIOD_OVERRIDE=FQ","FILING_STATUS=MR","SCALING_FORMAT=MLN","Sort=A","Dates=H","DateFormat=P","Fill=—","Direction=H","UseDPDF=Y")</f>
        <v>0</v>
      </c>
      <c r="AE57" s="13">
        <f>_xll.BDH("WMT US Equity","BS_ACCRUED_LIABILITIES","FQ3 2023","FQ3 2023","Currency=USD","Period=FQ","BEST_FPERIOD_OVERRIDE=FQ","FILING_STATUS=MR","SCALING_FORMAT=MLN","Sort=A","Dates=H","DateFormat=P","Fill=—","Direction=H","UseDPDF=Y")</f>
        <v>0</v>
      </c>
      <c r="AF57" s="13">
        <f>_xll.BDH("WMT US Equity","BS_ACCRUED_LIABILITIES","FQ4 2023","FQ4 2023","Currency=USD","Period=FQ","BEST_FPERIOD_OVERRIDE=FQ","FILING_STATUS=MR","SCALING_FORMAT=MLN","Sort=A","Dates=H","DateFormat=P","Fill=—","Direction=H","UseDPDF=Y")</f>
        <v>0</v>
      </c>
      <c r="AG57" s="13" t="str">
        <f>_xll.BDH("WMT US Equity","BS_ACCRUED_LIABILITIES","FQ1 2024","FQ1 2024","Currency=USD","Period=FQ","BEST_FPERIOD_OVERRIDE=FQ","FILING_STATUS=MR","SCALING_FORMAT=MLN","Sort=A","Dates=H","DateFormat=P","Fill=—","Direction=H","UseDPDF=Y")</f>
        <v>—</v>
      </c>
      <c r="AH57" s="13" t="str">
        <f>_xll.BDH("WMT US Equity","BS_ACCRUED_LIABILITIES","FQ2 2024","FQ2 2024","Currency=USD","Period=FQ","BEST_FPERIOD_OVERRIDE=FQ","FILING_STATUS=MR","SCALING_FORMAT=MLN","Sort=A","Dates=H","DateFormat=P","Fill=—","Direction=H","UseDPDF=Y")</f>
        <v>—</v>
      </c>
      <c r="AI57" s="13" t="str">
        <f>_xll.BDH("WMT US Equity","BS_ACCRUED_LIABILITIES","FQ3 2024","FQ3 2024","Currency=USD","Period=FQ","BEST_FPERIOD_OVERRIDE=FQ","FILING_STATUS=MR","SCALING_FORMAT=MLN","Sort=A","Dates=H","DateFormat=P","Fill=—","Direction=H","UseDPDF=Y")</f>
        <v>—</v>
      </c>
      <c r="AJ57" s="13">
        <f>_xll.BDH("WMT US Equity","BS_ACCRUED_LIABILITIES","FQ4 2024","FQ4 2024","Currency=USD","Period=FQ","BEST_FPERIOD_OVERRIDE=FQ","FILING_STATUS=MR","SCALING_FORMAT=MLN","Sort=A","Dates=H","DateFormat=P","Fill=—","Direction=H","UseDPDF=Y")</f>
        <v>0</v>
      </c>
      <c r="AK57" s="13" t="str">
        <f>_xll.BDH("WMT US Equity","BS_ACCRUED_LIABILITIES","FQ1 2025","FQ1 2025","Currency=USD","Period=FQ","BEST_FPERIOD_OVERRIDE=FQ","FILING_STATUS=MR","SCALING_FORMAT=MLN","Sort=A","Dates=H","DateFormat=P","Fill=—","Direction=H","UseDPDF=Y")</f>
        <v>—</v>
      </c>
      <c r="AL57" s="13" t="str">
        <f>_xll.BDH("WMT US Equity","BS_ACCRUED_LIABILITIES","FQ2 2025","FQ2 2025","Currency=USD","Period=FQ","BEST_FPERIOD_OVERRIDE=FQ","FILING_STATUS=MR","SCALING_FORMAT=MLN","Sort=A","Dates=H","DateFormat=P","Fill=—","Direction=H","UseDPDF=Y")</f>
        <v>—</v>
      </c>
      <c r="AM57" s="13" t="str">
        <f>_xll.BDH("WMT US Equity","BS_ACCRUED_LIABILITIES","FQ3 2025","FQ3 2025","Currency=USD","Period=FQ","BEST_FPERIOD_OVERRIDE=FQ","FILING_STATUS=MR","SCALING_FORMAT=MLN","Sort=A","Dates=H","DateFormat=P","Fill=—","Direction=H","UseDPDF=Y")</f>
        <v>—</v>
      </c>
      <c r="AN57" s="13">
        <f>_xll.BDH("WMT US Equity","BS_ACCRUED_LIABILITIES","FQ4 2025","FQ4 2025","Currency=USD","Period=FQ","BEST_FPERIOD_OVERRIDE=FQ","FILING_STATUS=MR","SCALING_FORMAT=MLN","Sort=A","Dates=H","DateFormat=P","Fill=—","Direction=H","UseDPDF=Y")</f>
        <v>0</v>
      </c>
      <c r="AO57" s="13" t="str">
        <f>_xll.BDH("WMT US Equity","BS_ACCRUED_LIABILITIES","FQ1 2026","FQ1 2026","Currency=USD","Period=FQ","BEST_FPERIOD_OVERRIDE=FQ","FILING_STATUS=MR","SCALING_FORMAT=MLN","Sort=A","Dates=H","DateFormat=P","Fill=—","Direction=H","UseDPDF=Y")</f>
        <v>—</v>
      </c>
      <c r="AP57" s="13" t="str">
        <f>_xll.BDH("WMT US Equity","BS_ACCRUED_LIABILITIES","FQ2 2026","FQ2 2026","Currency=USD","Period=FQ","BEST_FPERIOD_OVERRIDE=FQ","FILING_STATUS=MR","SCALING_FORMAT=MLN","Sort=A","Dates=H","DateFormat=P","Fill=—","Direction=H","UseDPDF=Y")</f>
        <v>—</v>
      </c>
    </row>
    <row r="58" spans="1:42" x14ac:dyDescent="0.3">
      <c r="A58" s="10" t="s">
        <v>232</v>
      </c>
      <c r="B58" s="10" t="s">
        <v>138</v>
      </c>
      <c r="C58" s="13" t="str">
        <f>_xll.BDH("WMT US Equity","PENSION_LIABILITIES","FQ3 2016","FQ3 2016","Currency=USD","Period=FQ","BEST_FPERIOD_OVERRIDE=FQ","FILING_STATUS=MR","SCALING_FORMAT=MLN","Sort=A","Dates=H","DateFormat=P","Fill=—","Direction=H","UseDPDF=Y")</f>
        <v>—</v>
      </c>
      <c r="D58" s="13" t="str">
        <f>_xll.BDH("WMT US Equity","PENSION_LIABILITIES","FQ4 2016","FQ4 2016","Currency=USD","Period=FQ","BEST_FPERIOD_OVERRIDE=FQ","FILING_STATUS=MR","SCALING_FORMAT=MLN","Sort=A","Dates=H","DateFormat=P","Fill=—","Direction=H","UseDPDF=Y")</f>
        <v>—</v>
      </c>
      <c r="E58" s="13" t="str">
        <f>_xll.BDH("WMT US Equity","PENSION_LIABILITIES","FQ1 2017","FQ1 2017","Currency=USD","Period=FQ","BEST_FPERIOD_OVERRIDE=FQ","FILING_STATUS=MR","SCALING_FORMAT=MLN","Sort=A","Dates=H","DateFormat=P","Fill=—","Direction=H","UseDPDF=Y")</f>
        <v>—</v>
      </c>
      <c r="F58" s="13" t="str">
        <f>_xll.BDH("WMT US Equity","PENSION_LIABILITIES","FQ2 2017","FQ2 2017","Currency=USD","Period=FQ","BEST_FPERIOD_OVERRIDE=FQ","FILING_STATUS=MR","SCALING_FORMAT=MLN","Sort=A","Dates=H","DateFormat=P","Fill=—","Direction=H","UseDPDF=Y")</f>
        <v>—</v>
      </c>
      <c r="G58" s="13" t="str">
        <f>_xll.BDH("WMT US Equity","PENSION_LIABILITIES","FQ3 2017","FQ3 2017","Currency=USD","Period=FQ","BEST_FPERIOD_OVERRIDE=FQ","FILING_STATUS=MR","SCALING_FORMAT=MLN","Sort=A","Dates=H","DateFormat=P","Fill=—","Direction=H","UseDPDF=Y")</f>
        <v>—</v>
      </c>
      <c r="H58" s="13" t="str">
        <f>_xll.BDH("WMT US Equity","PENSION_LIABILITIES","FQ4 2017","FQ4 2017","Currency=USD","Period=FQ","BEST_FPERIOD_OVERRIDE=FQ","FILING_STATUS=MR","SCALING_FORMAT=MLN","Sort=A","Dates=H","DateFormat=P","Fill=—","Direction=H","UseDPDF=Y")</f>
        <v>—</v>
      </c>
      <c r="I58" s="13" t="str">
        <f>_xll.BDH("WMT US Equity","PENSION_LIABILITIES","FQ1 2018","FQ1 2018","Currency=USD","Period=FQ","BEST_FPERIOD_OVERRIDE=FQ","FILING_STATUS=MR","SCALING_FORMAT=MLN","Sort=A","Dates=H","DateFormat=P","Fill=—","Direction=H","UseDPDF=Y")</f>
        <v>—</v>
      </c>
      <c r="J58" s="13" t="str">
        <f>_xll.BDH("WMT US Equity","PENSION_LIABILITIES","FQ2 2018","FQ2 2018","Currency=USD","Period=FQ","BEST_FPERIOD_OVERRIDE=FQ","FILING_STATUS=MR","SCALING_FORMAT=MLN","Sort=A","Dates=H","DateFormat=P","Fill=—","Direction=H","UseDPDF=Y")</f>
        <v>—</v>
      </c>
      <c r="K58" s="13" t="str">
        <f>_xll.BDH("WMT US Equity","PENSION_LIABILITIES","FQ3 2018","FQ3 2018","Currency=USD","Period=FQ","BEST_FPERIOD_OVERRIDE=FQ","FILING_STATUS=MR","SCALING_FORMAT=MLN","Sort=A","Dates=H","DateFormat=P","Fill=—","Direction=H","UseDPDF=Y")</f>
        <v>—</v>
      </c>
      <c r="L58" s="13" t="str">
        <f>_xll.BDH("WMT US Equity","PENSION_LIABILITIES","FQ4 2018","FQ4 2018","Currency=USD","Period=FQ","BEST_FPERIOD_OVERRIDE=FQ","FILING_STATUS=MR","SCALING_FORMAT=MLN","Sort=A","Dates=H","DateFormat=P","Fill=—","Direction=H","UseDPDF=Y")</f>
        <v>—</v>
      </c>
      <c r="M58" s="13" t="str">
        <f>_xll.BDH("WMT US Equity","PENSION_LIABILITIES","FQ1 2019","FQ1 2019","Currency=USD","Period=FQ","BEST_FPERIOD_OVERRIDE=FQ","FILING_STATUS=MR","SCALING_FORMAT=MLN","Sort=A","Dates=H","DateFormat=P","Fill=—","Direction=H","UseDPDF=Y")</f>
        <v>—</v>
      </c>
      <c r="N58" s="13" t="str">
        <f>_xll.BDH("WMT US Equity","PENSION_LIABILITIES","FQ2 2019","FQ2 2019","Currency=USD","Period=FQ","BEST_FPERIOD_OVERRIDE=FQ","FILING_STATUS=MR","SCALING_FORMAT=MLN","Sort=A","Dates=H","DateFormat=P","Fill=—","Direction=H","UseDPDF=Y")</f>
        <v>—</v>
      </c>
      <c r="O58" s="13" t="str">
        <f>_xll.BDH("WMT US Equity","PENSION_LIABILITIES","FQ3 2019","FQ3 2019","Currency=USD","Period=FQ","BEST_FPERIOD_OVERRIDE=FQ","FILING_STATUS=MR","SCALING_FORMAT=MLN","Sort=A","Dates=H","DateFormat=P","Fill=—","Direction=H","UseDPDF=Y")</f>
        <v>—</v>
      </c>
      <c r="P58" s="13" t="str">
        <f>_xll.BDH("WMT US Equity","PENSION_LIABILITIES","FQ4 2019","FQ4 2019","Currency=USD","Period=FQ","BEST_FPERIOD_OVERRIDE=FQ","FILING_STATUS=MR","SCALING_FORMAT=MLN","Sort=A","Dates=H","DateFormat=P","Fill=—","Direction=H","UseDPDF=Y")</f>
        <v>—</v>
      </c>
      <c r="Q58" s="13" t="str">
        <f>_xll.BDH("WMT US Equity","PENSION_LIABILITIES","FQ1 2020","FQ1 2020","Currency=USD","Period=FQ","BEST_FPERIOD_OVERRIDE=FQ","FILING_STATUS=MR","SCALING_FORMAT=MLN","Sort=A","Dates=H","DateFormat=P","Fill=—","Direction=H","UseDPDF=Y")</f>
        <v>—</v>
      </c>
      <c r="R58" s="13" t="str">
        <f>_xll.BDH("WMT US Equity","PENSION_LIABILITIES","FQ2 2020","FQ2 2020","Currency=USD","Period=FQ","BEST_FPERIOD_OVERRIDE=FQ","FILING_STATUS=MR","SCALING_FORMAT=MLN","Sort=A","Dates=H","DateFormat=P","Fill=—","Direction=H","UseDPDF=Y")</f>
        <v>—</v>
      </c>
      <c r="S58" s="13" t="str">
        <f>_xll.BDH("WMT US Equity","PENSION_LIABILITIES","FQ3 2020","FQ3 2020","Currency=USD","Period=FQ","BEST_FPERIOD_OVERRIDE=FQ","FILING_STATUS=MR","SCALING_FORMAT=MLN","Sort=A","Dates=H","DateFormat=P","Fill=—","Direction=H","UseDPDF=Y")</f>
        <v>—</v>
      </c>
      <c r="T58" s="13" t="str">
        <f>_xll.BDH("WMT US Equity","PENSION_LIABILITIES","FQ4 2020","FQ4 2020","Currency=USD","Period=FQ","BEST_FPERIOD_OVERRIDE=FQ","FILING_STATUS=MR","SCALING_FORMAT=MLN","Sort=A","Dates=H","DateFormat=P","Fill=—","Direction=H","UseDPDF=Y")</f>
        <v>—</v>
      </c>
      <c r="U58" s="13" t="str">
        <f>_xll.BDH("WMT US Equity","PENSION_LIABILITIES","FQ1 2021","FQ1 2021","Currency=USD","Period=FQ","BEST_FPERIOD_OVERRIDE=FQ","FILING_STATUS=MR","SCALING_FORMAT=MLN","Sort=A","Dates=H","DateFormat=P","Fill=—","Direction=H","UseDPDF=Y")</f>
        <v>—</v>
      </c>
      <c r="V58" s="13" t="str">
        <f>_xll.BDH("WMT US Equity","PENSION_LIABILITIES","FQ2 2021","FQ2 2021","Currency=USD","Period=FQ","BEST_FPERIOD_OVERRIDE=FQ","FILING_STATUS=MR","SCALING_FORMAT=MLN","Sort=A","Dates=H","DateFormat=P","Fill=—","Direction=H","UseDPDF=Y")</f>
        <v>—</v>
      </c>
      <c r="W58" s="13" t="str">
        <f>_xll.BDH("WMT US Equity","PENSION_LIABILITIES","FQ3 2021","FQ3 2021","Currency=USD","Period=FQ","BEST_FPERIOD_OVERRIDE=FQ","FILING_STATUS=MR","SCALING_FORMAT=MLN","Sort=A","Dates=H","DateFormat=P","Fill=—","Direction=H","UseDPDF=Y")</f>
        <v>—</v>
      </c>
      <c r="X58" s="13">
        <f>_xll.BDH("WMT US Equity","PENSION_LIABILITIES","FQ4 2021","FQ4 2021","Currency=USD","Period=FQ","BEST_FPERIOD_OVERRIDE=FQ","FILING_STATUS=MR","SCALING_FORMAT=MLN","Sort=A","Dates=H","DateFormat=P","Fill=—","Direction=H","UseDPDF=Y")</f>
        <v>0</v>
      </c>
      <c r="Y58" s="13" t="str">
        <f>_xll.BDH("WMT US Equity","PENSION_LIABILITIES","FQ1 2022","FQ1 2022","Currency=USD","Period=FQ","BEST_FPERIOD_OVERRIDE=FQ","FILING_STATUS=MR","SCALING_FORMAT=MLN","Sort=A","Dates=H","DateFormat=P","Fill=—","Direction=H","UseDPDF=Y")</f>
        <v>—</v>
      </c>
      <c r="Z58" s="13">
        <f>_xll.BDH("WMT US Equity","PENSION_LIABILITIES","FQ2 2022","FQ2 2022","Currency=USD","Period=FQ","BEST_FPERIOD_OVERRIDE=FQ","FILING_STATUS=MR","SCALING_FORMAT=MLN","Sort=A","Dates=H","DateFormat=P","Fill=—","Direction=H","UseDPDF=Y")</f>
        <v>0</v>
      </c>
      <c r="AA58" s="13">
        <f>_xll.BDH("WMT US Equity","PENSION_LIABILITIES","FQ3 2022","FQ3 2022","Currency=USD","Period=FQ","BEST_FPERIOD_OVERRIDE=FQ","FILING_STATUS=MR","SCALING_FORMAT=MLN","Sort=A","Dates=H","DateFormat=P","Fill=—","Direction=H","UseDPDF=Y")</f>
        <v>0</v>
      </c>
      <c r="AB58" s="13">
        <f>_xll.BDH("WMT US Equity","PENSION_LIABILITIES","FQ4 2022","FQ4 2022","Currency=USD","Period=FQ","BEST_FPERIOD_OVERRIDE=FQ","FILING_STATUS=MR","SCALING_FORMAT=MLN","Sort=A","Dates=H","DateFormat=P","Fill=—","Direction=H","UseDPDF=Y")</f>
        <v>0</v>
      </c>
      <c r="AC58" s="13">
        <f>_xll.BDH("WMT US Equity","PENSION_LIABILITIES","FQ1 2023","FQ1 2023","Currency=USD","Period=FQ","BEST_FPERIOD_OVERRIDE=FQ","FILING_STATUS=MR","SCALING_FORMAT=MLN","Sort=A","Dates=H","DateFormat=P","Fill=—","Direction=H","UseDPDF=Y")</f>
        <v>0</v>
      </c>
      <c r="AD58" s="13">
        <f>_xll.BDH("WMT US Equity","PENSION_LIABILITIES","FQ2 2023","FQ2 2023","Currency=USD","Period=FQ","BEST_FPERIOD_OVERRIDE=FQ","FILING_STATUS=MR","SCALING_FORMAT=MLN","Sort=A","Dates=H","DateFormat=P","Fill=—","Direction=H","UseDPDF=Y")</f>
        <v>0</v>
      </c>
      <c r="AE58" s="13">
        <f>_xll.BDH("WMT US Equity","PENSION_LIABILITIES","FQ3 2023","FQ3 2023","Currency=USD","Period=FQ","BEST_FPERIOD_OVERRIDE=FQ","FILING_STATUS=MR","SCALING_FORMAT=MLN","Sort=A","Dates=H","DateFormat=P","Fill=—","Direction=H","UseDPDF=Y")</f>
        <v>0</v>
      </c>
      <c r="AF58" s="13">
        <f>_xll.BDH("WMT US Equity","PENSION_LIABILITIES","FQ4 2023","FQ4 2023","Currency=USD","Period=FQ","BEST_FPERIOD_OVERRIDE=FQ","FILING_STATUS=MR","SCALING_FORMAT=MLN","Sort=A","Dates=H","DateFormat=P","Fill=—","Direction=H","UseDPDF=Y")</f>
        <v>0</v>
      </c>
      <c r="AG58" s="13" t="str">
        <f>_xll.BDH("WMT US Equity","PENSION_LIABILITIES","FQ1 2024","FQ1 2024","Currency=USD","Period=FQ","BEST_FPERIOD_OVERRIDE=FQ","FILING_STATUS=MR","SCALING_FORMAT=MLN","Sort=A","Dates=H","DateFormat=P","Fill=—","Direction=H","UseDPDF=Y")</f>
        <v>—</v>
      </c>
      <c r="AH58" s="13" t="str">
        <f>_xll.BDH("WMT US Equity","PENSION_LIABILITIES","FQ2 2024","FQ2 2024","Currency=USD","Period=FQ","BEST_FPERIOD_OVERRIDE=FQ","FILING_STATUS=MR","SCALING_FORMAT=MLN","Sort=A","Dates=H","DateFormat=P","Fill=—","Direction=H","UseDPDF=Y")</f>
        <v>—</v>
      </c>
      <c r="AI58" s="13" t="str">
        <f>_xll.BDH("WMT US Equity","PENSION_LIABILITIES","FQ3 2024","FQ3 2024","Currency=USD","Period=FQ","BEST_FPERIOD_OVERRIDE=FQ","FILING_STATUS=MR","SCALING_FORMAT=MLN","Sort=A","Dates=H","DateFormat=P","Fill=—","Direction=H","UseDPDF=Y")</f>
        <v>—</v>
      </c>
      <c r="AJ58" s="13">
        <f>_xll.BDH("WMT US Equity","PENSION_LIABILITIES","FQ4 2024","FQ4 2024","Currency=USD","Period=FQ","BEST_FPERIOD_OVERRIDE=FQ","FILING_STATUS=MR","SCALING_FORMAT=MLN","Sort=A","Dates=H","DateFormat=P","Fill=—","Direction=H","UseDPDF=Y")</f>
        <v>0</v>
      </c>
      <c r="AK58" s="13" t="str">
        <f>_xll.BDH("WMT US Equity","PENSION_LIABILITIES","FQ1 2025","FQ1 2025","Currency=USD","Period=FQ","BEST_FPERIOD_OVERRIDE=FQ","FILING_STATUS=MR","SCALING_FORMAT=MLN","Sort=A","Dates=H","DateFormat=P","Fill=—","Direction=H","UseDPDF=Y")</f>
        <v>—</v>
      </c>
      <c r="AL58" s="13" t="str">
        <f>_xll.BDH("WMT US Equity","PENSION_LIABILITIES","FQ2 2025","FQ2 2025","Currency=USD","Period=FQ","BEST_FPERIOD_OVERRIDE=FQ","FILING_STATUS=MR","SCALING_FORMAT=MLN","Sort=A","Dates=H","DateFormat=P","Fill=—","Direction=H","UseDPDF=Y")</f>
        <v>—</v>
      </c>
      <c r="AM58" s="13" t="str">
        <f>_xll.BDH("WMT US Equity","PENSION_LIABILITIES","FQ3 2025","FQ3 2025","Currency=USD","Period=FQ","BEST_FPERIOD_OVERRIDE=FQ","FILING_STATUS=MR","SCALING_FORMAT=MLN","Sort=A","Dates=H","DateFormat=P","Fill=—","Direction=H","UseDPDF=Y")</f>
        <v>—</v>
      </c>
      <c r="AN58" s="13">
        <f>_xll.BDH("WMT US Equity","PENSION_LIABILITIES","FQ4 2025","FQ4 2025","Currency=USD","Period=FQ","BEST_FPERIOD_OVERRIDE=FQ","FILING_STATUS=MR","SCALING_FORMAT=MLN","Sort=A","Dates=H","DateFormat=P","Fill=—","Direction=H","UseDPDF=Y")</f>
        <v>0</v>
      </c>
      <c r="AO58" s="13" t="str">
        <f>_xll.BDH("WMT US Equity","PENSION_LIABILITIES","FQ1 2026","FQ1 2026","Currency=USD","Period=FQ","BEST_FPERIOD_OVERRIDE=FQ","FILING_STATUS=MR","SCALING_FORMAT=MLN","Sort=A","Dates=H","DateFormat=P","Fill=—","Direction=H","UseDPDF=Y")</f>
        <v>—</v>
      </c>
      <c r="AP58" s="13" t="str">
        <f>_xll.BDH("WMT US Equity","PENSION_LIABILITIES","FQ2 2026","FQ2 2026","Currency=USD","Period=FQ","BEST_FPERIOD_OVERRIDE=FQ","FILING_STATUS=MR","SCALING_FORMAT=MLN","Sort=A","Dates=H","DateFormat=P","Fill=—","Direction=H","UseDPDF=Y")</f>
        <v>—</v>
      </c>
    </row>
    <row r="59" spans="1:42" x14ac:dyDescent="0.3">
      <c r="A59" s="11" t="s">
        <v>233</v>
      </c>
      <c r="B59" s="11" t="s">
        <v>139</v>
      </c>
      <c r="C59" s="17" t="str">
        <f>_xll.BDH("WMT US Equity","BS_PENSIONS_LT_LIABS","FQ3 2016","FQ3 2016","Currency=USD","Period=FQ","BEST_FPERIOD_OVERRIDE=FQ","FILING_STATUS=MR","SCALING_FORMAT=MLN","Sort=A","Dates=H","DateFormat=P","Fill=—","Direction=H","UseDPDF=Y")</f>
        <v>—</v>
      </c>
      <c r="D59" s="17" t="str">
        <f>_xll.BDH("WMT US Equity","BS_PENSIONS_LT_LIABS","FQ4 2016","FQ4 2016","Currency=USD","Period=FQ","BEST_FPERIOD_OVERRIDE=FQ","FILING_STATUS=MR","SCALING_FORMAT=MLN","Sort=A","Dates=H","DateFormat=P","Fill=—","Direction=H","UseDPDF=Y")</f>
        <v>—</v>
      </c>
      <c r="E59" s="17" t="str">
        <f>_xll.BDH("WMT US Equity","BS_PENSIONS_LT_LIABS","FQ1 2017","FQ1 2017","Currency=USD","Period=FQ","BEST_FPERIOD_OVERRIDE=FQ","FILING_STATUS=MR","SCALING_FORMAT=MLN","Sort=A","Dates=H","DateFormat=P","Fill=—","Direction=H","UseDPDF=Y")</f>
        <v>—</v>
      </c>
      <c r="F59" s="17" t="str">
        <f>_xll.BDH("WMT US Equity","BS_PENSIONS_LT_LIABS","FQ2 2017","FQ2 2017","Currency=USD","Period=FQ","BEST_FPERIOD_OVERRIDE=FQ","FILING_STATUS=MR","SCALING_FORMAT=MLN","Sort=A","Dates=H","DateFormat=P","Fill=—","Direction=H","UseDPDF=Y")</f>
        <v>—</v>
      </c>
      <c r="G59" s="17" t="str">
        <f>_xll.BDH("WMT US Equity","BS_PENSIONS_LT_LIABS","FQ3 2017","FQ3 2017","Currency=USD","Period=FQ","BEST_FPERIOD_OVERRIDE=FQ","FILING_STATUS=MR","SCALING_FORMAT=MLN","Sort=A","Dates=H","DateFormat=P","Fill=—","Direction=H","UseDPDF=Y")</f>
        <v>—</v>
      </c>
      <c r="H59" s="17" t="str">
        <f>_xll.BDH("WMT US Equity","BS_PENSIONS_LT_LIABS","FQ4 2017","FQ4 2017","Currency=USD","Period=FQ","BEST_FPERIOD_OVERRIDE=FQ","FILING_STATUS=MR","SCALING_FORMAT=MLN","Sort=A","Dates=H","DateFormat=P","Fill=—","Direction=H","UseDPDF=Y")</f>
        <v>—</v>
      </c>
      <c r="I59" s="17" t="str">
        <f>_xll.BDH("WMT US Equity","BS_PENSIONS_LT_LIABS","FQ1 2018","FQ1 2018","Currency=USD","Period=FQ","BEST_FPERIOD_OVERRIDE=FQ","FILING_STATUS=MR","SCALING_FORMAT=MLN","Sort=A","Dates=H","DateFormat=P","Fill=—","Direction=H","UseDPDF=Y")</f>
        <v>—</v>
      </c>
      <c r="J59" s="17" t="str">
        <f>_xll.BDH("WMT US Equity","BS_PENSIONS_LT_LIABS","FQ2 2018","FQ2 2018","Currency=USD","Period=FQ","BEST_FPERIOD_OVERRIDE=FQ","FILING_STATUS=MR","SCALING_FORMAT=MLN","Sort=A","Dates=H","DateFormat=P","Fill=—","Direction=H","UseDPDF=Y")</f>
        <v>—</v>
      </c>
      <c r="K59" s="17" t="str">
        <f>_xll.BDH("WMT US Equity","BS_PENSIONS_LT_LIABS","FQ3 2018","FQ3 2018","Currency=USD","Period=FQ","BEST_FPERIOD_OVERRIDE=FQ","FILING_STATUS=MR","SCALING_FORMAT=MLN","Sort=A","Dates=H","DateFormat=P","Fill=—","Direction=H","UseDPDF=Y")</f>
        <v>—</v>
      </c>
      <c r="L59" s="17" t="str">
        <f>_xll.BDH("WMT US Equity","BS_PENSIONS_LT_LIABS","FQ4 2018","FQ4 2018","Currency=USD","Period=FQ","BEST_FPERIOD_OVERRIDE=FQ","FILING_STATUS=MR","SCALING_FORMAT=MLN","Sort=A","Dates=H","DateFormat=P","Fill=—","Direction=H","UseDPDF=Y")</f>
        <v>—</v>
      </c>
      <c r="M59" s="17" t="str">
        <f>_xll.BDH("WMT US Equity","BS_PENSIONS_LT_LIABS","FQ1 2019","FQ1 2019","Currency=USD","Period=FQ","BEST_FPERIOD_OVERRIDE=FQ","FILING_STATUS=MR","SCALING_FORMAT=MLN","Sort=A","Dates=H","DateFormat=P","Fill=—","Direction=H","UseDPDF=Y")</f>
        <v>—</v>
      </c>
      <c r="N59" s="17" t="str">
        <f>_xll.BDH("WMT US Equity","BS_PENSIONS_LT_LIABS","FQ2 2019","FQ2 2019","Currency=USD","Period=FQ","BEST_FPERIOD_OVERRIDE=FQ","FILING_STATUS=MR","SCALING_FORMAT=MLN","Sort=A","Dates=H","DateFormat=P","Fill=—","Direction=H","UseDPDF=Y")</f>
        <v>—</v>
      </c>
      <c r="O59" s="17" t="str">
        <f>_xll.BDH("WMT US Equity","BS_PENSIONS_LT_LIABS","FQ3 2019","FQ3 2019","Currency=USD","Period=FQ","BEST_FPERIOD_OVERRIDE=FQ","FILING_STATUS=MR","SCALING_FORMAT=MLN","Sort=A","Dates=H","DateFormat=P","Fill=—","Direction=H","UseDPDF=Y")</f>
        <v>—</v>
      </c>
      <c r="P59" s="17" t="str">
        <f>_xll.BDH("WMT US Equity","BS_PENSIONS_LT_LIABS","FQ4 2019","FQ4 2019","Currency=USD","Period=FQ","BEST_FPERIOD_OVERRIDE=FQ","FILING_STATUS=MR","SCALING_FORMAT=MLN","Sort=A","Dates=H","DateFormat=P","Fill=—","Direction=H","UseDPDF=Y")</f>
        <v>—</v>
      </c>
      <c r="Q59" s="17" t="str">
        <f>_xll.BDH("WMT US Equity","BS_PENSIONS_LT_LIABS","FQ1 2020","FQ1 2020","Currency=USD","Period=FQ","BEST_FPERIOD_OVERRIDE=FQ","FILING_STATUS=MR","SCALING_FORMAT=MLN","Sort=A","Dates=H","DateFormat=P","Fill=—","Direction=H","UseDPDF=Y")</f>
        <v>—</v>
      </c>
      <c r="R59" s="17" t="str">
        <f>_xll.BDH("WMT US Equity","BS_PENSIONS_LT_LIABS","FQ2 2020","FQ2 2020","Currency=USD","Period=FQ","BEST_FPERIOD_OVERRIDE=FQ","FILING_STATUS=MR","SCALING_FORMAT=MLN","Sort=A","Dates=H","DateFormat=P","Fill=—","Direction=H","UseDPDF=Y")</f>
        <v>—</v>
      </c>
      <c r="S59" s="17" t="str">
        <f>_xll.BDH("WMT US Equity","BS_PENSIONS_LT_LIABS","FQ3 2020","FQ3 2020","Currency=USD","Period=FQ","BEST_FPERIOD_OVERRIDE=FQ","FILING_STATUS=MR","SCALING_FORMAT=MLN","Sort=A","Dates=H","DateFormat=P","Fill=—","Direction=H","UseDPDF=Y")</f>
        <v>—</v>
      </c>
      <c r="T59" s="17" t="str">
        <f>_xll.BDH("WMT US Equity","BS_PENSIONS_LT_LIABS","FQ4 2020","FQ4 2020","Currency=USD","Period=FQ","BEST_FPERIOD_OVERRIDE=FQ","FILING_STATUS=MR","SCALING_FORMAT=MLN","Sort=A","Dates=H","DateFormat=P","Fill=—","Direction=H","UseDPDF=Y")</f>
        <v>—</v>
      </c>
      <c r="U59" s="17" t="str">
        <f>_xll.BDH("WMT US Equity","BS_PENSIONS_LT_LIABS","FQ1 2021","FQ1 2021","Currency=USD","Period=FQ","BEST_FPERIOD_OVERRIDE=FQ","FILING_STATUS=MR","SCALING_FORMAT=MLN","Sort=A","Dates=H","DateFormat=P","Fill=—","Direction=H","UseDPDF=Y")</f>
        <v>—</v>
      </c>
      <c r="V59" s="17" t="str">
        <f>_xll.BDH("WMT US Equity","BS_PENSIONS_LT_LIABS","FQ2 2021","FQ2 2021","Currency=USD","Period=FQ","BEST_FPERIOD_OVERRIDE=FQ","FILING_STATUS=MR","SCALING_FORMAT=MLN","Sort=A","Dates=H","DateFormat=P","Fill=—","Direction=H","UseDPDF=Y")</f>
        <v>—</v>
      </c>
      <c r="W59" s="17" t="str">
        <f>_xll.BDH("WMT US Equity","BS_PENSIONS_LT_LIABS","FQ3 2021","FQ3 2021","Currency=USD","Period=FQ","BEST_FPERIOD_OVERRIDE=FQ","FILING_STATUS=MR","SCALING_FORMAT=MLN","Sort=A","Dates=H","DateFormat=P","Fill=—","Direction=H","UseDPDF=Y")</f>
        <v>—</v>
      </c>
      <c r="X59" s="17">
        <f>_xll.BDH("WMT US Equity","BS_PENSIONS_LT_LIABS","FQ4 2021","FQ4 2021","Currency=USD","Period=FQ","BEST_FPERIOD_OVERRIDE=FQ","FILING_STATUS=MR","SCALING_FORMAT=MLN","Sort=A","Dates=H","DateFormat=P","Fill=—","Direction=H","UseDPDF=Y")</f>
        <v>0</v>
      </c>
      <c r="Y59" s="17" t="str">
        <f>_xll.BDH("WMT US Equity","BS_PENSIONS_LT_LIABS","FQ1 2022","FQ1 2022","Currency=USD","Period=FQ","BEST_FPERIOD_OVERRIDE=FQ","FILING_STATUS=MR","SCALING_FORMAT=MLN","Sort=A","Dates=H","DateFormat=P","Fill=—","Direction=H","UseDPDF=Y")</f>
        <v>—</v>
      </c>
      <c r="Z59" s="17" t="str">
        <f>_xll.BDH("WMT US Equity","BS_PENSIONS_LT_LIABS","FQ2 2022","FQ2 2022","Currency=USD","Period=FQ","BEST_FPERIOD_OVERRIDE=FQ","FILING_STATUS=MR","SCALING_FORMAT=MLN","Sort=A","Dates=H","DateFormat=P","Fill=—","Direction=H","UseDPDF=Y")</f>
        <v>—</v>
      </c>
      <c r="AA59" s="17" t="str">
        <f>_xll.BDH("WMT US Equity","BS_PENSIONS_LT_LIABS","FQ3 2022","FQ3 2022","Currency=USD","Period=FQ","BEST_FPERIOD_OVERRIDE=FQ","FILING_STATUS=MR","SCALING_FORMAT=MLN","Sort=A","Dates=H","DateFormat=P","Fill=—","Direction=H","UseDPDF=Y")</f>
        <v>—</v>
      </c>
      <c r="AB59" s="17">
        <f>_xll.BDH("WMT US Equity","BS_PENSIONS_LT_LIABS","FQ4 2022","FQ4 2022","Currency=USD","Period=FQ","BEST_FPERIOD_OVERRIDE=FQ","FILING_STATUS=MR","SCALING_FORMAT=MLN","Sort=A","Dates=H","DateFormat=P","Fill=—","Direction=H","UseDPDF=Y")</f>
        <v>0</v>
      </c>
      <c r="AC59" s="17" t="str">
        <f>_xll.BDH("WMT US Equity","BS_PENSIONS_LT_LIABS","FQ1 2023","FQ1 2023","Currency=USD","Period=FQ","BEST_FPERIOD_OVERRIDE=FQ","FILING_STATUS=MR","SCALING_FORMAT=MLN","Sort=A","Dates=H","DateFormat=P","Fill=—","Direction=H","UseDPDF=Y")</f>
        <v>—</v>
      </c>
      <c r="AD59" s="17" t="str">
        <f>_xll.BDH("WMT US Equity","BS_PENSIONS_LT_LIABS","FQ2 2023","FQ2 2023","Currency=USD","Period=FQ","BEST_FPERIOD_OVERRIDE=FQ","FILING_STATUS=MR","SCALING_FORMAT=MLN","Sort=A","Dates=H","DateFormat=P","Fill=—","Direction=H","UseDPDF=Y")</f>
        <v>—</v>
      </c>
      <c r="AE59" s="17" t="str">
        <f>_xll.BDH("WMT US Equity","BS_PENSIONS_LT_LIABS","FQ3 2023","FQ3 2023","Currency=USD","Period=FQ","BEST_FPERIOD_OVERRIDE=FQ","FILING_STATUS=MR","SCALING_FORMAT=MLN","Sort=A","Dates=H","DateFormat=P","Fill=—","Direction=H","UseDPDF=Y")</f>
        <v>—</v>
      </c>
      <c r="AF59" s="17" t="str">
        <f>_xll.BDH("WMT US Equity","BS_PENSIONS_LT_LIABS","FQ4 2023","FQ4 2023","Currency=USD","Period=FQ","BEST_FPERIOD_OVERRIDE=FQ","FILING_STATUS=MR","SCALING_FORMAT=MLN","Sort=A","Dates=H","DateFormat=P","Fill=—","Direction=H","UseDPDF=Y")</f>
        <v>—</v>
      </c>
      <c r="AG59" s="17" t="str">
        <f>_xll.BDH("WMT US Equity","BS_PENSIONS_LT_LIABS","FQ1 2024","FQ1 2024","Currency=USD","Period=FQ","BEST_FPERIOD_OVERRIDE=FQ","FILING_STATUS=MR","SCALING_FORMAT=MLN","Sort=A","Dates=H","DateFormat=P","Fill=—","Direction=H","UseDPDF=Y")</f>
        <v>—</v>
      </c>
      <c r="AH59" s="17" t="str">
        <f>_xll.BDH("WMT US Equity","BS_PENSIONS_LT_LIABS","FQ2 2024","FQ2 2024","Currency=USD","Period=FQ","BEST_FPERIOD_OVERRIDE=FQ","FILING_STATUS=MR","SCALING_FORMAT=MLN","Sort=A","Dates=H","DateFormat=P","Fill=—","Direction=H","UseDPDF=Y")</f>
        <v>—</v>
      </c>
      <c r="AI59" s="17" t="str">
        <f>_xll.BDH("WMT US Equity","BS_PENSIONS_LT_LIABS","FQ3 2024","FQ3 2024","Currency=USD","Period=FQ","BEST_FPERIOD_OVERRIDE=FQ","FILING_STATUS=MR","SCALING_FORMAT=MLN","Sort=A","Dates=H","DateFormat=P","Fill=—","Direction=H","UseDPDF=Y")</f>
        <v>—</v>
      </c>
      <c r="AJ59" s="17" t="str">
        <f>_xll.BDH("WMT US Equity","BS_PENSIONS_LT_LIABS","FQ4 2024","FQ4 2024","Currency=USD","Period=FQ","BEST_FPERIOD_OVERRIDE=FQ","FILING_STATUS=MR","SCALING_FORMAT=MLN","Sort=A","Dates=H","DateFormat=P","Fill=—","Direction=H","UseDPDF=Y")</f>
        <v>—</v>
      </c>
      <c r="AK59" s="17" t="str">
        <f>_xll.BDH("WMT US Equity","BS_PENSIONS_LT_LIABS","FQ1 2025","FQ1 2025","Currency=USD","Period=FQ","BEST_FPERIOD_OVERRIDE=FQ","FILING_STATUS=MR","SCALING_FORMAT=MLN","Sort=A","Dates=H","DateFormat=P","Fill=—","Direction=H","UseDPDF=Y")</f>
        <v>—</v>
      </c>
      <c r="AL59" s="17" t="str">
        <f>_xll.BDH("WMT US Equity","BS_PENSIONS_LT_LIABS","FQ2 2025","FQ2 2025","Currency=USD","Period=FQ","BEST_FPERIOD_OVERRIDE=FQ","FILING_STATUS=MR","SCALING_FORMAT=MLN","Sort=A","Dates=H","DateFormat=P","Fill=—","Direction=H","UseDPDF=Y")</f>
        <v>—</v>
      </c>
      <c r="AM59" s="17" t="str">
        <f>_xll.BDH("WMT US Equity","BS_PENSIONS_LT_LIABS","FQ3 2025","FQ3 2025","Currency=USD","Period=FQ","BEST_FPERIOD_OVERRIDE=FQ","FILING_STATUS=MR","SCALING_FORMAT=MLN","Sort=A","Dates=H","DateFormat=P","Fill=—","Direction=H","UseDPDF=Y")</f>
        <v>—</v>
      </c>
      <c r="AN59" s="17">
        <f>_xll.BDH("WMT US Equity","BS_PENSIONS_LT_LIABS","FQ4 2025","FQ4 2025","Currency=USD","Period=FQ","BEST_FPERIOD_OVERRIDE=FQ","FILING_STATUS=MR","SCALING_FORMAT=MLN","Sort=A","Dates=H","DateFormat=P","Fill=—","Direction=H","UseDPDF=Y")</f>
        <v>0</v>
      </c>
      <c r="AO59" s="17" t="str">
        <f>_xll.BDH("WMT US Equity","BS_PENSIONS_LT_LIABS","FQ1 2026","FQ1 2026","Currency=USD","Period=FQ","BEST_FPERIOD_OVERRIDE=FQ","FILING_STATUS=MR","SCALING_FORMAT=MLN","Sort=A","Dates=H","DateFormat=P","Fill=—","Direction=H","UseDPDF=Y")</f>
        <v>—</v>
      </c>
      <c r="AP59" s="17" t="str">
        <f>_xll.BDH("WMT US Equity","BS_PENSIONS_LT_LIABS","FQ2 2026","FQ2 2026","Currency=USD","Period=FQ","BEST_FPERIOD_OVERRIDE=FQ","FILING_STATUS=MR","SCALING_FORMAT=MLN","Sort=A","Dates=H","DateFormat=P","Fill=—","Direction=H","UseDPDF=Y")</f>
        <v>—</v>
      </c>
    </row>
    <row r="60" spans="1:42" x14ac:dyDescent="0.3">
      <c r="A60" s="11" t="s">
        <v>244</v>
      </c>
      <c r="B60" s="11" t="s">
        <v>140</v>
      </c>
      <c r="C60" s="17" t="str">
        <f>_xll.BDH("WMT US Equity","BS_OPRB_LT_LIABS","FQ3 2016","FQ3 2016","Currency=USD","Period=FQ","BEST_FPERIOD_OVERRIDE=FQ","FILING_STATUS=MR","SCALING_FORMAT=MLN","Sort=A","Dates=H","DateFormat=P","Fill=—","Direction=H","UseDPDF=Y")</f>
        <v>—</v>
      </c>
      <c r="D60" s="17" t="str">
        <f>_xll.BDH("WMT US Equity","BS_OPRB_LT_LIABS","FQ4 2016","FQ4 2016","Currency=USD","Period=FQ","BEST_FPERIOD_OVERRIDE=FQ","FILING_STATUS=MR","SCALING_FORMAT=MLN","Sort=A","Dates=H","DateFormat=P","Fill=—","Direction=H","UseDPDF=Y")</f>
        <v>—</v>
      </c>
      <c r="E60" s="17" t="str">
        <f>_xll.BDH("WMT US Equity","BS_OPRB_LT_LIABS","FQ1 2017","FQ1 2017","Currency=USD","Period=FQ","BEST_FPERIOD_OVERRIDE=FQ","FILING_STATUS=MR","SCALING_FORMAT=MLN","Sort=A","Dates=H","DateFormat=P","Fill=—","Direction=H","UseDPDF=Y")</f>
        <v>—</v>
      </c>
      <c r="F60" s="17" t="str">
        <f>_xll.BDH("WMT US Equity","BS_OPRB_LT_LIABS","FQ2 2017","FQ2 2017","Currency=USD","Period=FQ","BEST_FPERIOD_OVERRIDE=FQ","FILING_STATUS=MR","SCALING_FORMAT=MLN","Sort=A","Dates=H","DateFormat=P","Fill=—","Direction=H","UseDPDF=Y")</f>
        <v>—</v>
      </c>
      <c r="G60" s="17" t="str">
        <f>_xll.BDH("WMT US Equity","BS_OPRB_LT_LIABS","FQ3 2017","FQ3 2017","Currency=USD","Period=FQ","BEST_FPERIOD_OVERRIDE=FQ","FILING_STATUS=MR","SCALING_FORMAT=MLN","Sort=A","Dates=H","DateFormat=P","Fill=—","Direction=H","UseDPDF=Y")</f>
        <v>—</v>
      </c>
      <c r="H60" s="17" t="str">
        <f>_xll.BDH("WMT US Equity","BS_OPRB_LT_LIABS","FQ4 2017","FQ4 2017","Currency=USD","Period=FQ","BEST_FPERIOD_OVERRIDE=FQ","FILING_STATUS=MR","SCALING_FORMAT=MLN","Sort=A","Dates=H","DateFormat=P","Fill=—","Direction=H","UseDPDF=Y")</f>
        <v>—</v>
      </c>
      <c r="I60" s="17" t="str">
        <f>_xll.BDH("WMT US Equity","BS_OPRB_LT_LIABS","FQ1 2018","FQ1 2018","Currency=USD","Period=FQ","BEST_FPERIOD_OVERRIDE=FQ","FILING_STATUS=MR","SCALING_FORMAT=MLN","Sort=A","Dates=H","DateFormat=P","Fill=—","Direction=H","UseDPDF=Y")</f>
        <v>—</v>
      </c>
      <c r="J60" s="17" t="str">
        <f>_xll.BDH("WMT US Equity","BS_OPRB_LT_LIABS","FQ2 2018","FQ2 2018","Currency=USD","Period=FQ","BEST_FPERIOD_OVERRIDE=FQ","FILING_STATUS=MR","SCALING_FORMAT=MLN","Sort=A","Dates=H","DateFormat=P","Fill=—","Direction=H","UseDPDF=Y")</f>
        <v>—</v>
      </c>
      <c r="K60" s="17" t="str">
        <f>_xll.BDH("WMT US Equity","BS_OPRB_LT_LIABS","FQ3 2018","FQ3 2018","Currency=USD","Period=FQ","BEST_FPERIOD_OVERRIDE=FQ","FILING_STATUS=MR","SCALING_FORMAT=MLN","Sort=A","Dates=H","DateFormat=P","Fill=—","Direction=H","UseDPDF=Y")</f>
        <v>—</v>
      </c>
      <c r="L60" s="17" t="str">
        <f>_xll.BDH("WMT US Equity","BS_OPRB_LT_LIABS","FQ4 2018","FQ4 2018","Currency=USD","Period=FQ","BEST_FPERIOD_OVERRIDE=FQ","FILING_STATUS=MR","SCALING_FORMAT=MLN","Sort=A","Dates=H","DateFormat=P","Fill=—","Direction=H","UseDPDF=Y")</f>
        <v>—</v>
      </c>
      <c r="M60" s="17" t="str">
        <f>_xll.BDH("WMT US Equity","BS_OPRB_LT_LIABS","FQ1 2019","FQ1 2019","Currency=USD","Period=FQ","BEST_FPERIOD_OVERRIDE=FQ","FILING_STATUS=MR","SCALING_FORMAT=MLN","Sort=A","Dates=H","DateFormat=P","Fill=—","Direction=H","UseDPDF=Y")</f>
        <v>—</v>
      </c>
      <c r="N60" s="17" t="str">
        <f>_xll.BDH("WMT US Equity","BS_OPRB_LT_LIABS","FQ2 2019","FQ2 2019","Currency=USD","Period=FQ","BEST_FPERIOD_OVERRIDE=FQ","FILING_STATUS=MR","SCALING_FORMAT=MLN","Sort=A","Dates=H","DateFormat=P","Fill=—","Direction=H","UseDPDF=Y")</f>
        <v>—</v>
      </c>
      <c r="O60" s="17" t="str">
        <f>_xll.BDH("WMT US Equity","BS_OPRB_LT_LIABS","FQ3 2019","FQ3 2019","Currency=USD","Period=FQ","BEST_FPERIOD_OVERRIDE=FQ","FILING_STATUS=MR","SCALING_FORMAT=MLN","Sort=A","Dates=H","DateFormat=P","Fill=—","Direction=H","UseDPDF=Y")</f>
        <v>—</v>
      </c>
      <c r="P60" s="17" t="str">
        <f>_xll.BDH("WMT US Equity","BS_OPRB_LT_LIABS","FQ4 2019","FQ4 2019","Currency=USD","Period=FQ","BEST_FPERIOD_OVERRIDE=FQ","FILING_STATUS=MR","SCALING_FORMAT=MLN","Sort=A","Dates=H","DateFormat=P","Fill=—","Direction=H","UseDPDF=Y")</f>
        <v>—</v>
      </c>
      <c r="Q60" s="17" t="str">
        <f>_xll.BDH("WMT US Equity","BS_OPRB_LT_LIABS","FQ1 2020","FQ1 2020","Currency=USD","Period=FQ","BEST_FPERIOD_OVERRIDE=FQ","FILING_STATUS=MR","SCALING_FORMAT=MLN","Sort=A","Dates=H","DateFormat=P","Fill=—","Direction=H","UseDPDF=Y")</f>
        <v>—</v>
      </c>
      <c r="R60" s="17" t="str">
        <f>_xll.BDH("WMT US Equity","BS_OPRB_LT_LIABS","FQ2 2020","FQ2 2020","Currency=USD","Period=FQ","BEST_FPERIOD_OVERRIDE=FQ","FILING_STATUS=MR","SCALING_FORMAT=MLN","Sort=A","Dates=H","DateFormat=P","Fill=—","Direction=H","UseDPDF=Y")</f>
        <v>—</v>
      </c>
      <c r="S60" s="17" t="str">
        <f>_xll.BDH("WMT US Equity","BS_OPRB_LT_LIABS","FQ3 2020","FQ3 2020","Currency=USD","Period=FQ","BEST_FPERIOD_OVERRIDE=FQ","FILING_STATUS=MR","SCALING_FORMAT=MLN","Sort=A","Dates=H","DateFormat=P","Fill=—","Direction=H","UseDPDF=Y")</f>
        <v>—</v>
      </c>
      <c r="T60" s="17" t="str">
        <f>_xll.BDH("WMT US Equity","BS_OPRB_LT_LIABS","FQ4 2020","FQ4 2020","Currency=USD","Period=FQ","BEST_FPERIOD_OVERRIDE=FQ","FILING_STATUS=MR","SCALING_FORMAT=MLN","Sort=A","Dates=H","DateFormat=P","Fill=—","Direction=H","UseDPDF=Y")</f>
        <v>—</v>
      </c>
      <c r="U60" s="17" t="str">
        <f>_xll.BDH("WMT US Equity","BS_OPRB_LT_LIABS","FQ1 2021","FQ1 2021","Currency=USD","Period=FQ","BEST_FPERIOD_OVERRIDE=FQ","FILING_STATUS=MR","SCALING_FORMAT=MLN","Sort=A","Dates=H","DateFormat=P","Fill=—","Direction=H","UseDPDF=Y")</f>
        <v>—</v>
      </c>
      <c r="V60" s="17" t="str">
        <f>_xll.BDH("WMT US Equity","BS_OPRB_LT_LIABS","FQ2 2021","FQ2 2021","Currency=USD","Period=FQ","BEST_FPERIOD_OVERRIDE=FQ","FILING_STATUS=MR","SCALING_FORMAT=MLN","Sort=A","Dates=H","DateFormat=P","Fill=—","Direction=H","UseDPDF=Y")</f>
        <v>—</v>
      </c>
      <c r="W60" s="17" t="str">
        <f>_xll.BDH("WMT US Equity","BS_OPRB_LT_LIABS","FQ3 2021","FQ3 2021","Currency=USD","Period=FQ","BEST_FPERIOD_OVERRIDE=FQ","FILING_STATUS=MR","SCALING_FORMAT=MLN","Sort=A","Dates=H","DateFormat=P","Fill=—","Direction=H","UseDPDF=Y")</f>
        <v>—</v>
      </c>
      <c r="X60" s="17">
        <f>_xll.BDH("WMT US Equity","BS_OPRB_LT_LIABS","FQ4 2021","FQ4 2021","Currency=USD","Period=FQ","BEST_FPERIOD_OVERRIDE=FQ","FILING_STATUS=MR","SCALING_FORMAT=MLN","Sort=A","Dates=H","DateFormat=P","Fill=—","Direction=H","UseDPDF=Y")</f>
        <v>0</v>
      </c>
      <c r="Y60" s="17" t="str">
        <f>_xll.BDH("WMT US Equity","BS_OPRB_LT_LIABS","FQ1 2022","FQ1 2022","Currency=USD","Period=FQ","BEST_FPERIOD_OVERRIDE=FQ","FILING_STATUS=MR","SCALING_FORMAT=MLN","Sort=A","Dates=H","DateFormat=P","Fill=—","Direction=H","UseDPDF=Y")</f>
        <v>—</v>
      </c>
      <c r="Z60" s="17" t="str">
        <f>_xll.BDH("WMT US Equity","BS_OPRB_LT_LIABS","FQ2 2022","FQ2 2022","Currency=USD","Period=FQ","BEST_FPERIOD_OVERRIDE=FQ","FILING_STATUS=MR","SCALING_FORMAT=MLN","Sort=A","Dates=H","DateFormat=P","Fill=—","Direction=H","UseDPDF=Y")</f>
        <v>—</v>
      </c>
      <c r="AA60" s="17" t="str">
        <f>_xll.BDH("WMT US Equity","BS_OPRB_LT_LIABS","FQ3 2022","FQ3 2022","Currency=USD","Period=FQ","BEST_FPERIOD_OVERRIDE=FQ","FILING_STATUS=MR","SCALING_FORMAT=MLN","Sort=A","Dates=H","DateFormat=P","Fill=—","Direction=H","UseDPDF=Y")</f>
        <v>—</v>
      </c>
      <c r="AB60" s="17">
        <f>_xll.BDH("WMT US Equity","BS_OPRB_LT_LIABS","FQ4 2022","FQ4 2022","Currency=USD","Period=FQ","BEST_FPERIOD_OVERRIDE=FQ","FILING_STATUS=MR","SCALING_FORMAT=MLN","Sort=A","Dates=H","DateFormat=P","Fill=—","Direction=H","UseDPDF=Y")</f>
        <v>0</v>
      </c>
      <c r="AC60" s="17" t="str">
        <f>_xll.BDH("WMT US Equity","BS_OPRB_LT_LIABS","FQ1 2023","FQ1 2023","Currency=USD","Period=FQ","BEST_FPERIOD_OVERRIDE=FQ","FILING_STATUS=MR","SCALING_FORMAT=MLN","Sort=A","Dates=H","DateFormat=P","Fill=—","Direction=H","UseDPDF=Y")</f>
        <v>—</v>
      </c>
      <c r="AD60" s="17" t="str">
        <f>_xll.BDH("WMT US Equity","BS_OPRB_LT_LIABS","FQ2 2023","FQ2 2023","Currency=USD","Period=FQ","BEST_FPERIOD_OVERRIDE=FQ","FILING_STATUS=MR","SCALING_FORMAT=MLN","Sort=A","Dates=H","DateFormat=P","Fill=—","Direction=H","UseDPDF=Y")</f>
        <v>—</v>
      </c>
      <c r="AE60" s="17" t="str">
        <f>_xll.BDH("WMT US Equity","BS_OPRB_LT_LIABS","FQ3 2023","FQ3 2023","Currency=USD","Period=FQ","BEST_FPERIOD_OVERRIDE=FQ","FILING_STATUS=MR","SCALING_FORMAT=MLN","Sort=A","Dates=H","DateFormat=P","Fill=—","Direction=H","UseDPDF=Y")</f>
        <v>—</v>
      </c>
      <c r="AF60" s="17" t="str">
        <f>_xll.BDH("WMT US Equity","BS_OPRB_LT_LIABS","FQ4 2023","FQ4 2023","Currency=USD","Period=FQ","BEST_FPERIOD_OVERRIDE=FQ","FILING_STATUS=MR","SCALING_FORMAT=MLN","Sort=A","Dates=H","DateFormat=P","Fill=—","Direction=H","UseDPDF=Y")</f>
        <v>—</v>
      </c>
      <c r="AG60" s="17" t="str">
        <f>_xll.BDH("WMT US Equity","BS_OPRB_LT_LIABS","FQ1 2024","FQ1 2024","Currency=USD","Period=FQ","BEST_FPERIOD_OVERRIDE=FQ","FILING_STATUS=MR","SCALING_FORMAT=MLN","Sort=A","Dates=H","DateFormat=P","Fill=—","Direction=H","UseDPDF=Y")</f>
        <v>—</v>
      </c>
      <c r="AH60" s="17" t="str">
        <f>_xll.BDH("WMT US Equity","BS_OPRB_LT_LIABS","FQ2 2024","FQ2 2024","Currency=USD","Period=FQ","BEST_FPERIOD_OVERRIDE=FQ","FILING_STATUS=MR","SCALING_FORMAT=MLN","Sort=A","Dates=H","DateFormat=P","Fill=—","Direction=H","UseDPDF=Y")</f>
        <v>—</v>
      </c>
      <c r="AI60" s="17" t="str">
        <f>_xll.BDH("WMT US Equity","BS_OPRB_LT_LIABS","FQ3 2024","FQ3 2024","Currency=USD","Period=FQ","BEST_FPERIOD_OVERRIDE=FQ","FILING_STATUS=MR","SCALING_FORMAT=MLN","Sort=A","Dates=H","DateFormat=P","Fill=—","Direction=H","UseDPDF=Y")</f>
        <v>—</v>
      </c>
      <c r="AJ60" s="17" t="str">
        <f>_xll.BDH("WMT US Equity","BS_OPRB_LT_LIABS","FQ4 2024","FQ4 2024","Currency=USD","Period=FQ","BEST_FPERIOD_OVERRIDE=FQ","FILING_STATUS=MR","SCALING_FORMAT=MLN","Sort=A","Dates=H","DateFormat=P","Fill=—","Direction=H","UseDPDF=Y")</f>
        <v>—</v>
      </c>
      <c r="AK60" s="17" t="str">
        <f>_xll.BDH("WMT US Equity","BS_OPRB_LT_LIABS","FQ1 2025","FQ1 2025","Currency=USD","Period=FQ","BEST_FPERIOD_OVERRIDE=FQ","FILING_STATUS=MR","SCALING_FORMAT=MLN","Sort=A","Dates=H","DateFormat=P","Fill=—","Direction=H","UseDPDF=Y")</f>
        <v>—</v>
      </c>
      <c r="AL60" s="17" t="str">
        <f>_xll.BDH("WMT US Equity","BS_OPRB_LT_LIABS","FQ2 2025","FQ2 2025","Currency=USD","Period=FQ","BEST_FPERIOD_OVERRIDE=FQ","FILING_STATUS=MR","SCALING_FORMAT=MLN","Sort=A","Dates=H","DateFormat=P","Fill=—","Direction=H","UseDPDF=Y")</f>
        <v>—</v>
      </c>
      <c r="AM60" s="17" t="str">
        <f>_xll.BDH("WMT US Equity","BS_OPRB_LT_LIABS","FQ3 2025","FQ3 2025","Currency=USD","Period=FQ","BEST_FPERIOD_OVERRIDE=FQ","FILING_STATUS=MR","SCALING_FORMAT=MLN","Sort=A","Dates=H","DateFormat=P","Fill=—","Direction=H","UseDPDF=Y")</f>
        <v>—</v>
      </c>
      <c r="AN60" s="17">
        <f>_xll.BDH("WMT US Equity","BS_OPRB_LT_LIABS","FQ4 2025","FQ4 2025","Currency=USD","Period=FQ","BEST_FPERIOD_OVERRIDE=FQ","FILING_STATUS=MR","SCALING_FORMAT=MLN","Sort=A","Dates=H","DateFormat=P","Fill=—","Direction=H","UseDPDF=Y")</f>
        <v>0</v>
      </c>
      <c r="AO60" s="17" t="str">
        <f>_xll.BDH("WMT US Equity","BS_OPRB_LT_LIABS","FQ1 2026","FQ1 2026","Currency=USD","Period=FQ","BEST_FPERIOD_OVERRIDE=FQ","FILING_STATUS=MR","SCALING_FORMAT=MLN","Sort=A","Dates=H","DateFormat=P","Fill=—","Direction=H","UseDPDF=Y")</f>
        <v>—</v>
      </c>
      <c r="AP60" s="17" t="str">
        <f>_xll.BDH("WMT US Equity","BS_OPRB_LT_LIABS","FQ2 2026","FQ2 2026","Currency=USD","Period=FQ","BEST_FPERIOD_OVERRIDE=FQ","FILING_STATUS=MR","SCALING_FORMAT=MLN","Sort=A","Dates=H","DateFormat=P","Fill=—","Direction=H","UseDPDF=Y")</f>
        <v>—</v>
      </c>
    </row>
    <row r="61" spans="1:42" x14ac:dyDescent="0.3">
      <c r="A61" s="10" t="s">
        <v>221</v>
      </c>
      <c r="B61" s="10" t="s">
        <v>141</v>
      </c>
      <c r="C61" s="13" t="str">
        <f>_xll.BDH("WMT US Equity","LT_DEFERRED_REVENUE","FQ3 2016","FQ3 2016","Currency=USD","Period=FQ","BEST_FPERIOD_OVERRIDE=FQ","FILING_STATUS=MR","SCALING_FORMAT=MLN","Sort=A","Dates=H","DateFormat=P","Fill=—","Direction=H","UseDPDF=Y")</f>
        <v>—</v>
      </c>
      <c r="D61" s="13">
        <f>_xll.BDH("WMT US Equity","LT_DEFERRED_REVENUE","FQ4 2016","FQ4 2016","Currency=USD","Period=FQ","BEST_FPERIOD_OVERRIDE=FQ","FILING_STATUS=MR","SCALING_FORMAT=MLN","Sort=A","Dates=H","DateFormat=P","Fill=—","Direction=H","UseDPDF=Y")</f>
        <v>0</v>
      </c>
      <c r="E61" s="13" t="str">
        <f>_xll.BDH("WMT US Equity","LT_DEFERRED_REVENUE","FQ1 2017","FQ1 2017","Currency=USD","Period=FQ","BEST_FPERIOD_OVERRIDE=FQ","FILING_STATUS=MR","SCALING_FORMAT=MLN","Sort=A","Dates=H","DateFormat=P","Fill=—","Direction=H","UseDPDF=Y")</f>
        <v>—</v>
      </c>
      <c r="F61" s="13" t="str">
        <f>_xll.BDH("WMT US Equity","LT_DEFERRED_REVENUE","FQ2 2017","FQ2 2017","Currency=USD","Period=FQ","BEST_FPERIOD_OVERRIDE=FQ","FILING_STATUS=MR","SCALING_FORMAT=MLN","Sort=A","Dates=H","DateFormat=P","Fill=—","Direction=H","UseDPDF=Y")</f>
        <v>—</v>
      </c>
      <c r="G61" s="13" t="str">
        <f>_xll.BDH("WMT US Equity","LT_DEFERRED_REVENUE","FQ3 2017","FQ3 2017","Currency=USD","Period=FQ","BEST_FPERIOD_OVERRIDE=FQ","FILING_STATUS=MR","SCALING_FORMAT=MLN","Sort=A","Dates=H","DateFormat=P","Fill=—","Direction=H","UseDPDF=Y")</f>
        <v>—</v>
      </c>
      <c r="H61" s="13">
        <f>_xll.BDH("WMT US Equity","LT_DEFERRED_REVENUE","FQ4 2017","FQ4 2017","Currency=USD","Period=FQ","BEST_FPERIOD_OVERRIDE=FQ","FILING_STATUS=MR","SCALING_FORMAT=MLN","Sort=A","Dates=H","DateFormat=P","Fill=—","Direction=H","UseDPDF=Y")</f>
        <v>0</v>
      </c>
      <c r="I61" s="13" t="str">
        <f>_xll.BDH("WMT US Equity","LT_DEFERRED_REVENUE","FQ1 2018","FQ1 2018","Currency=USD","Period=FQ","BEST_FPERIOD_OVERRIDE=FQ","FILING_STATUS=MR","SCALING_FORMAT=MLN","Sort=A","Dates=H","DateFormat=P","Fill=—","Direction=H","UseDPDF=Y")</f>
        <v>—</v>
      </c>
      <c r="J61" s="13" t="str">
        <f>_xll.BDH("WMT US Equity","LT_DEFERRED_REVENUE","FQ2 2018","FQ2 2018","Currency=USD","Period=FQ","BEST_FPERIOD_OVERRIDE=FQ","FILING_STATUS=MR","SCALING_FORMAT=MLN","Sort=A","Dates=H","DateFormat=P","Fill=—","Direction=H","UseDPDF=Y")</f>
        <v>—</v>
      </c>
      <c r="K61" s="13" t="str">
        <f>_xll.BDH("WMT US Equity","LT_DEFERRED_REVENUE","FQ3 2018","FQ3 2018","Currency=USD","Period=FQ","BEST_FPERIOD_OVERRIDE=FQ","FILING_STATUS=MR","SCALING_FORMAT=MLN","Sort=A","Dates=H","DateFormat=P","Fill=—","Direction=H","UseDPDF=Y")</f>
        <v>—</v>
      </c>
      <c r="L61" s="13">
        <f>_xll.BDH("WMT US Equity","LT_DEFERRED_REVENUE","FQ4 2018","FQ4 2018","Currency=USD","Period=FQ","BEST_FPERIOD_OVERRIDE=FQ","FILING_STATUS=MR","SCALING_FORMAT=MLN","Sort=A","Dates=H","DateFormat=P","Fill=—","Direction=H","UseDPDF=Y")</f>
        <v>0</v>
      </c>
      <c r="M61" s="13" t="str">
        <f>_xll.BDH("WMT US Equity","LT_DEFERRED_REVENUE","FQ1 2019","FQ1 2019","Currency=USD","Period=FQ","BEST_FPERIOD_OVERRIDE=FQ","FILING_STATUS=MR","SCALING_FORMAT=MLN","Sort=A","Dates=H","DateFormat=P","Fill=—","Direction=H","UseDPDF=Y")</f>
        <v>—</v>
      </c>
      <c r="N61" s="13" t="str">
        <f>_xll.BDH("WMT US Equity","LT_DEFERRED_REVENUE","FQ2 2019","FQ2 2019","Currency=USD","Period=FQ","BEST_FPERIOD_OVERRIDE=FQ","FILING_STATUS=MR","SCALING_FORMAT=MLN","Sort=A","Dates=H","DateFormat=P","Fill=—","Direction=H","UseDPDF=Y")</f>
        <v>—</v>
      </c>
      <c r="O61" s="13" t="str">
        <f>_xll.BDH("WMT US Equity","LT_DEFERRED_REVENUE","FQ3 2019","FQ3 2019","Currency=USD","Period=FQ","BEST_FPERIOD_OVERRIDE=FQ","FILING_STATUS=MR","SCALING_FORMAT=MLN","Sort=A","Dates=H","DateFormat=P","Fill=—","Direction=H","UseDPDF=Y")</f>
        <v>—</v>
      </c>
      <c r="P61" s="13">
        <f>_xll.BDH("WMT US Equity","LT_DEFERRED_REVENUE","FQ4 2019","FQ4 2019","Currency=USD","Period=FQ","BEST_FPERIOD_OVERRIDE=FQ","FILING_STATUS=MR","SCALING_FORMAT=MLN","Sort=A","Dates=H","DateFormat=P","Fill=—","Direction=H","UseDPDF=Y")</f>
        <v>0</v>
      </c>
      <c r="Q61" s="13" t="str">
        <f>_xll.BDH("WMT US Equity","LT_DEFERRED_REVENUE","FQ1 2020","FQ1 2020","Currency=USD","Period=FQ","BEST_FPERIOD_OVERRIDE=FQ","FILING_STATUS=MR","SCALING_FORMAT=MLN","Sort=A","Dates=H","DateFormat=P","Fill=—","Direction=H","UseDPDF=Y")</f>
        <v>—</v>
      </c>
      <c r="R61" s="13" t="str">
        <f>_xll.BDH("WMT US Equity","LT_DEFERRED_REVENUE","FQ2 2020","FQ2 2020","Currency=USD","Period=FQ","BEST_FPERIOD_OVERRIDE=FQ","FILING_STATUS=MR","SCALING_FORMAT=MLN","Sort=A","Dates=H","DateFormat=P","Fill=—","Direction=H","UseDPDF=Y")</f>
        <v>—</v>
      </c>
      <c r="S61" s="13" t="str">
        <f>_xll.BDH("WMT US Equity","LT_DEFERRED_REVENUE","FQ3 2020","FQ3 2020","Currency=USD","Period=FQ","BEST_FPERIOD_OVERRIDE=FQ","FILING_STATUS=MR","SCALING_FORMAT=MLN","Sort=A","Dates=H","DateFormat=P","Fill=—","Direction=H","UseDPDF=Y")</f>
        <v>—</v>
      </c>
      <c r="T61" s="13" t="str">
        <f>_xll.BDH("WMT US Equity","LT_DEFERRED_REVENUE","FQ4 2020","FQ4 2020","Currency=USD","Period=FQ","BEST_FPERIOD_OVERRIDE=FQ","FILING_STATUS=MR","SCALING_FORMAT=MLN","Sort=A","Dates=H","DateFormat=P","Fill=—","Direction=H","UseDPDF=Y")</f>
        <v>—</v>
      </c>
      <c r="U61" s="13" t="str">
        <f>_xll.BDH("WMT US Equity","LT_DEFERRED_REVENUE","FQ1 2021","FQ1 2021","Currency=USD","Period=FQ","BEST_FPERIOD_OVERRIDE=FQ","FILING_STATUS=MR","SCALING_FORMAT=MLN","Sort=A","Dates=H","DateFormat=P","Fill=—","Direction=H","UseDPDF=Y")</f>
        <v>—</v>
      </c>
      <c r="V61" s="13" t="str">
        <f>_xll.BDH("WMT US Equity","LT_DEFERRED_REVENUE","FQ2 2021","FQ2 2021","Currency=USD","Period=FQ","BEST_FPERIOD_OVERRIDE=FQ","FILING_STATUS=MR","SCALING_FORMAT=MLN","Sort=A","Dates=H","DateFormat=P","Fill=—","Direction=H","UseDPDF=Y")</f>
        <v>—</v>
      </c>
      <c r="W61" s="13" t="str">
        <f>_xll.BDH("WMT US Equity","LT_DEFERRED_REVENUE","FQ3 2021","FQ3 2021","Currency=USD","Period=FQ","BEST_FPERIOD_OVERRIDE=FQ","FILING_STATUS=MR","SCALING_FORMAT=MLN","Sort=A","Dates=H","DateFormat=P","Fill=—","Direction=H","UseDPDF=Y")</f>
        <v>—</v>
      </c>
      <c r="X61" s="13">
        <f>_xll.BDH("WMT US Equity","LT_DEFERRED_REVENUE","FQ4 2021","FQ4 2021","Currency=USD","Period=FQ","BEST_FPERIOD_OVERRIDE=FQ","FILING_STATUS=MR","SCALING_FORMAT=MLN","Sort=A","Dates=H","DateFormat=P","Fill=—","Direction=H","UseDPDF=Y")</f>
        <v>0</v>
      </c>
      <c r="Y61" s="13" t="str">
        <f>_xll.BDH("WMT US Equity","LT_DEFERRED_REVENUE","FQ1 2022","FQ1 2022","Currency=USD","Period=FQ","BEST_FPERIOD_OVERRIDE=FQ","FILING_STATUS=MR","SCALING_FORMAT=MLN","Sort=A","Dates=H","DateFormat=P","Fill=—","Direction=H","UseDPDF=Y")</f>
        <v>—</v>
      </c>
      <c r="Z61" s="13">
        <f>_xll.BDH("WMT US Equity","LT_DEFERRED_REVENUE","FQ2 2022","FQ2 2022","Currency=USD","Period=FQ","BEST_FPERIOD_OVERRIDE=FQ","FILING_STATUS=MR","SCALING_FORMAT=MLN","Sort=A","Dates=H","DateFormat=P","Fill=—","Direction=H","UseDPDF=Y")</f>
        <v>0</v>
      </c>
      <c r="AA61" s="13">
        <f>_xll.BDH("WMT US Equity","LT_DEFERRED_REVENUE","FQ3 2022","FQ3 2022","Currency=USD","Period=FQ","BEST_FPERIOD_OVERRIDE=FQ","FILING_STATUS=MR","SCALING_FORMAT=MLN","Sort=A","Dates=H","DateFormat=P","Fill=—","Direction=H","UseDPDF=Y")</f>
        <v>0</v>
      </c>
      <c r="AB61" s="13">
        <f>_xll.BDH("WMT US Equity","LT_DEFERRED_REVENUE","FQ4 2022","FQ4 2022","Currency=USD","Period=FQ","BEST_FPERIOD_OVERRIDE=FQ","FILING_STATUS=MR","SCALING_FORMAT=MLN","Sort=A","Dates=H","DateFormat=P","Fill=—","Direction=H","UseDPDF=Y")</f>
        <v>0</v>
      </c>
      <c r="AC61" s="13">
        <f>_xll.BDH("WMT US Equity","LT_DEFERRED_REVENUE","FQ1 2023","FQ1 2023","Currency=USD","Period=FQ","BEST_FPERIOD_OVERRIDE=FQ","FILING_STATUS=MR","SCALING_FORMAT=MLN","Sort=A","Dates=H","DateFormat=P","Fill=—","Direction=H","UseDPDF=Y")</f>
        <v>0</v>
      </c>
      <c r="AD61" s="13">
        <f>_xll.BDH("WMT US Equity","LT_DEFERRED_REVENUE","FQ2 2023","FQ2 2023","Currency=USD","Period=FQ","BEST_FPERIOD_OVERRIDE=FQ","FILING_STATUS=MR","SCALING_FORMAT=MLN","Sort=A","Dates=H","DateFormat=P","Fill=—","Direction=H","UseDPDF=Y")</f>
        <v>0</v>
      </c>
      <c r="AE61" s="13">
        <f>_xll.BDH("WMT US Equity","LT_DEFERRED_REVENUE","FQ3 2023","FQ3 2023","Currency=USD","Period=FQ","BEST_FPERIOD_OVERRIDE=FQ","FILING_STATUS=MR","SCALING_FORMAT=MLN","Sort=A","Dates=H","DateFormat=P","Fill=—","Direction=H","UseDPDF=Y")</f>
        <v>0</v>
      </c>
      <c r="AF61" s="13">
        <f>_xll.BDH("WMT US Equity","LT_DEFERRED_REVENUE","FQ4 2023","FQ4 2023","Currency=USD","Period=FQ","BEST_FPERIOD_OVERRIDE=FQ","FILING_STATUS=MR","SCALING_FORMAT=MLN","Sort=A","Dates=H","DateFormat=P","Fill=—","Direction=H","UseDPDF=Y")</f>
        <v>0</v>
      </c>
      <c r="AG61" s="13" t="str">
        <f>_xll.BDH("WMT US Equity","LT_DEFERRED_REVENUE","FQ1 2024","FQ1 2024","Currency=USD","Period=FQ","BEST_FPERIOD_OVERRIDE=FQ","FILING_STATUS=MR","SCALING_FORMAT=MLN","Sort=A","Dates=H","DateFormat=P","Fill=—","Direction=H","UseDPDF=Y")</f>
        <v>—</v>
      </c>
      <c r="AH61" s="13" t="str">
        <f>_xll.BDH("WMT US Equity","LT_DEFERRED_REVENUE","FQ2 2024","FQ2 2024","Currency=USD","Period=FQ","BEST_FPERIOD_OVERRIDE=FQ","FILING_STATUS=MR","SCALING_FORMAT=MLN","Sort=A","Dates=H","DateFormat=P","Fill=—","Direction=H","UseDPDF=Y")</f>
        <v>—</v>
      </c>
      <c r="AI61" s="13" t="str">
        <f>_xll.BDH("WMT US Equity","LT_DEFERRED_REVENUE","FQ3 2024","FQ3 2024","Currency=USD","Period=FQ","BEST_FPERIOD_OVERRIDE=FQ","FILING_STATUS=MR","SCALING_FORMAT=MLN","Sort=A","Dates=H","DateFormat=P","Fill=—","Direction=H","UseDPDF=Y")</f>
        <v>—</v>
      </c>
      <c r="AJ61" s="13">
        <f>_xll.BDH("WMT US Equity","LT_DEFERRED_REVENUE","FQ4 2024","FQ4 2024","Currency=USD","Period=FQ","BEST_FPERIOD_OVERRIDE=FQ","FILING_STATUS=MR","SCALING_FORMAT=MLN","Sort=A","Dates=H","DateFormat=P","Fill=—","Direction=H","UseDPDF=Y")</f>
        <v>0</v>
      </c>
      <c r="AK61" s="13" t="str">
        <f>_xll.BDH("WMT US Equity","LT_DEFERRED_REVENUE","FQ1 2025","FQ1 2025","Currency=USD","Period=FQ","BEST_FPERIOD_OVERRIDE=FQ","FILING_STATUS=MR","SCALING_FORMAT=MLN","Sort=A","Dates=H","DateFormat=P","Fill=—","Direction=H","UseDPDF=Y")</f>
        <v>—</v>
      </c>
      <c r="AL61" s="13" t="str">
        <f>_xll.BDH("WMT US Equity","LT_DEFERRED_REVENUE","FQ2 2025","FQ2 2025","Currency=USD","Period=FQ","BEST_FPERIOD_OVERRIDE=FQ","FILING_STATUS=MR","SCALING_FORMAT=MLN","Sort=A","Dates=H","DateFormat=P","Fill=—","Direction=H","UseDPDF=Y")</f>
        <v>—</v>
      </c>
      <c r="AM61" s="13" t="str">
        <f>_xll.BDH("WMT US Equity","LT_DEFERRED_REVENUE","FQ3 2025","FQ3 2025","Currency=USD","Period=FQ","BEST_FPERIOD_OVERRIDE=FQ","FILING_STATUS=MR","SCALING_FORMAT=MLN","Sort=A","Dates=H","DateFormat=P","Fill=—","Direction=H","UseDPDF=Y")</f>
        <v>—</v>
      </c>
      <c r="AN61" s="13">
        <f>_xll.BDH("WMT US Equity","LT_DEFERRED_REVENUE","FQ4 2025","FQ4 2025","Currency=USD","Period=FQ","BEST_FPERIOD_OVERRIDE=FQ","FILING_STATUS=MR","SCALING_FORMAT=MLN","Sort=A","Dates=H","DateFormat=P","Fill=—","Direction=H","UseDPDF=Y")</f>
        <v>0</v>
      </c>
      <c r="AO61" s="13" t="str">
        <f>_xll.BDH("WMT US Equity","LT_DEFERRED_REVENUE","FQ1 2026","FQ1 2026","Currency=USD","Period=FQ","BEST_FPERIOD_OVERRIDE=FQ","FILING_STATUS=MR","SCALING_FORMAT=MLN","Sort=A","Dates=H","DateFormat=P","Fill=—","Direction=H","UseDPDF=Y")</f>
        <v>—</v>
      </c>
      <c r="AP61" s="13" t="str">
        <f>_xll.BDH("WMT US Equity","LT_DEFERRED_REVENUE","FQ2 2026","FQ2 2026","Currency=USD","Period=FQ","BEST_FPERIOD_OVERRIDE=FQ","FILING_STATUS=MR","SCALING_FORMAT=MLN","Sort=A","Dates=H","DateFormat=P","Fill=—","Direction=H","UseDPDF=Y")</f>
        <v>—</v>
      </c>
    </row>
    <row r="62" spans="1:42" x14ac:dyDescent="0.3">
      <c r="A62" s="10" t="s">
        <v>223</v>
      </c>
      <c r="B62" s="10" t="s">
        <v>142</v>
      </c>
      <c r="C62" s="13" t="str">
        <f>_xll.BDH("WMT US Equity","BS_DEFERRED_TAX_LIABILITIES_LT","FQ3 2016","FQ3 2016","Currency=USD","Period=FQ","BEST_FPERIOD_OVERRIDE=FQ","FILING_STATUS=MR","SCALING_FORMAT=MLN","Sort=A","Dates=H","DateFormat=P","Fill=—","Direction=H","UseDPDF=Y")</f>
        <v>—</v>
      </c>
      <c r="D62" s="13">
        <f>_xll.BDH("WMT US Equity","BS_DEFERRED_TAX_LIABILITIES_LT","FQ4 2016","FQ4 2016","Currency=USD","Period=FQ","BEST_FPERIOD_OVERRIDE=FQ","FILING_STATUS=MR","SCALING_FORMAT=MLN","Sort=A","Dates=H","DateFormat=P","Fill=—","Direction=H","UseDPDF=Y")</f>
        <v>3357</v>
      </c>
      <c r="E62" s="13" t="str">
        <f>_xll.BDH("WMT US Equity","BS_DEFERRED_TAX_LIABILITIES_LT","FQ1 2017","FQ1 2017","Currency=USD","Period=FQ","BEST_FPERIOD_OVERRIDE=FQ","FILING_STATUS=MR","SCALING_FORMAT=MLN","Sort=A","Dates=H","DateFormat=P","Fill=—","Direction=H","UseDPDF=Y")</f>
        <v>—</v>
      </c>
      <c r="F62" s="13" t="str">
        <f>_xll.BDH("WMT US Equity","BS_DEFERRED_TAX_LIABILITIES_LT","FQ2 2017","FQ2 2017","Currency=USD","Period=FQ","BEST_FPERIOD_OVERRIDE=FQ","FILING_STATUS=MR","SCALING_FORMAT=MLN","Sort=A","Dates=H","DateFormat=P","Fill=—","Direction=H","UseDPDF=Y")</f>
        <v>—</v>
      </c>
      <c r="G62" s="13" t="str">
        <f>_xll.BDH("WMT US Equity","BS_DEFERRED_TAX_LIABILITIES_LT","FQ3 2017","FQ3 2017","Currency=USD","Period=FQ","BEST_FPERIOD_OVERRIDE=FQ","FILING_STATUS=MR","SCALING_FORMAT=MLN","Sort=A","Dates=H","DateFormat=P","Fill=—","Direction=H","UseDPDF=Y")</f>
        <v>—</v>
      </c>
      <c r="H62" s="13">
        <f>_xll.BDH("WMT US Equity","BS_DEFERRED_TAX_LIABILITIES_LT","FQ4 2017","FQ4 2017","Currency=USD","Period=FQ","BEST_FPERIOD_OVERRIDE=FQ","FILING_STATUS=MR","SCALING_FORMAT=MLN","Sort=A","Dates=H","DateFormat=P","Fill=—","Direction=H","UseDPDF=Y")</f>
        <v>4333</v>
      </c>
      <c r="I62" s="13" t="str">
        <f>_xll.BDH("WMT US Equity","BS_DEFERRED_TAX_LIABILITIES_LT","FQ1 2018","FQ1 2018","Currency=USD","Period=FQ","BEST_FPERIOD_OVERRIDE=FQ","FILING_STATUS=MR","SCALING_FORMAT=MLN","Sort=A","Dates=H","DateFormat=P","Fill=—","Direction=H","UseDPDF=Y")</f>
        <v>—</v>
      </c>
      <c r="J62" s="13" t="str">
        <f>_xll.BDH("WMT US Equity","BS_DEFERRED_TAX_LIABILITIES_LT","FQ2 2018","FQ2 2018","Currency=USD","Period=FQ","BEST_FPERIOD_OVERRIDE=FQ","FILING_STATUS=MR","SCALING_FORMAT=MLN","Sort=A","Dates=H","DateFormat=P","Fill=—","Direction=H","UseDPDF=Y")</f>
        <v>—</v>
      </c>
      <c r="K62" s="13" t="str">
        <f>_xll.BDH("WMT US Equity","BS_DEFERRED_TAX_LIABILITIES_LT","FQ3 2018","FQ3 2018","Currency=USD","Period=FQ","BEST_FPERIOD_OVERRIDE=FQ","FILING_STATUS=MR","SCALING_FORMAT=MLN","Sort=A","Dates=H","DateFormat=P","Fill=—","Direction=H","UseDPDF=Y")</f>
        <v>—</v>
      </c>
      <c r="L62" s="13">
        <f>_xll.BDH("WMT US Equity","BS_DEFERRED_TAX_LIABILITIES_LT","FQ4 2018","FQ4 2018","Currency=USD","Period=FQ","BEST_FPERIOD_OVERRIDE=FQ","FILING_STATUS=MR","SCALING_FORMAT=MLN","Sort=A","Dates=H","DateFormat=P","Fill=—","Direction=H","UseDPDF=Y")</f>
        <v>3831</v>
      </c>
      <c r="M62" s="13" t="str">
        <f>_xll.BDH("WMT US Equity","BS_DEFERRED_TAX_LIABILITIES_LT","FQ1 2019","FQ1 2019","Currency=USD","Period=FQ","BEST_FPERIOD_OVERRIDE=FQ","FILING_STATUS=MR","SCALING_FORMAT=MLN","Sort=A","Dates=H","DateFormat=P","Fill=—","Direction=H","UseDPDF=Y")</f>
        <v>—</v>
      </c>
      <c r="N62" s="13" t="str">
        <f>_xll.BDH("WMT US Equity","BS_DEFERRED_TAX_LIABILITIES_LT","FQ2 2019","FQ2 2019","Currency=USD","Period=FQ","BEST_FPERIOD_OVERRIDE=FQ","FILING_STATUS=MR","SCALING_FORMAT=MLN","Sort=A","Dates=H","DateFormat=P","Fill=—","Direction=H","UseDPDF=Y")</f>
        <v>—</v>
      </c>
      <c r="O62" s="13" t="str">
        <f>_xll.BDH("WMT US Equity","BS_DEFERRED_TAX_LIABILITIES_LT","FQ3 2019","FQ3 2019","Currency=USD","Period=FQ","BEST_FPERIOD_OVERRIDE=FQ","FILING_STATUS=MR","SCALING_FORMAT=MLN","Sort=A","Dates=H","DateFormat=P","Fill=—","Direction=H","UseDPDF=Y")</f>
        <v>—</v>
      </c>
      <c r="P62" s="13">
        <f>_xll.BDH("WMT US Equity","BS_DEFERRED_TAX_LIABILITIES_LT","FQ4 2019","FQ4 2019","Currency=USD","Period=FQ","BEST_FPERIOD_OVERRIDE=FQ","FILING_STATUS=MR","SCALING_FORMAT=MLN","Sort=A","Dates=H","DateFormat=P","Fill=—","Direction=H","UseDPDF=Y")</f>
        <v>6296</v>
      </c>
      <c r="Q62" s="13" t="str">
        <f>_xll.BDH("WMT US Equity","BS_DEFERRED_TAX_LIABILITIES_LT","FQ1 2020","FQ1 2020","Currency=USD","Period=FQ","BEST_FPERIOD_OVERRIDE=FQ","FILING_STATUS=MR","SCALING_FORMAT=MLN","Sort=A","Dates=H","DateFormat=P","Fill=—","Direction=H","UseDPDF=Y")</f>
        <v>—</v>
      </c>
      <c r="R62" s="13" t="str">
        <f>_xll.BDH("WMT US Equity","BS_DEFERRED_TAX_LIABILITIES_LT","FQ2 2020","FQ2 2020","Currency=USD","Period=FQ","BEST_FPERIOD_OVERRIDE=FQ","FILING_STATUS=MR","SCALING_FORMAT=MLN","Sort=A","Dates=H","DateFormat=P","Fill=—","Direction=H","UseDPDF=Y")</f>
        <v>—</v>
      </c>
      <c r="S62" s="13" t="str">
        <f>_xll.BDH("WMT US Equity","BS_DEFERRED_TAX_LIABILITIES_LT","FQ3 2020","FQ3 2020","Currency=USD","Period=FQ","BEST_FPERIOD_OVERRIDE=FQ","FILING_STATUS=MR","SCALING_FORMAT=MLN","Sort=A","Dates=H","DateFormat=P","Fill=—","Direction=H","UseDPDF=Y")</f>
        <v>—</v>
      </c>
      <c r="T62" s="13">
        <f>_xll.BDH("WMT US Equity","BS_DEFERRED_TAX_LIABILITIES_LT","FQ4 2020","FQ4 2020","Currency=USD","Period=FQ","BEST_FPERIOD_OVERRIDE=FQ","FILING_STATUS=MR","SCALING_FORMAT=MLN","Sort=A","Dates=H","DateFormat=P","Fill=—","Direction=H","UseDPDF=Y")</f>
        <v>6204</v>
      </c>
      <c r="U62" s="13" t="str">
        <f>_xll.BDH("WMT US Equity","BS_DEFERRED_TAX_LIABILITIES_LT","FQ1 2021","FQ1 2021","Currency=USD","Period=FQ","BEST_FPERIOD_OVERRIDE=FQ","FILING_STATUS=MR","SCALING_FORMAT=MLN","Sort=A","Dates=H","DateFormat=P","Fill=—","Direction=H","UseDPDF=Y")</f>
        <v>—</v>
      </c>
      <c r="V62" s="13" t="str">
        <f>_xll.BDH("WMT US Equity","BS_DEFERRED_TAX_LIABILITIES_LT","FQ2 2021","FQ2 2021","Currency=USD","Period=FQ","BEST_FPERIOD_OVERRIDE=FQ","FILING_STATUS=MR","SCALING_FORMAT=MLN","Sort=A","Dates=H","DateFormat=P","Fill=—","Direction=H","UseDPDF=Y")</f>
        <v>—</v>
      </c>
      <c r="W62" s="13" t="str">
        <f>_xll.BDH("WMT US Equity","BS_DEFERRED_TAX_LIABILITIES_LT","FQ3 2021","FQ3 2021","Currency=USD","Period=FQ","BEST_FPERIOD_OVERRIDE=FQ","FILING_STATUS=MR","SCALING_FORMAT=MLN","Sort=A","Dates=H","DateFormat=P","Fill=—","Direction=H","UseDPDF=Y")</f>
        <v>—</v>
      </c>
      <c r="X62" s="13">
        <f>_xll.BDH("WMT US Equity","BS_DEFERRED_TAX_LIABILITIES_LT","FQ4 2021","FQ4 2021","Currency=USD","Period=FQ","BEST_FPERIOD_OVERRIDE=FQ","FILING_STATUS=MR","SCALING_FORMAT=MLN","Sort=A","Dates=H","DateFormat=P","Fill=—","Direction=H","UseDPDF=Y")</f>
        <v>8445</v>
      </c>
      <c r="Y62" s="13" t="str">
        <f>_xll.BDH("WMT US Equity","BS_DEFERRED_TAX_LIABILITIES_LT","FQ1 2022","FQ1 2022","Currency=USD","Period=FQ","BEST_FPERIOD_OVERRIDE=FQ","FILING_STATUS=MR","SCALING_FORMAT=MLN","Sort=A","Dates=H","DateFormat=P","Fill=—","Direction=H","UseDPDF=Y")</f>
        <v>—</v>
      </c>
      <c r="Z62" s="13" t="str">
        <f>_xll.BDH("WMT US Equity","BS_DEFERRED_TAX_LIABILITIES_LT","FQ2 2022","FQ2 2022","Currency=USD","Period=FQ","BEST_FPERIOD_OVERRIDE=FQ","FILING_STATUS=MR","SCALING_FORMAT=MLN","Sort=A","Dates=H","DateFormat=P","Fill=—","Direction=H","UseDPDF=Y")</f>
        <v>—</v>
      </c>
      <c r="AA62" s="13" t="str">
        <f>_xll.BDH("WMT US Equity","BS_DEFERRED_TAX_LIABILITIES_LT","FQ3 2022","FQ3 2022","Currency=USD","Period=FQ","BEST_FPERIOD_OVERRIDE=FQ","FILING_STATUS=MR","SCALING_FORMAT=MLN","Sort=A","Dates=H","DateFormat=P","Fill=—","Direction=H","UseDPDF=Y")</f>
        <v>—</v>
      </c>
      <c r="AB62" s="13">
        <f>_xll.BDH("WMT US Equity","BS_DEFERRED_TAX_LIABILITIES_LT","FQ4 2022","FQ4 2022","Currency=USD","Period=FQ","BEST_FPERIOD_OVERRIDE=FQ","FILING_STATUS=MR","SCALING_FORMAT=MLN","Sort=A","Dates=H","DateFormat=P","Fill=—","Direction=H","UseDPDF=Y")</f>
        <v>6917</v>
      </c>
      <c r="AC62" s="13" t="str">
        <f>_xll.BDH("WMT US Equity","BS_DEFERRED_TAX_LIABILITIES_LT","FQ1 2023","FQ1 2023","Currency=USD","Period=FQ","BEST_FPERIOD_OVERRIDE=FQ","FILING_STATUS=MR","SCALING_FORMAT=MLN","Sort=A","Dates=H","DateFormat=P","Fill=—","Direction=H","UseDPDF=Y")</f>
        <v>—</v>
      </c>
      <c r="AD62" s="13" t="str">
        <f>_xll.BDH("WMT US Equity","BS_DEFERRED_TAX_LIABILITIES_LT","FQ2 2023","FQ2 2023","Currency=USD","Period=FQ","BEST_FPERIOD_OVERRIDE=FQ","FILING_STATUS=MR","SCALING_FORMAT=MLN","Sort=A","Dates=H","DateFormat=P","Fill=—","Direction=H","UseDPDF=Y")</f>
        <v>—</v>
      </c>
      <c r="AE62" s="13" t="str">
        <f>_xll.BDH("WMT US Equity","BS_DEFERRED_TAX_LIABILITIES_LT","FQ3 2023","FQ3 2023","Currency=USD","Period=FQ","BEST_FPERIOD_OVERRIDE=FQ","FILING_STATUS=MR","SCALING_FORMAT=MLN","Sort=A","Dates=H","DateFormat=P","Fill=—","Direction=H","UseDPDF=Y")</f>
        <v>—</v>
      </c>
      <c r="AF62" s="13">
        <f>_xll.BDH("WMT US Equity","BS_DEFERRED_TAX_LIABILITIES_LT","FQ4 2023","FQ4 2023","Currency=USD","Period=FQ","BEST_FPERIOD_OVERRIDE=FQ","FILING_STATUS=MR","SCALING_FORMAT=MLN","Sort=A","Dates=H","DateFormat=P","Fill=—","Direction=H","UseDPDF=Y")</f>
        <v>7269</v>
      </c>
      <c r="AG62" s="13" t="str">
        <f>_xll.BDH("WMT US Equity","BS_DEFERRED_TAX_LIABILITIES_LT","FQ1 2024","FQ1 2024","Currency=USD","Period=FQ","BEST_FPERIOD_OVERRIDE=FQ","FILING_STATUS=MR","SCALING_FORMAT=MLN","Sort=A","Dates=H","DateFormat=P","Fill=—","Direction=H","UseDPDF=Y")</f>
        <v>—</v>
      </c>
      <c r="AH62" s="13" t="str">
        <f>_xll.BDH("WMT US Equity","BS_DEFERRED_TAX_LIABILITIES_LT","FQ2 2024","FQ2 2024","Currency=USD","Period=FQ","BEST_FPERIOD_OVERRIDE=FQ","FILING_STATUS=MR","SCALING_FORMAT=MLN","Sort=A","Dates=H","DateFormat=P","Fill=—","Direction=H","UseDPDF=Y")</f>
        <v>—</v>
      </c>
      <c r="AI62" s="13" t="str">
        <f>_xll.BDH("WMT US Equity","BS_DEFERRED_TAX_LIABILITIES_LT","FQ3 2024","FQ3 2024","Currency=USD","Period=FQ","BEST_FPERIOD_OVERRIDE=FQ","FILING_STATUS=MR","SCALING_FORMAT=MLN","Sort=A","Dates=H","DateFormat=P","Fill=—","Direction=H","UseDPDF=Y")</f>
        <v>—</v>
      </c>
      <c r="AJ62" s="13">
        <f>_xll.BDH("WMT US Equity","BS_DEFERRED_TAX_LIABILITIES_LT","FQ4 2024","FQ4 2024","Currency=USD","Period=FQ","BEST_FPERIOD_OVERRIDE=FQ","FILING_STATUS=MR","SCALING_FORMAT=MLN","Sort=A","Dates=H","DateFormat=P","Fill=—","Direction=H","UseDPDF=Y")</f>
        <v>7248</v>
      </c>
      <c r="AK62" s="13" t="str">
        <f>_xll.BDH("WMT US Equity","BS_DEFERRED_TAX_LIABILITIES_LT","FQ1 2025","FQ1 2025","Currency=USD","Period=FQ","BEST_FPERIOD_OVERRIDE=FQ","FILING_STATUS=MR","SCALING_FORMAT=MLN","Sort=A","Dates=H","DateFormat=P","Fill=—","Direction=H","UseDPDF=Y")</f>
        <v>—</v>
      </c>
      <c r="AL62" s="13" t="str">
        <f>_xll.BDH("WMT US Equity","BS_DEFERRED_TAX_LIABILITIES_LT","FQ2 2025","FQ2 2025","Currency=USD","Period=FQ","BEST_FPERIOD_OVERRIDE=FQ","FILING_STATUS=MR","SCALING_FORMAT=MLN","Sort=A","Dates=H","DateFormat=P","Fill=—","Direction=H","UseDPDF=Y")</f>
        <v>—</v>
      </c>
      <c r="AM62" s="13" t="str">
        <f>_xll.BDH("WMT US Equity","BS_DEFERRED_TAX_LIABILITIES_LT","FQ3 2025","FQ3 2025","Currency=USD","Period=FQ","BEST_FPERIOD_OVERRIDE=FQ","FILING_STATUS=MR","SCALING_FORMAT=MLN","Sort=A","Dates=H","DateFormat=P","Fill=—","Direction=H","UseDPDF=Y")</f>
        <v>—</v>
      </c>
      <c r="AN62" s="13">
        <f>_xll.BDH("WMT US Equity","BS_DEFERRED_TAX_LIABILITIES_LT","FQ4 2025","FQ4 2025","Currency=USD","Period=FQ","BEST_FPERIOD_OVERRIDE=FQ","FILING_STATUS=MR","SCALING_FORMAT=MLN","Sort=A","Dates=H","DateFormat=P","Fill=—","Direction=H","UseDPDF=Y")</f>
        <v>7019</v>
      </c>
      <c r="AO62" s="13" t="str">
        <f>_xll.BDH("WMT US Equity","BS_DEFERRED_TAX_LIABILITIES_LT","FQ1 2026","FQ1 2026","Currency=USD","Period=FQ","BEST_FPERIOD_OVERRIDE=FQ","FILING_STATUS=MR","SCALING_FORMAT=MLN","Sort=A","Dates=H","DateFormat=P","Fill=—","Direction=H","UseDPDF=Y")</f>
        <v>—</v>
      </c>
      <c r="AP62" s="13" t="str">
        <f>_xll.BDH("WMT US Equity","BS_DEFERRED_TAX_LIABILITIES_LT","FQ2 2026","FQ2 2026","Currency=USD","Period=FQ","BEST_FPERIOD_OVERRIDE=FQ","FILING_STATUS=MR","SCALING_FORMAT=MLN","Sort=A","Dates=H","DateFormat=P","Fill=—","Direction=H","UseDPDF=Y")</f>
        <v>—</v>
      </c>
    </row>
    <row r="63" spans="1:42" x14ac:dyDescent="0.3">
      <c r="A63" s="10" t="s">
        <v>222</v>
      </c>
      <c r="B63" s="10" t="s">
        <v>143</v>
      </c>
      <c r="C63" s="13">
        <f>_xll.BDH("WMT US Equity","BS_DERIV_HEDGING_LIAB_LT","FQ3 2016","FQ3 2016","Currency=USD","Period=FQ","BEST_FPERIOD_OVERRIDE=FQ","FILING_STATUS=MR","SCALING_FORMAT=MLN","Sort=A","Dates=H","DateFormat=P","Fill=—","Direction=H","UseDPDF=Y")</f>
        <v>4602</v>
      </c>
      <c r="D63" s="13">
        <f>_xll.BDH("WMT US Equity","BS_DERIV_HEDGING_LIAB_LT","FQ4 2016","FQ4 2016","Currency=USD","Period=FQ","BEST_FPERIOD_OVERRIDE=FQ","FILING_STATUS=MR","SCALING_FORMAT=MLN","Sort=A","Dates=H","DateFormat=P","Fill=—","Direction=H","UseDPDF=Y")</f>
        <v>4382</v>
      </c>
      <c r="E63" s="13">
        <f>_xll.BDH("WMT US Equity","BS_DERIV_HEDGING_LIAB_LT","FQ1 2017","FQ1 2017","Currency=USD","Period=FQ","BEST_FPERIOD_OVERRIDE=FQ","FILING_STATUS=MR","SCALING_FORMAT=MLN","Sort=A","Dates=H","DateFormat=P","Fill=—","Direction=H","UseDPDF=Y")</f>
        <v>4274</v>
      </c>
      <c r="F63" s="13">
        <f>_xll.BDH("WMT US Equity","BS_DERIV_HEDGING_LIAB_LT","FQ2 2017","FQ2 2017","Currency=USD","Period=FQ","BEST_FPERIOD_OVERRIDE=FQ","FILING_STATUS=MR","SCALING_FORMAT=MLN","Sort=A","Dates=H","DateFormat=P","Fill=—","Direction=H","UseDPDF=Y")</f>
        <v>4022</v>
      </c>
      <c r="G63" s="13">
        <f>_xll.BDH("WMT US Equity","BS_DERIV_HEDGING_LIAB_LT","FQ3 2017","FQ3 2017","Currency=USD","Period=FQ","BEST_FPERIOD_OVERRIDE=FQ","FILING_STATUS=MR","SCALING_FORMAT=MLN","Sort=A","Dates=H","DateFormat=P","Fill=—","Direction=H","UseDPDF=Y")</f>
        <v>3979</v>
      </c>
      <c r="H63" s="13">
        <f>_xll.BDH("WMT US Equity","BS_DERIV_HEDGING_LIAB_LT","FQ4 2017","FQ4 2017","Currency=USD","Period=FQ","BEST_FPERIOD_OVERRIDE=FQ","FILING_STATUS=MR","SCALING_FORMAT=MLN","Sort=A","Dates=H","DateFormat=P","Fill=—","Direction=H","UseDPDF=Y")</f>
        <v>3839</v>
      </c>
      <c r="I63" s="13">
        <f>_xll.BDH("WMT US Equity","BS_DERIV_HEDGING_LIAB_LT","FQ1 2018","FQ1 2018","Currency=USD","Period=FQ","BEST_FPERIOD_OVERRIDE=FQ","FILING_STATUS=MR","SCALING_FORMAT=MLN","Sort=A","Dates=H","DateFormat=P","Fill=—","Direction=H","UseDPDF=Y")</f>
        <v>3940</v>
      </c>
      <c r="J63" s="13">
        <f>_xll.BDH("WMT US Equity","BS_DERIV_HEDGING_LIAB_LT","FQ2 2018","FQ2 2018","Currency=USD","Period=FQ","BEST_FPERIOD_OVERRIDE=FQ","FILING_STATUS=MR","SCALING_FORMAT=MLN","Sort=A","Dates=H","DateFormat=P","Fill=—","Direction=H","UseDPDF=Y")</f>
        <v>4795</v>
      </c>
      <c r="K63" s="13">
        <f>_xll.BDH("WMT US Equity","BS_DERIV_HEDGING_LIAB_LT","FQ3 2018","FQ3 2018","Currency=USD","Period=FQ","BEST_FPERIOD_OVERRIDE=FQ","FILING_STATUS=MR","SCALING_FORMAT=MLN","Sort=A","Dates=H","DateFormat=P","Fill=—","Direction=H","UseDPDF=Y")</f>
        <v>4776</v>
      </c>
      <c r="L63" s="13">
        <f>_xll.BDH("WMT US Equity","BS_DERIV_HEDGING_LIAB_LT","FQ4 2018","FQ4 2018","Currency=USD","Period=FQ","BEST_FPERIOD_OVERRIDE=FQ","FILING_STATUS=MR","SCALING_FORMAT=MLN","Sort=A","Dates=H","DateFormat=P","Fill=—","Direction=H","UseDPDF=Y")</f>
        <v>4227</v>
      </c>
      <c r="M63" s="13">
        <f>_xll.BDH("WMT US Equity","BS_DERIV_HEDGING_LIAB_LT","FQ1 2019","FQ1 2019","Currency=USD","Period=FQ","BEST_FPERIOD_OVERRIDE=FQ","FILING_STATUS=MR","SCALING_FORMAT=MLN","Sort=A","Dates=H","DateFormat=P","Fill=—","Direction=H","UseDPDF=Y")</f>
        <v>4241</v>
      </c>
      <c r="N63" s="13">
        <f>_xll.BDH("WMT US Equity","BS_DERIV_HEDGING_LIAB_LT","FQ2 2019","FQ2 2019","Currency=USD","Period=FQ","BEST_FPERIOD_OVERRIDE=FQ","FILING_STATUS=MR","SCALING_FORMAT=MLN","Sort=A","Dates=H","DateFormat=P","Fill=—","Direction=H","UseDPDF=Y")</f>
        <v>4204</v>
      </c>
      <c r="O63" s="13">
        <f>_xll.BDH("WMT US Equity","BS_DERIV_HEDGING_LIAB_LT","FQ3 2019","FQ3 2019","Currency=USD","Period=FQ","BEST_FPERIOD_OVERRIDE=FQ","FILING_STATUS=MR","SCALING_FORMAT=MLN","Sort=A","Dates=H","DateFormat=P","Fill=—","Direction=H","UseDPDF=Y")</f>
        <v>4205</v>
      </c>
      <c r="P63" s="13">
        <f>_xll.BDH("WMT US Equity","BS_DERIV_HEDGING_LIAB_LT","FQ4 2019","FQ4 2019","Currency=USD","Period=FQ","BEST_FPERIOD_OVERRIDE=FQ","FILING_STATUS=MR","SCALING_FORMAT=MLN","Sort=A","Dates=H","DateFormat=P","Fill=—","Direction=H","UseDPDF=Y")</f>
        <v>4291</v>
      </c>
      <c r="Q63" s="13">
        <f>_xll.BDH("WMT US Equity","BS_DERIV_HEDGING_LIAB_LT","FQ1 2020","FQ1 2020","Currency=USD","Period=FQ","BEST_FPERIOD_OVERRIDE=FQ","FILING_STATUS=MR","SCALING_FORMAT=MLN","Sort=A","Dates=H","DateFormat=P","Fill=—","Direction=H","UseDPDF=Y")</f>
        <v>4285</v>
      </c>
      <c r="R63" s="13">
        <f>_xll.BDH("WMT US Equity","BS_DERIV_HEDGING_LIAB_LT","FQ2 2020","FQ2 2020","Currency=USD","Period=FQ","BEST_FPERIOD_OVERRIDE=FQ","FILING_STATUS=MR","SCALING_FORMAT=MLN","Sort=A","Dates=H","DateFormat=P","Fill=—","Direction=H","UseDPDF=Y")</f>
        <v>4327</v>
      </c>
      <c r="S63" s="13">
        <f>_xll.BDH("WMT US Equity","BS_DERIV_HEDGING_LIAB_LT","FQ3 2020","FQ3 2020","Currency=USD","Period=FQ","BEST_FPERIOD_OVERRIDE=FQ","FILING_STATUS=MR","SCALING_FORMAT=MLN","Sort=A","Dates=H","DateFormat=P","Fill=—","Direction=H","UseDPDF=Y")</f>
        <v>4489</v>
      </c>
      <c r="T63" s="13" t="str">
        <f>_xll.BDH("WMT US Equity","BS_DERIV_HEDGING_LIAB_LT","FQ4 2020","FQ4 2020","Currency=USD","Period=FQ","BEST_FPERIOD_OVERRIDE=FQ","FILING_STATUS=MR","SCALING_FORMAT=MLN","Sort=A","Dates=H","DateFormat=P","Fill=—","Direction=H","UseDPDF=Y")</f>
        <v>—</v>
      </c>
      <c r="U63" s="13" t="str">
        <f>_xll.BDH("WMT US Equity","BS_DERIV_HEDGING_LIAB_LT","FQ1 2021","FQ1 2021","Currency=USD","Period=FQ","BEST_FPERIOD_OVERRIDE=FQ","FILING_STATUS=MR","SCALING_FORMAT=MLN","Sort=A","Dates=H","DateFormat=P","Fill=—","Direction=H","UseDPDF=Y")</f>
        <v>—</v>
      </c>
      <c r="V63" s="13" t="str">
        <f>_xll.BDH("WMT US Equity","BS_DERIV_HEDGING_LIAB_LT","FQ2 2021","FQ2 2021","Currency=USD","Period=FQ","BEST_FPERIOD_OVERRIDE=FQ","FILING_STATUS=MR","SCALING_FORMAT=MLN","Sort=A","Dates=H","DateFormat=P","Fill=—","Direction=H","UseDPDF=Y")</f>
        <v>—</v>
      </c>
      <c r="W63" s="13" t="str">
        <f>_xll.BDH("WMT US Equity","BS_DERIV_HEDGING_LIAB_LT","FQ3 2021","FQ3 2021","Currency=USD","Period=FQ","BEST_FPERIOD_OVERRIDE=FQ","FILING_STATUS=MR","SCALING_FORMAT=MLN","Sort=A","Dates=H","DateFormat=P","Fill=—","Direction=H","UseDPDF=Y")</f>
        <v>—</v>
      </c>
      <c r="X63" s="13">
        <f>_xll.BDH("WMT US Equity","BS_DERIV_HEDGING_LIAB_LT","FQ4 2021","FQ4 2021","Currency=USD","Period=FQ","BEST_FPERIOD_OVERRIDE=FQ","FILING_STATUS=MR","SCALING_FORMAT=MLN","Sort=A","Dates=H","DateFormat=P","Fill=—","Direction=H","UseDPDF=Y")</f>
        <v>83</v>
      </c>
      <c r="Y63" s="13" t="str">
        <f>_xll.BDH("WMT US Equity","BS_DERIV_HEDGING_LIAB_LT","FQ1 2022","FQ1 2022","Currency=USD","Period=FQ","BEST_FPERIOD_OVERRIDE=FQ","FILING_STATUS=MR","SCALING_FORMAT=MLN","Sort=A","Dates=H","DateFormat=P","Fill=—","Direction=H","UseDPDF=Y")</f>
        <v>—</v>
      </c>
      <c r="Z63" s="13" t="str">
        <f>_xll.BDH("WMT US Equity","BS_DERIV_HEDGING_LIAB_LT","FQ2 2022","FQ2 2022","Currency=USD","Period=FQ","BEST_FPERIOD_OVERRIDE=FQ","FILING_STATUS=MR","SCALING_FORMAT=MLN","Sort=A","Dates=H","DateFormat=P","Fill=—","Direction=H","UseDPDF=Y")</f>
        <v>—</v>
      </c>
      <c r="AA63" s="13" t="str">
        <f>_xll.BDH("WMT US Equity","BS_DERIV_HEDGING_LIAB_LT","FQ3 2022","FQ3 2022","Currency=USD","Period=FQ","BEST_FPERIOD_OVERRIDE=FQ","FILING_STATUS=MR","SCALING_FORMAT=MLN","Sort=A","Dates=H","DateFormat=P","Fill=—","Direction=H","UseDPDF=Y")</f>
        <v>—</v>
      </c>
      <c r="AB63" s="13">
        <f>_xll.BDH("WMT US Equity","BS_DERIV_HEDGING_LIAB_LT","FQ4 2022","FQ4 2022","Currency=USD","Period=FQ","BEST_FPERIOD_OVERRIDE=FQ","FILING_STATUS=MR","SCALING_FORMAT=MLN","Sort=A","Dates=H","DateFormat=P","Fill=—","Direction=H","UseDPDF=Y")</f>
        <v>1095</v>
      </c>
      <c r="AC63" s="13" t="str">
        <f>_xll.BDH("WMT US Equity","BS_DERIV_HEDGING_LIAB_LT","FQ1 2023","FQ1 2023","Currency=USD","Period=FQ","BEST_FPERIOD_OVERRIDE=FQ","FILING_STATUS=MR","SCALING_FORMAT=MLN","Sort=A","Dates=H","DateFormat=P","Fill=—","Direction=H","UseDPDF=Y")</f>
        <v>—</v>
      </c>
      <c r="AD63" s="13" t="str">
        <f>_xll.BDH("WMT US Equity","BS_DERIV_HEDGING_LIAB_LT","FQ2 2023","FQ2 2023","Currency=USD","Period=FQ","BEST_FPERIOD_OVERRIDE=FQ","FILING_STATUS=MR","SCALING_FORMAT=MLN","Sort=A","Dates=H","DateFormat=P","Fill=—","Direction=H","UseDPDF=Y")</f>
        <v>—</v>
      </c>
      <c r="AE63" s="13" t="str">
        <f>_xll.BDH("WMT US Equity","BS_DERIV_HEDGING_LIAB_LT","FQ3 2023","FQ3 2023","Currency=USD","Period=FQ","BEST_FPERIOD_OVERRIDE=FQ","FILING_STATUS=MR","SCALING_FORMAT=MLN","Sort=A","Dates=H","DateFormat=P","Fill=—","Direction=H","UseDPDF=Y")</f>
        <v>—</v>
      </c>
      <c r="AF63" s="13">
        <f>_xll.BDH("WMT US Equity","BS_DERIV_HEDGING_LIAB_LT","FQ4 2023","FQ4 2023","Currency=USD","Period=FQ","BEST_FPERIOD_OVERRIDE=FQ","FILING_STATUS=MR","SCALING_FORMAT=MLN","Sort=A","Dates=H","DateFormat=P","Fill=—","Direction=H","UseDPDF=Y")</f>
        <v>2112</v>
      </c>
      <c r="AG63" s="13" t="str">
        <f>_xll.BDH("WMT US Equity","BS_DERIV_HEDGING_LIAB_LT","FQ1 2024","FQ1 2024","Currency=USD","Period=FQ","BEST_FPERIOD_OVERRIDE=FQ","FILING_STATUS=MR","SCALING_FORMAT=MLN","Sort=A","Dates=H","DateFormat=P","Fill=—","Direction=H","UseDPDF=Y")</f>
        <v>—</v>
      </c>
      <c r="AH63" s="13" t="str">
        <f>_xll.BDH("WMT US Equity","BS_DERIV_HEDGING_LIAB_LT","FQ2 2024","FQ2 2024","Currency=USD","Period=FQ","BEST_FPERIOD_OVERRIDE=FQ","FILING_STATUS=MR","SCALING_FORMAT=MLN","Sort=A","Dates=H","DateFormat=P","Fill=—","Direction=H","UseDPDF=Y")</f>
        <v>—</v>
      </c>
      <c r="AI63" s="13" t="str">
        <f>_xll.BDH("WMT US Equity","BS_DERIV_HEDGING_LIAB_LT","FQ3 2024","FQ3 2024","Currency=USD","Period=FQ","BEST_FPERIOD_OVERRIDE=FQ","FILING_STATUS=MR","SCALING_FORMAT=MLN","Sort=A","Dates=H","DateFormat=P","Fill=—","Direction=H","UseDPDF=Y")</f>
        <v>—</v>
      </c>
      <c r="AJ63" s="13">
        <f>_xll.BDH("WMT US Equity","BS_DERIV_HEDGING_LIAB_LT","FQ4 2024","FQ4 2024","Currency=USD","Period=FQ","BEST_FPERIOD_OVERRIDE=FQ","FILING_STATUS=MR","SCALING_FORMAT=MLN","Sort=A","Dates=H","DateFormat=P","Fill=—","Direction=H","UseDPDF=Y")</f>
        <v>1956</v>
      </c>
      <c r="AK63" s="13">
        <f>_xll.BDH("WMT US Equity","BS_DERIV_HEDGING_LIAB_LT","FQ1 2025","FQ1 2025","Currency=USD","Period=FQ","BEST_FPERIOD_OVERRIDE=FQ","FILING_STATUS=MR","SCALING_FORMAT=MLN","Sort=A","Dates=H","DateFormat=P","Fill=—","Direction=H","UseDPDF=Y")</f>
        <v>2075</v>
      </c>
      <c r="AL63" s="13">
        <f>_xll.BDH("WMT US Equity","BS_DERIV_HEDGING_LIAB_LT","FQ2 2025","FQ2 2025","Currency=USD","Period=FQ","BEST_FPERIOD_OVERRIDE=FQ","FILING_STATUS=MR","SCALING_FORMAT=MLN","Sort=A","Dates=H","DateFormat=P","Fill=—","Direction=H","UseDPDF=Y")</f>
        <v>1841</v>
      </c>
      <c r="AM63" s="13">
        <f>_xll.BDH("WMT US Equity","BS_DERIV_HEDGING_LIAB_LT","FQ3 2025","FQ3 2025","Currency=USD","Period=FQ","BEST_FPERIOD_OVERRIDE=FQ","FILING_STATUS=MR","SCALING_FORMAT=MLN","Sort=A","Dates=H","DateFormat=P","Fill=—","Direction=H","UseDPDF=Y")</f>
        <v>1829</v>
      </c>
      <c r="AN63" s="13">
        <f>_xll.BDH("WMT US Equity","BS_DERIV_HEDGING_LIAB_LT","FQ4 2025","FQ4 2025","Currency=USD","Period=FQ","BEST_FPERIOD_OVERRIDE=FQ","FILING_STATUS=MR","SCALING_FORMAT=MLN","Sort=A","Dates=H","DateFormat=P","Fill=—","Direction=H","UseDPDF=Y")</f>
        <v>1999</v>
      </c>
      <c r="AO63" s="13" t="str">
        <f>_xll.BDH("WMT US Equity","BS_DERIV_HEDGING_LIAB_LT","FQ1 2026","FQ1 2026","Currency=USD","Period=FQ","BEST_FPERIOD_OVERRIDE=FQ","FILING_STATUS=MR","SCALING_FORMAT=MLN","Sort=A","Dates=H","DateFormat=P","Fill=—","Direction=H","UseDPDF=Y")</f>
        <v>—</v>
      </c>
      <c r="AP63" s="13" t="str">
        <f>_xll.BDH("WMT US Equity","BS_DERIV_HEDGING_LIAB_LT","FQ2 2026","FQ2 2026","Currency=USD","Period=FQ","BEST_FPERIOD_OVERRIDE=FQ","FILING_STATUS=MR","SCALING_FORMAT=MLN","Sort=A","Dates=H","DateFormat=P","Fill=—","Direction=H","UseDPDF=Y")</f>
        <v>—</v>
      </c>
    </row>
    <row r="64" spans="1:42" x14ac:dyDescent="0.3">
      <c r="A64" s="10" t="s">
        <v>234</v>
      </c>
      <c r="B64" s="10" t="s">
        <v>144</v>
      </c>
      <c r="C64" s="13">
        <f>_xll.BDH("WMT US Equity","OTHER_NONCURRENT_LIABS_DETAILED","FQ3 2016","FQ3 2016","Currency=USD","Period=FQ","BEST_FPERIOD_OVERRIDE=FQ","FILING_STATUS=MR","SCALING_FORMAT=MLN","Sort=A","Dates=H","DateFormat=P","Fill=—","Direction=H","UseDPDF=Y")</f>
        <v>7162</v>
      </c>
      <c r="D64" s="13">
        <f>_xll.BDH("WMT US Equity","OTHER_NONCURRENT_LIABS_DETAILED","FQ4 2016","FQ4 2016","Currency=USD","Period=FQ","BEST_FPERIOD_OVERRIDE=FQ","FILING_STATUS=MR","SCALING_FORMAT=MLN","Sort=A","Dates=H","DateFormat=P","Fill=—","Direction=H","UseDPDF=Y")</f>
        <v>3226</v>
      </c>
      <c r="E64" s="13">
        <f>_xll.BDH("WMT US Equity","OTHER_NONCURRENT_LIABS_DETAILED","FQ1 2017","FQ1 2017","Currency=USD","Period=FQ","BEST_FPERIOD_OVERRIDE=FQ","FILING_STATUS=MR","SCALING_FORMAT=MLN","Sort=A","Dates=H","DateFormat=P","Fill=—","Direction=H","UseDPDF=Y")</f>
        <v>6745</v>
      </c>
      <c r="F64" s="13">
        <f>_xll.BDH("WMT US Equity","OTHER_NONCURRENT_LIABS_DETAILED","FQ2 2017","FQ2 2017","Currency=USD","Period=FQ","BEST_FPERIOD_OVERRIDE=FQ","FILING_STATUS=MR","SCALING_FORMAT=MLN","Sort=A","Dates=H","DateFormat=P","Fill=—","Direction=H","UseDPDF=Y")</f>
        <v>7260</v>
      </c>
      <c r="G64" s="13">
        <f>_xll.BDH("WMT US Equity","OTHER_NONCURRENT_LIABS_DETAILED","FQ3 2017","FQ3 2017","Currency=USD","Period=FQ","BEST_FPERIOD_OVERRIDE=FQ","FILING_STATUS=MR","SCALING_FORMAT=MLN","Sort=A","Dates=H","DateFormat=P","Fill=—","Direction=H","UseDPDF=Y")</f>
        <v>9307</v>
      </c>
      <c r="H64" s="13">
        <f>_xll.BDH("WMT US Equity","OTHER_NONCURRENT_LIABS_DETAILED","FQ4 2017","FQ4 2017","Currency=USD","Period=FQ","BEST_FPERIOD_OVERRIDE=FQ","FILING_STATUS=MR","SCALING_FORMAT=MLN","Sort=A","Dates=H","DateFormat=P","Fill=—","Direction=H","UseDPDF=Y")</f>
        <v>4381</v>
      </c>
      <c r="I64" s="13">
        <f>_xll.BDH("WMT US Equity","OTHER_NONCURRENT_LIABS_DETAILED","FQ1 2018","FQ1 2018","Currency=USD","Period=FQ","BEST_FPERIOD_OVERRIDE=FQ","FILING_STATUS=MR","SCALING_FORMAT=MLN","Sort=A","Dates=H","DateFormat=P","Fill=—","Direction=H","UseDPDF=Y")</f>
        <v>8774</v>
      </c>
      <c r="J64" s="13">
        <f>_xll.BDH("WMT US Equity","OTHER_NONCURRENT_LIABS_DETAILED","FQ2 2018","FQ2 2018","Currency=USD","Period=FQ","BEST_FPERIOD_OVERRIDE=FQ","FILING_STATUS=MR","SCALING_FORMAT=MLN","Sort=A","Dates=H","DateFormat=P","Fill=—","Direction=H","UseDPDF=Y")</f>
        <v>8889</v>
      </c>
      <c r="K64" s="13">
        <f>_xll.BDH("WMT US Equity","OTHER_NONCURRENT_LIABS_DETAILED","FQ3 2018","FQ3 2018","Currency=USD","Period=FQ","BEST_FPERIOD_OVERRIDE=FQ","FILING_STATUS=MR","SCALING_FORMAT=MLN","Sort=A","Dates=H","DateFormat=P","Fill=—","Direction=H","UseDPDF=Y")</f>
        <v>8814</v>
      </c>
      <c r="L64" s="13">
        <f>_xll.BDH("WMT US Equity","OTHER_NONCURRENT_LIABS_DETAILED","FQ4 2018","FQ4 2018","Currency=USD","Period=FQ","BEST_FPERIOD_OVERRIDE=FQ","FILING_STATUS=MR","SCALING_FORMAT=MLN","Sort=A","Dates=H","DateFormat=P","Fill=—","Direction=H","UseDPDF=Y")</f>
        <v>4337</v>
      </c>
      <c r="M64" s="13">
        <f>_xll.BDH("WMT US Equity","OTHER_NONCURRENT_LIABS_DETAILED","FQ1 2019","FQ1 2019","Currency=USD","Period=FQ","BEST_FPERIOD_OVERRIDE=FQ","FILING_STATUS=MR","SCALING_FORMAT=MLN","Sort=A","Dates=H","DateFormat=P","Fill=—","Direction=H","UseDPDF=Y")</f>
        <v>9275</v>
      </c>
      <c r="N64" s="13">
        <f>_xll.BDH("WMT US Equity","OTHER_NONCURRENT_LIABS_DETAILED","FQ2 2019","FQ2 2019","Currency=USD","Period=FQ","BEST_FPERIOD_OVERRIDE=FQ","FILING_STATUS=MR","SCALING_FORMAT=MLN","Sort=A","Dates=H","DateFormat=P","Fill=—","Direction=H","UseDPDF=Y")</f>
        <v>8631</v>
      </c>
      <c r="O64" s="13">
        <f>_xll.BDH("WMT US Equity","OTHER_NONCURRENT_LIABS_DETAILED","FQ3 2019","FQ3 2019","Currency=USD","Period=FQ","BEST_FPERIOD_OVERRIDE=FQ","FILING_STATUS=MR","SCALING_FORMAT=MLN","Sort=A","Dates=H","DateFormat=P","Fill=—","Direction=H","UseDPDF=Y")</f>
        <v>10997</v>
      </c>
      <c r="P64" s="13">
        <f>_xll.BDH("WMT US Equity","OTHER_NONCURRENT_LIABS_DETAILED","FQ4 2019","FQ4 2019","Currency=USD","Period=FQ","BEST_FPERIOD_OVERRIDE=FQ","FILING_STATUS=MR","SCALING_FORMAT=MLN","Sort=A","Dates=H","DateFormat=P","Fill=—","Direction=H","UseDPDF=Y")</f>
        <v>5257</v>
      </c>
      <c r="Q64" s="13">
        <f>_xll.BDH("WMT US Equity","OTHER_NONCURRENT_LIABS_DETAILED","FQ1 2020","FQ1 2020","Currency=USD","Period=FQ","BEST_FPERIOD_OVERRIDE=FQ","FILING_STATUS=MR","SCALING_FORMAT=MLN","Sort=A","Dates=H","DateFormat=P","Fill=—","Direction=H","UseDPDF=Y")</f>
        <v>12301</v>
      </c>
      <c r="R64" s="13">
        <f>_xll.BDH("WMT US Equity","OTHER_NONCURRENT_LIABS_DETAILED","FQ2 2020","FQ2 2020","Currency=USD","Period=FQ","BEST_FPERIOD_OVERRIDE=FQ","FILING_STATUS=MR","SCALING_FORMAT=MLN","Sort=A","Dates=H","DateFormat=P","Fill=—","Direction=H","UseDPDF=Y")</f>
        <v>12429</v>
      </c>
      <c r="S64" s="13">
        <f>_xll.BDH("WMT US Equity","OTHER_NONCURRENT_LIABS_DETAILED","FQ3 2020","FQ3 2020","Currency=USD","Period=FQ","BEST_FPERIOD_OVERRIDE=FQ","FILING_STATUS=MR","SCALING_FORMAT=MLN","Sort=A","Dates=H","DateFormat=P","Fill=—","Direction=H","UseDPDF=Y")</f>
        <v>12359</v>
      </c>
      <c r="T64" s="13">
        <f>_xll.BDH("WMT US Equity","OTHER_NONCURRENT_LIABS_DETAILED","FQ4 2020","FQ4 2020","Currency=USD","Period=FQ","BEST_FPERIOD_OVERRIDE=FQ","FILING_STATUS=MR","SCALING_FORMAT=MLN","Sort=A","Dates=H","DateFormat=P","Fill=—","Direction=H","UseDPDF=Y")</f>
        <v>6757</v>
      </c>
      <c r="U64" s="13">
        <f>_xll.BDH("WMT US Equity","OTHER_NONCURRENT_LIABS_DETAILED","FQ1 2021","FQ1 2021","Currency=USD","Period=FQ","BEST_FPERIOD_OVERRIDE=FQ","FILING_STATUS=MR","SCALING_FORMAT=MLN","Sort=A","Dates=H","DateFormat=P","Fill=—","Direction=H","UseDPDF=Y")</f>
        <v>12986</v>
      </c>
      <c r="V64" s="13">
        <f>_xll.BDH("WMT US Equity","OTHER_NONCURRENT_LIABS_DETAILED","FQ2 2021","FQ2 2021","Currency=USD","Period=FQ","BEST_FPERIOD_OVERRIDE=FQ","FILING_STATUS=MR","SCALING_FORMAT=MLN","Sort=A","Dates=H","DateFormat=P","Fill=—","Direction=H","UseDPDF=Y")</f>
        <v>12927</v>
      </c>
      <c r="W64" s="13">
        <f>_xll.BDH("WMT US Equity","OTHER_NONCURRENT_LIABS_DETAILED","FQ3 2021","FQ3 2021","Currency=USD","Period=FQ","BEST_FPERIOD_OVERRIDE=FQ","FILING_STATUS=MR","SCALING_FORMAT=MLN","Sort=A","Dates=H","DateFormat=P","Fill=—","Direction=H","UseDPDF=Y")</f>
        <v>13657</v>
      </c>
      <c r="X64" s="13">
        <f>_xll.BDH("WMT US Equity","OTHER_NONCURRENT_LIABS_DETAILED","FQ4 2021","FQ4 2021","Currency=USD","Period=FQ","BEST_FPERIOD_OVERRIDE=FQ","FILING_STATUS=MR","SCALING_FORMAT=MLN","Sort=A","Dates=H","DateFormat=P","Fill=—","Direction=H","UseDPDF=Y")</f>
        <v>5842</v>
      </c>
      <c r="Y64" s="13">
        <f>_xll.BDH("WMT US Equity","OTHER_NONCURRENT_LIABS_DETAILED","FQ1 2022","FQ1 2022","Currency=USD","Period=FQ","BEST_FPERIOD_OVERRIDE=FQ","FILING_STATUS=MR","SCALING_FORMAT=MLN","Sort=A","Dates=H","DateFormat=P","Fill=—","Direction=H","UseDPDF=Y")</f>
        <v>14143</v>
      </c>
      <c r="Z64" s="13">
        <f>_xll.BDH("WMT US Equity","OTHER_NONCURRENT_LIABS_DETAILED","FQ2 2022","FQ2 2022","Currency=USD","Period=FQ","BEST_FPERIOD_OVERRIDE=FQ","FILING_STATUS=MR","SCALING_FORMAT=MLN","Sort=A","Dates=H","DateFormat=P","Fill=—","Direction=H","UseDPDF=Y")</f>
        <v>13654</v>
      </c>
      <c r="AA64" s="13">
        <f>_xll.BDH("WMT US Equity","OTHER_NONCURRENT_LIABS_DETAILED","FQ3 2022","FQ3 2022","Currency=USD","Period=FQ","BEST_FPERIOD_OVERRIDE=FQ","FILING_STATUS=MR","SCALING_FORMAT=MLN","Sort=A","Dates=H","DateFormat=P","Fill=—","Direction=H","UseDPDF=Y")</f>
        <v>12893</v>
      </c>
      <c r="AB64" s="13">
        <f>_xll.BDH("WMT US Equity","OTHER_NONCURRENT_LIABS_DETAILED","FQ4 2022","FQ4 2022","Currency=USD","Period=FQ","BEST_FPERIOD_OVERRIDE=FQ","FILING_STATUS=MR","SCALING_FORMAT=MLN","Sort=A","Dates=H","DateFormat=P","Fill=—","Direction=H","UseDPDF=Y")</f>
        <v>5462</v>
      </c>
      <c r="AC64" s="13">
        <f>_xll.BDH("WMT US Equity","OTHER_NONCURRENT_LIABS_DETAILED","FQ1 2023","FQ1 2023","Currency=USD","Period=FQ","BEST_FPERIOD_OVERRIDE=FQ","FILING_STATUS=MR","SCALING_FORMAT=MLN","Sort=A","Dates=H","DateFormat=P","Fill=—","Direction=H","UseDPDF=Y")</f>
        <v>13943</v>
      </c>
      <c r="AD64" s="13">
        <f>_xll.BDH("WMT US Equity","OTHER_NONCURRENT_LIABS_DETAILED","FQ2 2023","FQ2 2023","Currency=USD","Period=FQ","BEST_FPERIOD_OVERRIDE=FQ","FILING_STATUS=MR","SCALING_FORMAT=MLN","Sort=A","Dates=H","DateFormat=P","Fill=—","Direction=H","UseDPDF=Y")</f>
        <v>14092</v>
      </c>
      <c r="AE64" s="13">
        <f>_xll.BDH("WMT US Equity","OTHER_NONCURRENT_LIABS_DETAILED","FQ3 2023","FQ3 2023","Currency=USD","Period=FQ","BEST_FPERIOD_OVERRIDE=FQ","FILING_STATUS=MR","SCALING_FORMAT=MLN","Sort=A","Dates=H","DateFormat=P","Fill=—","Direction=H","UseDPDF=Y")</f>
        <v>14760</v>
      </c>
      <c r="AF64" s="13">
        <f>_xll.BDH("WMT US Equity","OTHER_NONCURRENT_LIABS_DETAILED","FQ4 2023","FQ4 2023","Currency=USD","Period=FQ","BEST_FPERIOD_OVERRIDE=FQ","FILING_STATUS=MR","SCALING_FORMAT=MLN","Sort=A","Dates=H","DateFormat=P","Fill=—","Direction=H","UseDPDF=Y")</f>
        <v>5307</v>
      </c>
      <c r="AG64" s="13">
        <f>_xll.BDH("WMT US Equity","OTHER_NONCURRENT_LIABS_DETAILED","FQ1 2024","FQ1 2024","Currency=USD","Period=FQ","BEST_FPERIOD_OVERRIDE=FQ","FILING_STATUS=MR","SCALING_FORMAT=MLN","Sort=A","Dates=H","DateFormat=P","Fill=—","Direction=H","UseDPDF=Y")</f>
        <v>13999</v>
      </c>
      <c r="AH64" s="13">
        <f>_xll.BDH("WMT US Equity","OTHER_NONCURRENT_LIABS_DETAILED","FQ2 2024","FQ2 2024","Currency=USD","Period=FQ","BEST_FPERIOD_OVERRIDE=FQ","FILING_STATUS=MR","SCALING_FORMAT=MLN","Sort=A","Dates=H","DateFormat=P","Fill=—","Direction=H","UseDPDF=Y")</f>
        <v>15109</v>
      </c>
      <c r="AI64" s="13">
        <f>_xll.BDH("WMT US Equity","OTHER_NONCURRENT_LIABS_DETAILED","FQ3 2024","FQ3 2024","Currency=USD","Period=FQ","BEST_FPERIOD_OVERRIDE=FQ","FILING_STATUS=MR","SCALING_FORMAT=MLN","Sort=A","Dates=H","DateFormat=P","Fill=—","Direction=H","UseDPDF=Y")</f>
        <v>14304</v>
      </c>
      <c r="AJ64" s="13">
        <f>_xll.BDH("WMT US Equity","OTHER_NONCURRENT_LIABS_DETAILED","FQ4 2024","FQ4 2024","Currency=USD","Period=FQ","BEST_FPERIOD_OVERRIDE=FQ","FILING_STATUS=MR","SCALING_FORMAT=MLN","Sort=A","Dates=H","DateFormat=P","Fill=—","Direction=H","UseDPDF=Y")</f>
        <v>5425</v>
      </c>
      <c r="AK64" s="13">
        <f>_xll.BDH("WMT US Equity","OTHER_NONCURRENT_LIABS_DETAILED","FQ1 2025","FQ1 2025","Currency=USD","Period=FQ","BEST_FPERIOD_OVERRIDE=FQ","FILING_STATUS=MR","SCALING_FORMAT=MLN","Sort=A","Dates=H","DateFormat=P","Fill=—","Direction=H","UseDPDF=Y")</f>
        <v>12774</v>
      </c>
      <c r="AL64" s="13">
        <f>_xll.BDH("WMT US Equity","OTHER_NONCURRENT_LIABS_DETAILED","FQ2 2025","FQ2 2025","Currency=USD","Period=FQ","BEST_FPERIOD_OVERRIDE=FQ","FILING_STATUS=MR","SCALING_FORMAT=MLN","Sort=A","Dates=H","DateFormat=P","Fill=—","Direction=H","UseDPDF=Y")</f>
        <v>12231</v>
      </c>
      <c r="AM64" s="13">
        <f>_xll.BDH("WMT US Equity","OTHER_NONCURRENT_LIABS_DETAILED","FQ3 2025","FQ3 2025","Currency=USD","Period=FQ","BEST_FPERIOD_OVERRIDE=FQ","FILING_STATUS=MR","SCALING_FORMAT=MLN","Sort=A","Dates=H","DateFormat=P","Fill=—","Direction=H","UseDPDF=Y")</f>
        <v>11919</v>
      </c>
      <c r="AN64" s="13">
        <f>_xll.BDH("WMT US Equity","OTHER_NONCURRENT_LIABS_DETAILED","FQ4 2025","FQ4 2025","Currency=USD","Period=FQ","BEST_FPERIOD_OVERRIDE=FQ","FILING_STATUS=MR","SCALING_FORMAT=MLN","Sort=A","Dates=H","DateFormat=P","Fill=—","Direction=H","UseDPDF=Y")</f>
        <v>5380</v>
      </c>
      <c r="AO64" s="13">
        <f>_xll.BDH("WMT US Equity","OTHER_NONCURRENT_LIABS_DETAILED","FQ1 2026","FQ1 2026","Currency=USD","Period=FQ","BEST_FPERIOD_OVERRIDE=FQ","FILING_STATUS=MR","SCALING_FORMAT=MLN","Sort=A","Dates=H","DateFormat=P","Fill=—","Direction=H","UseDPDF=Y")</f>
        <v>13609</v>
      </c>
      <c r="AP64" s="13">
        <f>_xll.BDH("WMT US Equity","OTHER_NONCURRENT_LIABS_DETAILED","FQ2 2026","FQ2 2026","Currency=USD","Period=FQ","BEST_FPERIOD_OVERRIDE=FQ","FILING_STATUS=MR","SCALING_FORMAT=MLN","Sort=A","Dates=H","DateFormat=P","Fill=—","Direction=H","UseDPDF=Y")</f>
        <v>15656</v>
      </c>
    </row>
    <row r="65" spans="1:42" x14ac:dyDescent="0.3">
      <c r="A65" s="6" t="s">
        <v>145</v>
      </c>
      <c r="B65" s="6" t="s">
        <v>146</v>
      </c>
      <c r="C65" s="16">
        <f>_xll.BDH("WMT US Equity","NON_CUR_LIAB","FQ3 2016","FQ3 2016","Currency=USD","Period=FQ","BEST_FPERIOD_OVERRIDE=FQ","FILING_STATUS=MR","SCALING_FORMAT=MLN","Sort=A","Dates=H","DateFormat=P","Fill=—","Direction=H","UseDPDF=Y")</f>
        <v>52022</v>
      </c>
      <c r="D65" s="16">
        <f>_xll.BDH("WMT US Equity","NON_CUR_LIAB","FQ4 2016","FQ4 2016","Currency=USD","Period=FQ","BEST_FPERIOD_OVERRIDE=FQ","FILING_STATUS=MR","SCALING_FORMAT=MLN","Sort=A","Dates=H","DateFormat=P","Fill=—","Direction=H","UseDPDF=Y")</f>
        <v>51351</v>
      </c>
      <c r="E65" s="16">
        <f>_xll.BDH("WMT US Equity","NON_CUR_LIAB","FQ1 2017","FQ1 2017","Currency=USD","Period=FQ","BEST_FPERIOD_OVERRIDE=FQ","FILING_STATUS=MR","SCALING_FORMAT=MLN","Sort=A","Dates=H","DateFormat=P","Fill=—","Direction=H","UseDPDF=Y")</f>
        <v>50665</v>
      </c>
      <c r="F65" s="16">
        <f>_xll.BDH("WMT US Equity","NON_CUR_LIAB","FQ2 2017","FQ2 2017","Currency=USD","Period=FQ","BEST_FPERIOD_OVERRIDE=FQ","FILING_STATUS=MR","SCALING_FORMAT=MLN","Sort=A","Dates=H","DateFormat=P","Fill=—","Direction=H","UseDPDF=Y")</f>
        <v>50620</v>
      </c>
      <c r="G65" s="16">
        <f>_xll.BDH("WMT US Equity","NON_CUR_LIAB","FQ3 2017","FQ3 2017","Currency=USD","Period=FQ","BEST_FPERIOD_OVERRIDE=FQ","FILING_STATUS=MR","SCALING_FORMAT=MLN","Sort=A","Dates=H","DateFormat=P","Fill=—","Direction=H","UseDPDF=Y")</f>
        <v>52252</v>
      </c>
      <c r="H65" s="16">
        <f>_xll.BDH("WMT US Equity","NON_CUR_LIAB","FQ4 2017","FQ4 2017","Currency=USD","Period=FQ","BEST_FPERIOD_OVERRIDE=FQ","FILING_STATUS=MR","SCALING_FORMAT=MLN","Sort=A","Dates=H","DateFormat=P","Fill=—","Direction=H","UseDPDF=Y")</f>
        <v>51362</v>
      </c>
      <c r="I65" s="16">
        <f>_xll.BDH("WMT US Equity","NON_CUR_LIAB","FQ1 2018","FQ1 2018","Currency=USD","Period=FQ","BEST_FPERIOD_OVERRIDE=FQ","FILING_STATUS=MR","SCALING_FORMAT=MLN","Sort=A","Dates=H","DateFormat=P","Fill=—","Direction=H","UseDPDF=Y")</f>
        <v>49411</v>
      </c>
      <c r="J65" s="16">
        <f>_xll.BDH("WMT US Equity","NON_CUR_LIAB","FQ2 2018","FQ2 2018","Currency=USD","Period=FQ","BEST_FPERIOD_OVERRIDE=FQ","FILING_STATUS=MR","SCALING_FORMAT=MLN","Sort=A","Dates=H","DateFormat=P","Fill=—","Direction=H","UseDPDF=Y")</f>
        <v>49709</v>
      </c>
      <c r="K65" s="16">
        <f>_xll.BDH("WMT US Equity","NON_CUR_LIAB","FQ3 2018","FQ3 2018","Currency=USD","Period=FQ","BEST_FPERIOD_OVERRIDE=FQ","FILING_STATUS=MR","SCALING_FORMAT=MLN","Sort=A","Dates=H","DateFormat=P","Fill=—","Direction=H","UseDPDF=Y")</f>
        <v>50073</v>
      </c>
      <c r="L65" s="16">
        <f>_xll.BDH("WMT US Equity","NON_CUR_LIAB","FQ4 2018","FQ4 2018","Currency=USD","Period=FQ","BEST_FPERIOD_OVERRIDE=FQ","FILING_STATUS=MR","SCALING_FORMAT=MLN","Sort=A","Dates=H","DateFormat=P","Fill=—","Direction=H","UseDPDF=Y")</f>
        <v>45179</v>
      </c>
      <c r="M65" s="16">
        <f>_xll.BDH("WMT US Equity","NON_CUR_LIAB","FQ1 2019","FQ1 2019","Currency=USD","Period=FQ","BEST_FPERIOD_OVERRIDE=FQ","FILING_STATUS=MR","SCALING_FORMAT=MLN","Sort=A","Dates=H","DateFormat=P","Fill=—","Direction=H","UseDPDF=Y")</f>
        <v>45846</v>
      </c>
      <c r="N65" s="16">
        <f>_xll.BDH("WMT US Equity","NON_CUR_LIAB","FQ2 2019","FQ2 2019","Currency=USD","Period=FQ","BEST_FPERIOD_OVERRIDE=FQ","FILING_STATUS=MR","SCALING_FORMAT=MLN","Sort=A","Dates=H","DateFormat=P","Fill=—","Direction=H","UseDPDF=Y")</f>
        <v>60567</v>
      </c>
      <c r="O65" s="16">
        <f>_xll.BDH("WMT US Equity","NON_CUR_LIAB","FQ3 2019","FQ3 2019","Currency=USD","Period=FQ","BEST_FPERIOD_OVERRIDE=FQ","FILING_STATUS=MR","SCALING_FORMAT=MLN","Sort=A","Dates=H","DateFormat=P","Fill=—","Direction=H","UseDPDF=Y")</f>
        <v>61363</v>
      </c>
      <c r="P65" s="16">
        <f>_xll.BDH("WMT US Equity","NON_CUR_LIAB","FQ4 2019","FQ4 2019","Currency=USD","Period=FQ","BEST_FPERIOD_OVERRIDE=FQ","FILING_STATUS=MR","SCALING_FORMAT=MLN","Sort=A","Dates=H","DateFormat=P","Fill=—","Direction=H","UseDPDF=Y")</f>
        <v>62184</v>
      </c>
      <c r="Q65" s="16">
        <f>_xll.BDH("WMT US Equity","NON_CUR_LIAB","FQ1 2020","FQ1 2020","Currency=USD","Period=FQ","BEST_FPERIOD_OVERRIDE=FQ","FILING_STATUS=MR","SCALING_FORMAT=MLN","Sort=A","Dates=H","DateFormat=P","Fill=—","Direction=H","UseDPDF=Y")</f>
        <v>79746</v>
      </c>
      <c r="R65" s="16">
        <f>_xll.BDH("WMT US Equity","NON_CUR_LIAB","FQ2 2020","FQ2 2020","Currency=USD","Period=FQ","BEST_FPERIOD_OVERRIDE=FQ","FILING_STATUS=MR","SCALING_FORMAT=MLN","Sort=A","Dates=H","DateFormat=P","Fill=—","Direction=H","UseDPDF=Y")</f>
        <v>77447</v>
      </c>
      <c r="S65" s="16">
        <f>_xll.BDH("WMT US Equity","NON_CUR_LIAB","FQ3 2020","FQ3 2020","Currency=USD","Period=FQ","BEST_FPERIOD_OVERRIDE=FQ","FILING_STATUS=MR","SCALING_FORMAT=MLN","Sort=A","Dates=H","DateFormat=P","Fill=—","Direction=H","UseDPDF=Y")</f>
        <v>77739</v>
      </c>
      <c r="T65" s="16">
        <f>_xll.BDH("WMT US Equity","NON_CUR_LIAB","FQ4 2020","FQ4 2020","Currency=USD","Period=FQ","BEST_FPERIOD_OVERRIDE=FQ","FILING_STATUS=MR","SCALING_FORMAT=MLN","Sort=A","Dates=H","DateFormat=P","Fill=—","Direction=H","UseDPDF=Y")</f>
        <v>77153</v>
      </c>
      <c r="U65" s="16">
        <f>_xll.BDH("WMT US Equity","NON_CUR_LIAB","FQ1 2021","FQ1 2021","Currency=USD","Period=FQ","BEST_FPERIOD_OVERRIDE=FQ","FILING_STATUS=MR","SCALING_FORMAT=MLN","Sort=A","Dates=H","DateFormat=P","Fill=—","Direction=H","UseDPDF=Y")</f>
        <v>76135</v>
      </c>
      <c r="V65" s="16">
        <f>_xll.BDH("WMT US Equity","NON_CUR_LIAB","FQ2 2021","FQ2 2021","Currency=USD","Period=FQ","BEST_FPERIOD_OVERRIDE=FQ","FILING_STATUS=MR","SCALING_FORMAT=MLN","Sort=A","Dates=H","DateFormat=P","Fill=—","Direction=H","UseDPDF=Y")</f>
        <v>74228</v>
      </c>
      <c r="W65" s="16">
        <f>_xll.BDH("WMT US Equity","NON_CUR_LIAB","FQ3 2021","FQ3 2021","Currency=USD","Period=FQ","BEST_FPERIOD_OVERRIDE=FQ","FILING_STATUS=MR","SCALING_FORMAT=MLN","Sort=A","Dates=H","DateFormat=P","Fill=—","Direction=H","UseDPDF=Y")</f>
        <v>75238</v>
      </c>
      <c r="X65" s="16">
        <f>_xll.BDH("WMT US Equity","NON_CUR_LIAB","FQ4 2021","FQ4 2021","Currency=USD","Period=FQ","BEST_FPERIOD_OVERRIDE=FQ","FILING_STATUS=MR","SCALING_FORMAT=MLN","Sort=A","Dates=H","DateFormat=P","Fill=—","Direction=H","UseDPDF=Y")</f>
        <v>72320</v>
      </c>
      <c r="Y65" s="16">
        <f>_xll.BDH("WMT US Equity","NON_CUR_LIAB","FQ1 2022","FQ1 2022","Currency=USD","Period=FQ","BEST_FPERIOD_OVERRIDE=FQ","FILING_STATUS=MR","SCALING_FORMAT=MLN","Sort=A","Dates=H","DateFormat=P","Fill=—","Direction=H","UseDPDF=Y")</f>
        <v>71148</v>
      </c>
      <c r="Z65" s="16">
        <f>_xll.BDH("WMT US Equity","NON_CUR_LIAB","FQ2 2022","FQ2 2022","Currency=USD","Period=FQ","BEST_FPERIOD_OVERRIDE=FQ","FILING_STATUS=MR","SCALING_FORMAT=MLN","Sort=A","Dates=H","DateFormat=P","Fill=—","Direction=H","UseDPDF=Y")</f>
        <v>70303</v>
      </c>
      <c r="AA65" s="16">
        <f>_xll.BDH("WMT US Equity","NON_CUR_LIAB","FQ3 2022","FQ3 2022","Currency=USD","Period=FQ","BEST_FPERIOD_OVERRIDE=FQ","FILING_STATUS=MR","SCALING_FORMAT=MLN","Sort=A","Dates=H","DateFormat=P","Fill=—","Direction=H","UseDPDF=Y")</f>
        <v>66474</v>
      </c>
      <c r="AB65" s="16">
        <f>_xll.BDH("WMT US Equity","NON_CUR_LIAB","FQ4 2022","FQ4 2022","Currency=USD","Period=FQ","BEST_FPERIOD_OVERRIDE=FQ","FILING_STATUS=MR","SCALING_FORMAT=MLN","Sort=A","Dates=H","DateFormat=P","Fill=—","Direction=H","UseDPDF=Y")</f>
        <v>65590</v>
      </c>
      <c r="AC65" s="16">
        <f>_xll.BDH("WMT US Equity","NON_CUR_LIAB","FQ1 2023","FQ1 2023","Currency=USD","Period=FQ","BEST_FPERIOD_OVERRIDE=FQ","FILING_STATUS=MR","SCALING_FORMAT=MLN","Sort=A","Dates=H","DateFormat=P","Fill=—","Direction=H","UseDPDF=Y")</f>
        <v>63752</v>
      </c>
      <c r="AD65" s="16">
        <f>_xll.BDH("WMT US Equity","NON_CUR_LIAB","FQ2 2023","FQ2 2023","Currency=USD","Period=FQ","BEST_FPERIOD_OVERRIDE=FQ","FILING_STATUS=MR","SCALING_FORMAT=MLN","Sort=A","Dates=H","DateFormat=P","Fill=—","Direction=H","UseDPDF=Y")</f>
        <v>61453</v>
      </c>
      <c r="AE65" s="16">
        <f>_xll.BDH("WMT US Equity","NON_CUR_LIAB","FQ3 2023","FQ3 2023","Currency=USD","Period=FQ","BEST_FPERIOD_OVERRIDE=FQ","FILING_STATUS=MR","SCALING_FORMAT=MLN","Sort=A","Dates=H","DateFormat=P","Fill=—","Direction=H","UseDPDF=Y")</f>
        <v>65865</v>
      </c>
      <c r="AF65" s="16">
        <f>_xll.BDH("WMT US Equity","NON_CUR_LIAB","FQ4 2023","FQ4 2023","Currency=USD","Period=FQ","BEST_FPERIOD_OVERRIDE=FQ","FILING_STATUS=MR","SCALING_FORMAT=MLN","Sort=A","Dates=H","DateFormat=P","Fill=—","Direction=H","UseDPDF=Y")</f>
        <v>67008</v>
      </c>
      <c r="AG65" s="16">
        <f>_xll.BDH("WMT US Equity","NON_CUR_LIAB","FQ1 2024","FQ1 2024","Currency=USD","Period=FQ","BEST_FPERIOD_OVERRIDE=FQ","FILING_STATUS=MR","SCALING_FORMAT=MLN","Sort=A","Dates=H","DateFormat=P","Fill=—","Direction=H","UseDPDF=Y")</f>
        <v>70083</v>
      </c>
      <c r="AH65" s="16">
        <f>_xll.BDH("WMT US Equity","NON_CUR_LIAB","FQ2 2024","FQ2 2024","Currency=USD","Period=FQ","BEST_FPERIOD_OVERRIDE=FQ","FILING_STATUS=MR","SCALING_FORMAT=MLN","Sort=A","Dates=H","DateFormat=P","Fill=—","Direction=H","UseDPDF=Y")</f>
        <v>70342</v>
      </c>
      <c r="AI65" s="16">
        <f>_xll.BDH("WMT US Equity","NON_CUR_LIAB","FQ3 2024","FQ3 2024","Currency=USD","Period=FQ","BEST_FPERIOD_OVERRIDE=FQ","FILING_STATUS=MR","SCALING_FORMAT=MLN","Sort=A","Dates=H","DateFormat=P","Fill=—","Direction=H","UseDPDF=Y")</f>
        <v>69133</v>
      </c>
      <c r="AJ65" s="16">
        <f>_xll.BDH("WMT US Equity","NON_CUR_LIAB","FQ4 2024","FQ4 2024","Currency=USD","Period=FQ","BEST_FPERIOD_OVERRIDE=FQ","FILING_STATUS=MR","SCALING_FORMAT=MLN","Sort=A","Dates=H","DateFormat=P","Fill=—","Direction=H","UseDPDF=Y")</f>
        <v>69413</v>
      </c>
      <c r="AK65" s="16">
        <f>_xll.BDH("WMT US Equity","NON_CUR_LIAB","FQ1 2025","FQ1 2025","Currency=USD","Period=FQ","BEST_FPERIOD_OVERRIDE=FQ","FILING_STATUS=MR","SCALING_FORMAT=MLN","Sort=A","Dates=H","DateFormat=P","Fill=—","Direction=H","UseDPDF=Y")</f>
        <v>69664</v>
      </c>
      <c r="AL65" s="16">
        <f>_xll.BDH("WMT US Equity","NON_CUR_LIAB","FQ2 2025","FQ2 2025","Currency=USD","Period=FQ","BEST_FPERIOD_OVERRIDE=FQ","FILING_STATUS=MR","SCALING_FORMAT=MLN","Sort=A","Dates=H","DateFormat=P","Fill=—","Direction=H","UseDPDF=Y")</f>
        <v>68408</v>
      </c>
      <c r="AM65" s="16">
        <f>_xll.BDH("WMT US Equity","NON_CUR_LIAB","FQ3 2025","FQ3 2025","Currency=USD","Period=FQ","BEST_FPERIOD_OVERRIDE=FQ","FILING_STATUS=MR","SCALING_FORMAT=MLN","Sort=A","Dates=H","DateFormat=P","Fill=—","Direction=H","UseDPDF=Y")</f>
        <v>66376</v>
      </c>
      <c r="AN65" s="16">
        <f>_xll.BDH("WMT US Equity","NON_CUR_LIAB","FQ4 2025","FQ4 2025","Currency=USD","Period=FQ","BEST_FPERIOD_OVERRIDE=FQ","FILING_STATUS=MR","SCALING_FORMAT=MLN","Sort=A","Dates=H","DateFormat=P","Fill=—","Direction=H","UseDPDF=Y")</f>
        <v>66547</v>
      </c>
      <c r="AO65" s="16">
        <f>_xll.BDH("WMT US Equity","NON_CUR_LIAB","FQ1 2026","FQ1 2026","Currency=USD","Period=FQ","BEST_FPERIOD_OVERRIDE=FQ","FILING_STATUS=MR","SCALING_FORMAT=MLN","Sort=A","Dates=H","DateFormat=P","Fill=—","Direction=H","UseDPDF=Y")</f>
        <v>68804</v>
      </c>
      <c r="AP65" s="16">
        <f>_xll.BDH("WMT US Equity","NON_CUR_LIAB","FQ2 2026","FQ2 2026","Currency=USD","Period=FQ","BEST_FPERIOD_OVERRIDE=FQ","FILING_STATUS=MR","SCALING_FORMAT=MLN","Sort=A","Dates=H","DateFormat=P","Fill=—","Direction=H","UseDPDF=Y")</f>
        <v>70414</v>
      </c>
    </row>
    <row r="66" spans="1:42" x14ac:dyDescent="0.3">
      <c r="A66" s="6" t="s">
        <v>147</v>
      </c>
      <c r="B66" s="6" t="s">
        <v>148</v>
      </c>
      <c r="C66" s="16">
        <f>_xll.BDH("WMT US Equity","BS_TOT_LIAB2","FQ3 2016","FQ3 2016","Currency=USD","Period=FQ","BEST_FPERIOD_OVERRIDE=FQ","FILING_STATUS=MR","SCALING_FORMAT=MLN","Sort=A","Dates=H","DateFormat=P","Fill=—","Direction=H","UseDPDF=Y")</f>
        <v>122514</v>
      </c>
      <c r="D66" s="16">
        <f>_xll.BDH("WMT US Equity","BS_TOT_LIAB2","FQ4 2016","FQ4 2016","Currency=USD","Period=FQ","BEST_FPERIOD_OVERRIDE=FQ","FILING_STATUS=MR","SCALING_FORMAT=MLN","Sort=A","Dates=H","DateFormat=P","Fill=—","Direction=H","UseDPDF=Y")</f>
        <v>115970</v>
      </c>
      <c r="E66" s="16">
        <f>_xll.BDH("WMT US Equity","BS_TOT_LIAB2","FQ1 2017","FQ1 2017","Currency=USD","Period=FQ","BEST_FPERIOD_OVERRIDE=FQ","FILING_STATUS=MR","SCALING_FORMAT=MLN","Sort=A","Dates=H","DateFormat=P","Fill=—","Direction=H","UseDPDF=Y")</f>
        <v>120947</v>
      </c>
      <c r="F66" s="16">
        <f>_xll.BDH("WMT US Equity","BS_TOT_LIAB2","FQ2 2017","FQ2 2017","Currency=USD","Period=FQ","BEST_FPERIOD_OVERRIDE=FQ","FILING_STATUS=MR","SCALING_FORMAT=MLN","Sort=A","Dates=H","DateFormat=P","Fill=—","Direction=H","UseDPDF=Y")</f>
        <v>118742</v>
      </c>
      <c r="G66" s="16">
        <f>_xll.BDH("WMT US Equity","BS_TOT_LIAB2","FQ3 2017","FQ3 2017","Currency=USD","Period=FQ","BEST_FPERIOD_OVERRIDE=FQ","FILING_STATUS=MR","SCALING_FORMAT=MLN","Sort=A","Dates=H","DateFormat=P","Fill=—","Direction=H","UseDPDF=Y")</f>
        <v>126382</v>
      </c>
      <c r="H66" s="16">
        <f>_xll.BDH("WMT US Equity","BS_TOT_LIAB2","FQ4 2017","FQ4 2017","Currency=USD","Period=FQ","BEST_FPERIOD_OVERRIDE=FQ","FILING_STATUS=MR","SCALING_FORMAT=MLN","Sort=A","Dates=H","DateFormat=P","Fill=—","Direction=H","UseDPDF=Y")</f>
        <v>118290</v>
      </c>
      <c r="I66" s="16">
        <f>_xll.BDH("WMT US Equity","BS_TOT_LIAB2","FQ1 2018","FQ1 2018","Currency=USD","Period=FQ","BEST_FPERIOD_OVERRIDE=FQ","FILING_STATUS=MR","SCALING_FORMAT=MLN","Sort=A","Dates=H","DateFormat=P","Fill=—","Direction=H","UseDPDF=Y")</f>
        <v>123604</v>
      </c>
      <c r="J66" s="16">
        <f>_xll.BDH("WMT US Equity","BS_TOT_LIAB2","FQ2 2018","FQ2 2018","Currency=USD","Period=FQ","BEST_FPERIOD_OVERRIDE=FQ","FILING_STATUS=MR","SCALING_FORMAT=MLN","Sort=A","Dates=H","DateFormat=P","Fill=—","Direction=H","UseDPDF=Y")</f>
        <v>122520</v>
      </c>
      <c r="K66" s="16">
        <f>_xll.BDH("WMT US Equity","BS_TOT_LIAB2","FQ3 2018","FQ3 2018","Currency=USD","Period=FQ","BEST_FPERIOD_OVERRIDE=FQ","FILING_STATUS=MR","SCALING_FORMAT=MLN","Sort=A","Dates=H","DateFormat=P","Fill=—","Direction=H","UseDPDF=Y")</f>
        <v>130508</v>
      </c>
      <c r="L66" s="16">
        <f>_xll.BDH("WMT US Equity","BS_TOT_LIAB2","FQ4 2018","FQ4 2018","Currency=USD","Period=FQ","BEST_FPERIOD_OVERRIDE=FQ","FILING_STATUS=MR","SCALING_FORMAT=MLN","Sort=A","Dates=H","DateFormat=P","Fill=—","Direction=H","UseDPDF=Y")</f>
        <v>123700</v>
      </c>
      <c r="M66" s="16">
        <f>_xll.BDH("WMT US Equity","BS_TOT_LIAB2","FQ1 2019","FQ1 2019","Currency=USD","Period=FQ","BEST_FPERIOD_OVERRIDE=FQ","FILING_STATUS=MR","SCALING_FORMAT=MLN","Sort=A","Dates=H","DateFormat=P","Fill=—","Direction=H","UseDPDF=Y")</f>
        <v>126603</v>
      </c>
      <c r="N66" s="16">
        <f>_xll.BDH("WMT US Equity","BS_TOT_LIAB2","FQ2 2019","FQ2 2019","Currency=USD","Period=FQ","BEST_FPERIOD_OVERRIDE=FQ","FILING_STATUS=MR","SCALING_FORMAT=MLN","Sort=A","Dates=H","DateFormat=P","Fill=—","Direction=H","UseDPDF=Y")</f>
        <v>132250</v>
      </c>
      <c r="O66" s="16">
        <f>_xll.BDH("WMT US Equity","BS_TOT_LIAB2","FQ3 2019","FQ3 2019","Currency=USD","Period=FQ","BEST_FPERIOD_OVERRIDE=FQ","FILING_STATUS=MR","SCALING_FORMAT=MLN","Sort=A","Dates=H","DateFormat=P","Fill=—","Direction=H","UseDPDF=Y")</f>
        <v>147114</v>
      </c>
      <c r="P66" s="16">
        <f>_xll.BDH("WMT US Equity","BS_TOT_LIAB2","FQ4 2019","FQ4 2019","Currency=USD","Period=FQ","BEST_FPERIOD_OVERRIDE=FQ","FILING_STATUS=MR","SCALING_FORMAT=MLN","Sort=A","Dates=H","DateFormat=P","Fill=—","Direction=H","UseDPDF=Y")</f>
        <v>139661</v>
      </c>
      <c r="Q66" s="16">
        <f>_xll.BDH("WMT US Equity","BS_TOT_LIAB2","FQ1 2020","FQ1 2020","Currency=USD","Period=FQ","BEST_FPERIOD_OVERRIDE=FQ","FILING_STATUS=MR","SCALING_FORMAT=MLN","Sort=A","Dates=H","DateFormat=P","Fill=—","Direction=H","UseDPDF=Y")</f>
        <v>159634</v>
      </c>
      <c r="R66" s="16">
        <f>_xll.BDH("WMT US Equity","BS_TOT_LIAB2","FQ2 2020","FQ2 2020","Currency=USD","Period=FQ","BEST_FPERIOD_OVERRIDE=FQ","FILING_STATUS=MR","SCALING_FORMAT=MLN","Sort=A","Dates=H","DateFormat=P","Fill=—","Direction=H","UseDPDF=Y")</f>
        <v>157730</v>
      </c>
      <c r="S66" s="16">
        <f>_xll.BDH("WMT US Equity","BS_TOT_LIAB2","FQ3 2020","FQ3 2020","Currency=USD","Period=FQ","BEST_FPERIOD_OVERRIDE=FQ","FILING_STATUS=MR","SCALING_FORMAT=MLN","Sort=A","Dates=H","DateFormat=P","Fill=—","Direction=H","UseDPDF=Y")</f>
        <v>161523</v>
      </c>
      <c r="T66" s="16">
        <f>_xll.BDH("WMT US Equity","BS_TOT_LIAB2","FQ4 2020","FQ4 2020","Currency=USD","Period=FQ","BEST_FPERIOD_OVERRIDE=FQ","FILING_STATUS=MR","SCALING_FORMAT=MLN","Sort=A","Dates=H","DateFormat=P","Fill=—","Direction=H","UseDPDF=Y")</f>
        <v>154943</v>
      </c>
      <c r="U66" s="16">
        <f>_xll.BDH("WMT US Equity","BS_TOT_LIAB2","FQ1 2021","FQ1 2021","Currency=USD","Period=FQ","BEST_FPERIOD_OVERRIDE=FQ","FILING_STATUS=MR","SCALING_FORMAT=MLN","Sort=A","Dates=H","DateFormat=P","Fill=—","Direction=H","UseDPDF=Y")</f>
        <v>158782</v>
      </c>
      <c r="V66" s="16">
        <f>_xll.BDH("WMT US Equity","BS_TOT_LIAB2","FQ2 2021","FQ2 2021","Currency=USD","Period=FQ","BEST_FPERIOD_OVERRIDE=FQ","FILING_STATUS=MR","SCALING_FORMAT=MLN","Sort=A","Dates=H","DateFormat=P","Fill=—","Direction=H","UseDPDF=Y")</f>
        <v>156185</v>
      </c>
      <c r="W66" s="16">
        <f>_xll.BDH("WMT US Equity","BS_TOT_LIAB2","FQ3 2021","FQ3 2021","Currency=USD","Period=FQ","BEST_FPERIOD_OVERRIDE=FQ","FILING_STATUS=MR","SCALING_FORMAT=MLN","Sort=A","Dates=H","DateFormat=P","Fill=—","Direction=H","UseDPDF=Y")</f>
        <v>163359</v>
      </c>
      <c r="X66" s="16">
        <f>_xll.BDH("WMT US Equity","BS_TOT_LIAB2","FQ4 2021","FQ4 2021","Currency=USD","Period=FQ","BEST_FPERIOD_OVERRIDE=FQ","FILING_STATUS=MR","SCALING_FORMAT=MLN","Sort=A","Dates=H","DateFormat=P","Fill=—","Direction=H","UseDPDF=Y")</f>
        <v>164965</v>
      </c>
      <c r="Y66" s="16">
        <f>_xll.BDH("WMT US Equity","BS_TOT_LIAB2","FQ1 2022","FQ1 2022","Currency=USD","Period=FQ","BEST_FPERIOD_OVERRIDE=FQ","FILING_STATUS=MR","SCALING_FORMAT=MLN","Sort=A","Dates=H","DateFormat=P","Fill=—","Direction=H","UseDPDF=Y")</f>
        <v>151989</v>
      </c>
      <c r="Z66" s="16">
        <f>_xll.BDH("WMT US Equity","BS_TOT_LIAB2","FQ2 2022","FQ2 2022","Currency=USD","Period=FQ","BEST_FPERIOD_OVERRIDE=FQ","FILING_STATUS=MR","SCALING_FORMAT=MLN","Sort=A","Dates=H","DateFormat=P","Fill=—","Direction=H","UseDPDF=Y")</f>
        <v>151425</v>
      </c>
      <c r="AA66" s="16">
        <f>_xll.BDH("WMT US Equity","BS_TOT_LIAB2","FQ3 2022","FQ3 2022","Currency=USD","Period=FQ","BEST_FPERIOD_OVERRIDE=FQ","FILING_STATUS=MR","SCALING_FORMAT=MLN","Sort=A","Dates=H","DateFormat=P","Fill=—","Direction=H","UseDPDF=Y")</f>
        <v>154094</v>
      </c>
      <c r="AB66" s="16">
        <f>_xll.BDH("WMT US Equity","BS_TOT_LIAB2","FQ4 2022","FQ4 2022","Currency=USD","Period=FQ","BEST_FPERIOD_OVERRIDE=FQ","FILING_STATUS=MR","SCALING_FORMAT=MLN","Sort=A","Dates=H","DateFormat=P","Fill=—","Direction=H","UseDPDF=Y")</f>
        <v>152969</v>
      </c>
      <c r="AC66" s="16">
        <f>_xll.BDH("WMT US Equity","BS_TOT_LIAB2","FQ1 2023","FQ1 2023","Currency=USD","Period=FQ","BEST_FPERIOD_OVERRIDE=FQ","FILING_STATUS=MR","SCALING_FORMAT=MLN","Sort=A","Dates=H","DateFormat=P","Fill=—","Direction=H","UseDPDF=Y")</f>
        <v>160282</v>
      </c>
      <c r="AD66" s="16">
        <f>_xll.BDH("WMT US Equity","BS_TOT_LIAB2","FQ2 2023","FQ2 2023","Currency=USD","Period=FQ","BEST_FPERIOD_OVERRIDE=FQ","FILING_STATUS=MR","SCALING_FORMAT=MLN","Sort=A","Dates=H","DateFormat=P","Fill=—","Direction=H","UseDPDF=Y")</f>
        <v>161352</v>
      </c>
      <c r="AE66" s="16">
        <f>_xll.BDH("WMT US Equity","BS_TOT_LIAB2","FQ3 2023","FQ3 2023","Currency=USD","Period=FQ","BEST_FPERIOD_OVERRIDE=FQ","FILING_STATUS=MR","SCALING_FORMAT=MLN","Sort=A","Dates=H","DateFormat=P","Fill=—","Direction=H","UseDPDF=Y")</f>
        <v>167273</v>
      </c>
      <c r="AF66" s="16">
        <f>_xll.BDH("WMT US Equity","BS_TOT_LIAB2","FQ4 2023","FQ4 2023","Currency=USD","Period=FQ","BEST_FPERIOD_OVERRIDE=FQ","FILING_STATUS=MR","SCALING_FORMAT=MLN","Sort=A","Dates=H","DateFormat=P","Fill=—","Direction=H","UseDPDF=Y")</f>
        <v>159206</v>
      </c>
      <c r="AG66" s="16">
        <f>_xll.BDH("WMT US Equity","BS_TOT_LIAB2","FQ1 2024","FQ1 2024","Currency=USD","Period=FQ","BEST_FPERIOD_OVERRIDE=FQ","FILING_STATUS=MR","SCALING_FORMAT=MLN","Sort=A","Dates=H","DateFormat=P","Fill=—","Direction=H","UseDPDF=Y")</f>
        <v>165588</v>
      </c>
      <c r="AH66" s="16">
        <f>_xll.BDH("WMT US Equity","BS_TOT_LIAB2","FQ2 2024","FQ2 2024","Currency=USD","Period=FQ","BEST_FPERIOD_OVERRIDE=FQ","FILING_STATUS=MR","SCALING_FORMAT=MLN","Sort=A","Dates=H","DateFormat=P","Fill=—","Direction=H","UseDPDF=Y")</f>
        <v>169562</v>
      </c>
      <c r="AI66" s="16">
        <f>_xll.BDH("WMT US Equity","BS_TOT_LIAB2","FQ3 2024","FQ3 2024","Currency=USD","Period=FQ","BEST_FPERIOD_OVERRIDE=FQ","FILING_STATUS=MR","SCALING_FORMAT=MLN","Sort=A","Dates=H","DateFormat=P","Fill=—","Direction=H","UseDPDF=Y")</f>
        <v>173363</v>
      </c>
      <c r="AJ66" s="16">
        <f>_xll.BDH("WMT US Equity","BS_TOT_LIAB2","FQ4 2024","FQ4 2024","Currency=USD","Period=FQ","BEST_FPERIOD_OVERRIDE=FQ","FILING_STATUS=MR","SCALING_FORMAT=MLN","Sort=A","Dates=H","DateFormat=P","Fill=—","Direction=H","UseDPDF=Y")</f>
        <v>161828</v>
      </c>
      <c r="AK66" s="16">
        <f>_xll.BDH("WMT US Equity","BS_TOT_LIAB2","FQ1 2025","FQ1 2025","Currency=USD","Period=FQ","BEST_FPERIOD_OVERRIDE=FQ","FILING_STATUS=MR","SCALING_FORMAT=MLN","Sort=A","Dates=H","DateFormat=P","Fill=—","Direction=H","UseDPDF=Y")</f>
        <v>165764</v>
      </c>
      <c r="AL66" s="16">
        <f>_xll.BDH("WMT US Equity","BS_TOT_LIAB2","FQ2 2025","FQ2 2025","Currency=USD","Period=FQ","BEST_FPERIOD_OVERRIDE=FQ","FILING_STATUS=MR","SCALING_FORMAT=MLN","Sort=A","Dates=H","DateFormat=P","Fill=—","Direction=H","UseDPDF=Y")</f>
        <v>163668</v>
      </c>
      <c r="AM66" s="16">
        <f>_xll.BDH("WMT US Equity","BS_TOT_LIAB2","FQ3 2025","FQ3 2025","Currency=USD","Period=FQ","BEST_FPERIOD_OVERRIDE=FQ","FILING_STATUS=MR","SCALING_FORMAT=MLN","Sort=A","Dates=H","DateFormat=P","Fill=—","Direction=H","UseDPDF=Y")</f>
        <v>168934</v>
      </c>
      <c r="AN66" s="16">
        <f>_xll.BDH("WMT US Equity","BS_TOT_LIAB2","FQ4 2025","FQ4 2025","Currency=USD","Period=FQ","BEST_FPERIOD_OVERRIDE=FQ","FILING_STATUS=MR","SCALING_FORMAT=MLN","Sort=A","Dates=H","DateFormat=P","Fill=—","Direction=H","UseDPDF=Y")</f>
        <v>163131</v>
      </c>
      <c r="AO66" s="16">
        <f>_xll.BDH("WMT US Equity","BS_TOT_LIAB2","FQ1 2026","FQ1 2026","Currency=USD","Period=FQ","BEST_FPERIOD_OVERRIDE=FQ","FILING_STATUS=MR","SCALING_FORMAT=MLN","Sort=A","Dates=H","DateFormat=P","Fill=—","Direction=H","UseDPDF=Y")</f>
        <v>171724</v>
      </c>
      <c r="AP66" s="16">
        <f>_xll.BDH("WMT US Equity","BS_TOT_LIAB2","FQ2 2026","FQ2 2026","Currency=USD","Period=FQ","BEST_FPERIOD_OVERRIDE=FQ","FILING_STATUS=MR","SCALING_FORMAT=MLN","Sort=A","Dates=H","DateFormat=P","Fill=—","Direction=H","UseDPDF=Y")</f>
        <v>173980</v>
      </c>
    </row>
    <row r="67" spans="1:42" x14ac:dyDescent="0.3">
      <c r="A67" s="10" t="s">
        <v>235</v>
      </c>
      <c r="B67" s="10" t="s">
        <v>149</v>
      </c>
      <c r="C67" s="13">
        <f>_xll.BDH("WMT US Equity","PFD_EQTY_HYBRID_CAPITAL","FQ3 2016","FQ3 2016","Currency=USD","Period=FQ","BEST_FPERIOD_OVERRIDE=FQ","FILING_STATUS=MR","SCALING_FORMAT=MLN","Sort=A","Dates=H","DateFormat=P","Fill=—","Direction=H","UseDPDF=Y")</f>
        <v>0</v>
      </c>
      <c r="D67" s="13">
        <f>_xll.BDH("WMT US Equity","PFD_EQTY_HYBRID_CAPITAL","FQ4 2016","FQ4 2016","Currency=USD","Period=FQ","BEST_FPERIOD_OVERRIDE=FQ","FILING_STATUS=MR","SCALING_FORMAT=MLN","Sort=A","Dates=H","DateFormat=P","Fill=—","Direction=H","UseDPDF=Y")</f>
        <v>0</v>
      </c>
      <c r="E67" s="13">
        <f>_xll.BDH("WMT US Equity","PFD_EQTY_HYBRID_CAPITAL","FQ1 2017","FQ1 2017","Currency=USD","Period=FQ","BEST_FPERIOD_OVERRIDE=FQ","FILING_STATUS=MR","SCALING_FORMAT=MLN","Sort=A","Dates=H","DateFormat=P","Fill=—","Direction=H","UseDPDF=Y")</f>
        <v>0</v>
      </c>
      <c r="F67" s="13">
        <f>_xll.BDH("WMT US Equity","PFD_EQTY_HYBRID_CAPITAL","FQ2 2017","FQ2 2017","Currency=USD","Period=FQ","BEST_FPERIOD_OVERRIDE=FQ","FILING_STATUS=MR","SCALING_FORMAT=MLN","Sort=A","Dates=H","DateFormat=P","Fill=—","Direction=H","UseDPDF=Y")</f>
        <v>0</v>
      </c>
      <c r="G67" s="13">
        <f>_xll.BDH("WMT US Equity","PFD_EQTY_HYBRID_CAPITAL","FQ3 2017","FQ3 2017","Currency=USD","Period=FQ","BEST_FPERIOD_OVERRIDE=FQ","FILING_STATUS=MR","SCALING_FORMAT=MLN","Sort=A","Dates=H","DateFormat=P","Fill=—","Direction=H","UseDPDF=Y")</f>
        <v>0</v>
      </c>
      <c r="H67" s="13">
        <f>_xll.BDH("WMT US Equity","PFD_EQTY_HYBRID_CAPITAL","FQ4 2017","FQ4 2017","Currency=USD","Period=FQ","BEST_FPERIOD_OVERRIDE=FQ","FILING_STATUS=MR","SCALING_FORMAT=MLN","Sort=A","Dates=H","DateFormat=P","Fill=—","Direction=H","UseDPDF=Y")</f>
        <v>0</v>
      </c>
      <c r="I67" s="13">
        <f>_xll.BDH("WMT US Equity","PFD_EQTY_HYBRID_CAPITAL","FQ1 2018","FQ1 2018","Currency=USD","Period=FQ","BEST_FPERIOD_OVERRIDE=FQ","FILING_STATUS=MR","SCALING_FORMAT=MLN","Sort=A","Dates=H","DateFormat=P","Fill=—","Direction=H","UseDPDF=Y")</f>
        <v>0</v>
      </c>
      <c r="J67" s="13">
        <f>_xll.BDH("WMT US Equity","PFD_EQTY_HYBRID_CAPITAL","FQ2 2018","FQ2 2018","Currency=USD","Period=FQ","BEST_FPERIOD_OVERRIDE=FQ","FILING_STATUS=MR","SCALING_FORMAT=MLN","Sort=A","Dates=H","DateFormat=P","Fill=—","Direction=H","UseDPDF=Y")</f>
        <v>0</v>
      </c>
      <c r="K67" s="13">
        <f>_xll.BDH("WMT US Equity","PFD_EQTY_HYBRID_CAPITAL","FQ3 2018","FQ3 2018","Currency=USD","Period=FQ","BEST_FPERIOD_OVERRIDE=FQ","FILING_STATUS=MR","SCALING_FORMAT=MLN","Sort=A","Dates=H","DateFormat=P","Fill=—","Direction=H","UseDPDF=Y")</f>
        <v>0</v>
      </c>
      <c r="L67" s="13">
        <f>_xll.BDH("WMT US Equity","PFD_EQTY_HYBRID_CAPITAL","FQ4 2018","FQ4 2018","Currency=USD","Period=FQ","BEST_FPERIOD_OVERRIDE=FQ","FILING_STATUS=MR","SCALING_FORMAT=MLN","Sort=A","Dates=H","DateFormat=P","Fill=—","Direction=H","UseDPDF=Y")</f>
        <v>0</v>
      </c>
      <c r="M67" s="13">
        <f>_xll.BDH("WMT US Equity","PFD_EQTY_HYBRID_CAPITAL","FQ1 2019","FQ1 2019","Currency=USD","Period=FQ","BEST_FPERIOD_OVERRIDE=FQ","FILING_STATUS=MR","SCALING_FORMAT=MLN","Sort=A","Dates=H","DateFormat=P","Fill=—","Direction=H","UseDPDF=Y")</f>
        <v>0</v>
      </c>
      <c r="N67" s="13">
        <f>_xll.BDH("WMT US Equity","PFD_EQTY_HYBRID_CAPITAL","FQ2 2019","FQ2 2019","Currency=USD","Period=FQ","BEST_FPERIOD_OVERRIDE=FQ","FILING_STATUS=MR","SCALING_FORMAT=MLN","Sort=A","Dates=H","DateFormat=P","Fill=—","Direction=H","UseDPDF=Y")</f>
        <v>0</v>
      </c>
      <c r="O67" s="13">
        <f>_xll.BDH("WMT US Equity","PFD_EQTY_HYBRID_CAPITAL","FQ3 2019","FQ3 2019","Currency=USD","Period=FQ","BEST_FPERIOD_OVERRIDE=FQ","FILING_STATUS=MR","SCALING_FORMAT=MLN","Sort=A","Dates=H","DateFormat=P","Fill=—","Direction=H","UseDPDF=Y")</f>
        <v>0</v>
      </c>
      <c r="P67" s="13">
        <f>_xll.BDH("WMT US Equity","PFD_EQTY_HYBRID_CAPITAL","FQ4 2019","FQ4 2019","Currency=USD","Period=FQ","BEST_FPERIOD_OVERRIDE=FQ","FILING_STATUS=MR","SCALING_FORMAT=MLN","Sort=A","Dates=H","DateFormat=P","Fill=—","Direction=H","UseDPDF=Y")</f>
        <v>0</v>
      </c>
      <c r="Q67" s="13">
        <f>_xll.BDH("WMT US Equity","PFD_EQTY_HYBRID_CAPITAL","FQ1 2020","FQ1 2020","Currency=USD","Period=FQ","BEST_FPERIOD_OVERRIDE=FQ","FILING_STATUS=MR","SCALING_FORMAT=MLN","Sort=A","Dates=H","DateFormat=P","Fill=—","Direction=H","UseDPDF=Y")</f>
        <v>0</v>
      </c>
      <c r="R67" s="13">
        <f>_xll.BDH("WMT US Equity","PFD_EQTY_HYBRID_CAPITAL","FQ2 2020","FQ2 2020","Currency=USD","Period=FQ","BEST_FPERIOD_OVERRIDE=FQ","FILING_STATUS=MR","SCALING_FORMAT=MLN","Sort=A","Dates=H","DateFormat=P","Fill=—","Direction=H","UseDPDF=Y")</f>
        <v>0</v>
      </c>
      <c r="S67" s="13">
        <f>_xll.BDH("WMT US Equity","PFD_EQTY_HYBRID_CAPITAL","FQ3 2020","FQ3 2020","Currency=USD","Period=FQ","BEST_FPERIOD_OVERRIDE=FQ","FILING_STATUS=MR","SCALING_FORMAT=MLN","Sort=A","Dates=H","DateFormat=P","Fill=—","Direction=H","UseDPDF=Y")</f>
        <v>0</v>
      </c>
      <c r="T67" s="13">
        <f>_xll.BDH("WMT US Equity","PFD_EQTY_HYBRID_CAPITAL","FQ4 2020","FQ4 2020","Currency=USD","Period=FQ","BEST_FPERIOD_OVERRIDE=FQ","FILING_STATUS=MR","SCALING_FORMAT=MLN","Sort=A","Dates=H","DateFormat=P","Fill=—","Direction=H","UseDPDF=Y")</f>
        <v>0</v>
      </c>
      <c r="U67" s="13">
        <f>_xll.BDH("WMT US Equity","PFD_EQTY_HYBRID_CAPITAL","FQ1 2021","FQ1 2021","Currency=USD","Period=FQ","BEST_FPERIOD_OVERRIDE=FQ","FILING_STATUS=MR","SCALING_FORMAT=MLN","Sort=A","Dates=H","DateFormat=P","Fill=—","Direction=H","UseDPDF=Y")</f>
        <v>0</v>
      </c>
      <c r="V67" s="13">
        <f>_xll.BDH("WMT US Equity","PFD_EQTY_HYBRID_CAPITAL","FQ2 2021","FQ2 2021","Currency=USD","Period=FQ","BEST_FPERIOD_OVERRIDE=FQ","FILING_STATUS=MR","SCALING_FORMAT=MLN","Sort=A","Dates=H","DateFormat=P","Fill=—","Direction=H","UseDPDF=Y")</f>
        <v>0</v>
      </c>
      <c r="W67" s="13">
        <f>_xll.BDH("WMT US Equity","PFD_EQTY_HYBRID_CAPITAL","FQ3 2021","FQ3 2021","Currency=USD","Period=FQ","BEST_FPERIOD_OVERRIDE=FQ","FILING_STATUS=MR","SCALING_FORMAT=MLN","Sort=A","Dates=H","DateFormat=P","Fill=—","Direction=H","UseDPDF=Y")</f>
        <v>0</v>
      </c>
      <c r="X67" s="13">
        <f>_xll.BDH("WMT US Equity","PFD_EQTY_HYBRID_CAPITAL","FQ4 2021","FQ4 2021","Currency=USD","Period=FQ","BEST_FPERIOD_OVERRIDE=FQ","FILING_STATUS=MR","SCALING_FORMAT=MLN","Sort=A","Dates=H","DateFormat=P","Fill=—","Direction=H","UseDPDF=Y")</f>
        <v>0</v>
      </c>
      <c r="Y67" s="13">
        <f>_xll.BDH("WMT US Equity","PFD_EQTY_HYBRID_CAPITAL","FQ1 2022","FQ1 2022","Currency=USD","Period=FQ","BEST_FPERIOD_OVERRIDE=FQ","FILING_STATUS=MR","SCALING_FORMAT=MLN","Sort=A","Dates=H","DateFormat=P","Fill=—","Direction=H","UseDPDF=Y")</f>
        <v>0</v>
      </c>
      <c r="Z67" s="13">
        <f>_xll.BDH("WMT US Equity","PFD_EQTY_HYBRID_CAPITAL","FQ2 2022","FQ2 2022","Currency=USD","Period=FQ","BEST_FPERIOD_OVERRIDE=FQ","FILING_STATUS=MR","SCALING_FORMAT=MLN","Sort=A","Dates=H","DateFormat=P","Fill=—","Direction=H","UseDPDF=Y")</f>
        <v>0</v>
      </c>
      <c r="AA67" s="13">
        <f>_xll.BDH("WMT US Equity","PFD_EQTY_HYBRID_CAPITAL","FQ3 2022","FQ3 2022","Currency=USD","Period=FQ","BEST_FPERIOD_OVERRIDE=FQ","FILING_STATUS=MR","SCALING_FORMAT=MLN","Sort=A","Dates=H","DateFormat=P","Fill=—","Direction=H","UseDPDF=Y")</f>
        <v>0</v>
      </c>
      <c r="AB67" s="13">
        <f>_xll.BDH("WMT US Equity","PFD_EQTY_HYBRID_CAPITAL","FQ4 2022","FQ4 2022","Currency=USD","Period=FQ","BEST_FPERIOD_OVERRIDE=FQ","FILING_STATUS=MR","SCALING_FORMAT=MLN","Sort=A","Dates=H","DateFormat=P","Fill=—","Direction=H","UseDPDF=Y")</f>
        <v>0</v>
      </c>
      <c r="AC67" s="13">
        <f>_xll.BDH("WMT US Equity","PFD_EQTY_HYBRID_CAPITAL","FQ1 2023","FQ1 2023","Currency=USD","Period=FQ","BEST_FPERIOD_OVERRIDE=FQ","FILING_STATUS=MR","SCALING_FORMAT=MLN","Sort=A","Dates=H","DateFormat=P","Fill=—","Direction=H","UseDPDF=Y")</f>
        <v>0</v>
      </c>
      <c r="AD67" s="13">
        <f>_xll.BDH("WMT US Equity","PFD_EQTY_HYBRID_CAPITAL","FQ2 2023","FQ2 2023","Currency=USD","Period=FQ","BEST_FPERIOD_OVERRIDE=FQ","FILING_STATUS=MR","SCALING_FORMAT=MLN","Sort=A","Dates=H","DateFormat=P","Fill=—","Direction=H","UseDPDF=Y")</f>
        <v>0</v>
      </c>
      <c r="AE67" s="13">
        <f>_xll.BDH("WMT US Equity","PFD_EQTY_HYBRID_CAPITAL","FQ3 2023","FQ3 2023","Currency=USD","Period=FQ","BEST_FPERIOD_OVERRIDE=FQ","FILING_STATUS=MR","SCALING_FORMAT=MLN","Sort=A","Dates=H","DateFormat=P","Fill=—","Direction=H","UseDPDF=Y")</f>
        <v>0</v>
      </c>
      <c r="AF67" s="13">
        <f>_xll.BDH("WMT US Equity","PFD_EQTY_HYBRID_CAPITAL","FQ4 2023","FQ4 2023","Currency=USD","Period=FQ","BEST_FPERIOD_OVERRIDE=FQ","FILING_STATUS=MR","SCALING_FORMAT=MLN","Sort=A","Dates=H","DateFormat=P","Fill=—","Direction=H","UseDPDF=Y")</f>
        <v>0</v>
      </c>
      <c r="AG67" s="13">
        <f>_xll.BDH("WMT US Equity","PFD_EQTY_HYBRID_CAPITAL","FQ1 2024","FQ1 2024","Currency=USD","Period=FQ","BEST_FPERIOD_OVERRIDE=FQ","FILING_STATUS=MR","SCALING_FORMAT=MLN","Sort=A","Dates=H","DateFormat=P","Fill=—","Direction=H","UseDPDF=Y")</f>
        <v>0</v>
      </c>
      <c r="AH67" s="13">
        <f>_xll.BDH("WMT US Equity","PFD_EQTY_HYBRID_CAPITAL","FQ2 2024","FQ2 2024","Currency=USD","Period=FQ","BEST_FPERIOD_OVERRIDE=FQ","FILING_STATUS=MR","SCALING_FORMAT=MLN","Sort=A","Dates=H","DateFormat=P","Fill=—","Direction=H","UseDPDF=Y")</f>
        <v>0</v>
      </c>
      <c r="AI67" s="13">
        <f>_xll.BDH("WMT US Equity","PFD_EQTY_HYBRID_CAPITAL","FQ3 2024","FQ3 2024","Currency=USD","Period=FQ","BEST_FPERIOD_OVERRIDE=FQ","FILING_STATUS=MR","SCALING_FORMAT=MLN","Sort=A","Dates=H","DateFormat=P","Fill=—","Direction=H","UseDPDF=Y")</f>
        <v>0</v>
      </c>
      <c r="AJ67" s="13">
        <f>_xll.BDH("WMT US Equity","PFD_EQTY_HYBRID_CAPITAL","FQ4 2024","FQ4 2024","Currency=USD","Period=FQ","BEST_FPERIOD_OVERRIDE=FQ","FILING_STATUS=MR","SCALING_FORMAT=MLN","Sort=A","Dates=H","DateFormat=P","Fill=—","Direction=H","UseDPDF=Y")</f>
        <v>0</v>
      </c>
      <c r="AK67" s="13">
        <f>_xll.BDH("WMT US Equity","PFD_EQTY_HYBRID_CAPITAL","FQ1 2025","FQ1 2025","Currency=USD","Period=FQ","BEST_FPERIOD_OVERRIDE=FQ","FILING_STATUS=MR","SCALING_FORMAT=MLN","Sort=A","Dates=H","DateFormat=P","Fill=—","Direction=H","UseDPDF=Y")</f>
        <v>0</v>
      </c>
      <c r="AL67" s="13">
        <f>_xll.BDH("WMT US Equity","PFD_EQTY_HYBRID_CAPITAL","FQ2 2025","FQ2 2025","Currency=USD","Period=FQ","BEST_FPERIOD_OVERRIDE=FQ","FILING_STATUS=MR","SCALING_FORMAT=MLN","Sort=A","Dates=H","DateFormat=P","Fill=—","Direction=H","UseDPDF=Y")</f>
        <v>0</v>
      </c>
      <c r="AM67" s="13">
        <f>_xll.BDH("WMT US Equity","PFD_EQTY_HYBRID_CAPITAL","FQ3 2025","FQ3 2025","Currency=USD","Period=FQ","BEST_FPERIOD_OVERRIDE=FQ","FILING_STATUS=MR","SCALING_FORMAT=MLN","Sort=A","Dates=H","DateFormat=P","Fill=—","Direction=H","UseDPDF=Y")</f>
        <v>0</v>
      </c>
      <c r="AN67" s="13">
        <f>_xll.BDH("WMT US Equity","PFD_EQTY_HYBRID_CAPITAL","FQ4 2025","FQ4 2025","Currency=USD","Period=FQ","BEST_FPERIOD_OVERRIDE=FQ","FILING_STATUS=MR","SCALING_FORMAT=MLN","Sort=A","Dates=H","DateFormat=P","Fill=—","Direction=H","UseDPDF=Y")</f>
        <v>0</v>
      </c>
      <c r="AO67" s="13">
        <f>_xll.BDH("WMT US Equity","PFD_EQTY_HYBRID_CAPITAL","FQ1 2026","FQ1 2026","Currency=USD","Period=FQ","BEST_FPERIOD_OVERRIDE=FQ","FILING_STATUS=MR","SCALING_FORMAT=MLN","Sort=A","Dates=H","DateFormat=P","Fill=—","Direction=H","UseDPDF=Y")</f>
        <v>0</v>
      </c>
      <c r="AP67" s="13">
        <f>_xll.BDH("WMT US Equity","PFD_EQTY_HYBRID_CAPITAL","FQ2 2026","FQ2 2026","Currency=USD","Period=FQ","BEST_FPERIOD_OVERRIDE=FQ","FILING_STATUS=MR","SCALING_FORMAT=MLN","Sort=A","Dates=H","DateFormat=P","Fill=—","Direction=H","UseDPDF=Y")</f>
        <v>0</v>
      </c>
    </row>
    <row r="68" spans="1:42" x14ac:dyDescent="0.3">
      <c r="A68" s="10" t="s">
        <v>236</v>
      </c>
      <c r="B68" s="10" t="s">
        <v>150</v>
      </c>
      <c r="C68" s="13">
        <f>_xll.BDH("WMT US Equity","BS_SH_CAP_AND_APIC","FQ3 2016","FQ3 2016","Currency=USD","Period=FQ","BEST_FPERIOD_OVERRIDE=FQ","FILING_STATUS=MR","SCALING_FORMAT=MLN","Sort=A","Dates=H","DateFormat=P","Fill=—","Direction=H","UseDPDF=Y")</f>
        <v>2327</v>
      </c>
      <c r="D68" s="13">
        <f>_xll.BDH("WMT US Equity","BS_SH_CAP_AND_APIC","FQ4 2016","FQ4 2016","Currency=USD","Period=FQ","BEST_FPERIOD_OVERRIDE=FQ","FILING_STATUS=MR","SCALING_FORMAT=MLN","Sort=A","Dates=H","DateFormat=P","Fill=—","Direction=H","UseDPDF=Y")</f>
        <v>2122</v>
      </c>
      <c r="E68" s="13">
        <f>_xll.BDH("WMT US Equity","BS_SH_CAP_AND_APIC","FQ1 2017","FQ1 2017","Currency=USD","Period=FQ","BEST_FPERIOD_OVERRIDE=FQ","FILING_STATUS=MR","SCALING_FORMAT=MLN","Sort=A","Dates=H","DateFormat=P","Fill=—","Direction=H","UseDPDF=Y")</f>
        <v>2033</v>
      </c>
      <c r="F68" s="13">
        <f>_xll.BDH("WMT US Equity","BS_SH_CAP_AND_APIC","FQ2 2017","FQ2 2017","Currency=USD","Period=FQ","BEST_FPERIOD_OVERRIDE=FQ","FILING_STATUS=MR","SCALING_FORMAT=MLN","Sort=A","Dates=H","DateFormat=P","Fill=—","Direction=H","UseDPDF=Y")</f>
        <v>2225</v>
      </c>
      <c r="G68" s="13">
        <f>_xll.BDH("WMT US Equity","BS_SH_CAP_AND_APIC","FQ3 2017","FQ3 2017","Currency=USD","Period=FQ","BEST_FPERIOD_OVERRIDE=FQ","FILING_STATUS=MR","SCALING_FORMAT=MLN","Sort=A","Dates=H","DateFormat=P","Fill=—","Direction=H","UseDPDF=Y")</f>
        <v>2392</v>
      </c>
      <c r="H68" s="13">
        <f>_xll.BDH("WMT US Equity","BS_SH_CAP_AND_APIC","FQ4 2017","FQ4 2017","Currency=USD","Period=FQ","BEST_FPERIOD_OVERRIDE=FQ","FILING_STATUS=MR","SCALING_FORMAT=MLN","Sort=A","Dates=H","DateFormat=P","Fill=—","Direction=H","UseDPDF=Y")</f>
        <v>2676</v>
      </c>
      <c r="I68" s="13">
        <f>_xll.BDH("WMT US Equity","BS_SH_CAP_AND_APIC","FQ1 2018","FQ1 2018","Currency=USD","Period=FQ","BEST_FPERIOD_OVERRIDE=FQ","FILING_STATUS=MR","SCALING_FORMAT=MLN","Sort=A","Dates=H","DateFormat=P","Fill=—","Direction=H","UseDPDF=Y")</f>
        <v>2525</v>
      </c>
      <c r="J68" s="13">
        <f>_xll.BDH("WMT US Equity","BS_SH_CAP_AND_APIC","FQ2 2018","FQ2 2018","Currency=USD","Period=FQ","BEST_FPERIOD_OVERRIDE=FQ","FILING_STATUS=MR","SCALING_FORMAT=MLN","Sort=A","Dates=H","DateFormat=P","Fill=—","Direction=H","UseDPDF=Y")</f>
        <v>2651</v>
      </c>
      <c r="K68" s="13">
        <f>_xll.BDH("WMT US Equity","BS_SH_CAP_AND_APIC","FQ3 2018","FQ3 2018","Currency=USD","Period=FQ","BEST_FPERIOD_OVERRIDE=FQ","FILING_STATUS=MR","SCALING_FORMAT=MLN","Sort=A","Dates=H","DateFormat=P","Fill=—","Direction=H","UseDPDF=Y")</f>
        <v>2798</v>
      </c>
      <c r="L68" s="13">
        <f>_xll.BDH("WMT US Equity","BS_SH_CAP_AND_APIC","FQ4 2018","FQ4 2018","Currency=USD","Period=FQ","BEST_FPERIOD_OVERRIDE=FQ","FILING_STATUS=MR","SCALING_FORMAT=MLN","Sort=A","Dates=H","DateFormat=P","Fill=—","Direction=H","UseDPDF=Y")</f>
        <v>2943</v>
      </c>
      <c r="M68" s="13">
        <f>_xll.BDH("WMT US Equity","BS_SH_CAP_AND_APIC","FQ1 2019","FQ1 2019","Currency=USD","Period=FQ","BEST_FPERIOD_OVERRIDE=FQ","FILING_STATUS=MR","SCALING_FORMAT=MLN","Sort=A","Dates=H","DateFormat=P","Fill=—","Direction=H","UseDPDF=Y")</f>
        <v>2851</v>
      </c>
      <c r="N68" s="13">
        <f>_xll.BDH("WMT US Equity","BS_SH_CAP_AND_APIC","FQ2 2019","FQ2 2019","Currency=USD","Period=FQ","BEST_FPERIOD_OVERRIDE=FQ","FILING_STATUS=MR","SCALING_FORMAT=MLN","Sort=A","Dates=H","DateFormat=P","Fill=—","Direction=H","UseDPDF=Y")</f>
        <v>3004</v>
      </c>
      <c r="O68" s="13">
        <f>_xll.BDH("WMT US Equity","BS_SH_CAP_AND_APIC","FQ3 2019","FQ3 2019","Currency=USD","Period=FQ","BEST_FPERIOD_OVERRIDE=FQ","FILING_STATUS=MR","SCALING_FORMAT=MLN","Sort=A","Dates=H","DateFormat=P","Fill=—","Direction=H","UseDPDF=Y")</f>
        <v>3178</v>
      </c>
      <c r="P68" s="13">
        <f>_xll.BDH("WMT US Equity","BS_SH_CAP_AND_APIC","FQ4 2019","FQ4 2019","Currency=USD","Period=FQ","BEST_FPERIOD_OVERRIDE=FQ","FILING_STATUS=MR","SCALING_FORMAT=MLN","Sort=A","Dates=H","DateFormat=P","Fill=—","Direction=H","UseDPDF=Y")</f>
        <v>3253</v>
      </c>
      <c r="Q68" s="13">
        <f>_xll.BDH("WMT US Equity","BS_SH_CAP_AND_APIC","FQ1 2020","FQ1 2020","Currency=USD","Period=FQ","BEST_FPERIOD_OVERRIDE=FQ","FILING_STATUS=MR","SCALING_FORMAT=MLN","Sort=A","Dates=H","DateFormat=P","Fill=—","Direction=H","UseDPDF=Y")</f>
        <v>3020</v>
      </c>
      <c r="R68" s="13">
        <f>_xll.BDH("WMT US Equity","BS_SH_CAP_AND_APIC","FQ2 2020","FQ2 2020","Currency=USD","Period=FQ","BEST_FPERIOD_OVERRIDE=FQ","FILING_STATUS=MR","SCALING_FORMAT=MLN","Sort=A","Dates=H","DateFormat=P","Fill=—","Direction=H","UseDPDF=Y")</f>
        <v>3165</v>
      </c>
      <c r="S68" s="13">
        <f>_xll.BDH("WMT US Equity","BS_SH_CAP_AND_APIC","FQ3 2020","FQ3 2020","Currency=USD","Period=FQ","BEST_FPERIOD_OVERRIDE=FQ","FILING_STATUS=MR","SCALING_FORMAT=MLN","Sort=A","Dates=H","DateFormat=P","Fill=—","Direction=H","UseDPDF=Y")</f>
        <v>3375</v>
      </c>
      <c r="T68" s="13">
        <f>_xll.BDH("WMT US Equity","BS_SH_CAP_AND_APIC","FQ4 2020","FQ4 2020","Currency=USD","Period=FQ","BEST_FPERIOD_OVERRIDE=FQ","FILING_STATUS=MR","SCALING_FORMAT=MLN","Sort=A","Dates=H","DateFormat=P","Fill=—","Direction=H","UseDPDF=Y")</f>
        <v>3531</v>
      </c>
      <c r="U68" s="13">
        <f>_xll.BDH("WMT US Equity","BS_SH_CAP_AND_APIC","FQ1 2021","FQ1 2021","Currency=USD","Period=FQ","BEST_FPERIOD_OVERRIDE=FQ","FILING_STATUS=MR","SCALING_FORMAT=MLN","Sort=A","Dates=H","DateFormat=P","Fill=—","Direction=H","UseDPDF=Y")</f>
        <v>3267</v>
      </c>
      <c r="V68" s="13">
        <f>_xll.BDH("WMT US Equity","BS_SH_CAP_AND_APIC","FQ2 2021","FQ2 2021","Currency=USD","Period=FQ","BEST_FPERIOD_OVERRIDE=FQ","FILING_STATUS=MR","SCALING_FORMAT=MLN","Sort=A","Dates=H","DateFormat=P","Fill=—","Direction=H","UseDPDF=Y")</f>
        <v>3480</v>
      </c>
      <c r="W68" s="13">
        <f>_xll.BDH("WMT US Equity","BS_SH_CAP_AND_APIC","FQ3 2021","FQ3 2021","Currency=USD","Period=FQ","BEST_FPERIOD_OVERRIDE=FQ","FILING_STATUS=MR","SCALING_FORMAT=MLN","Sort=A","Dates=H","DateFormat=P","Fill=—","Direction=H","UseDPDF=Y")</f>
        <v>3768</v>
      </c>
      <c r="X68" s="13">
        <f>_xll.BDH("WMT US Equity","BS_SH_CAP_AND_APIC","FQ4 2021","FQ4 2021","Currency=USD","Period=FQ","BEST_FPERIOD_OVERRIDE=FQ","FILING_STATUS=MR","SCALING_FORMAT=MLN","Sort=A","Dates=H","DateFormat=P","Fill=—","Direction=H","UseDPDF=Y")</f>
        <v>3928</v>
      </c>
      <c r="Y68" s="13">
        <f>_xll.BDH("WMT US Equity","BS_SH_CAP_AND_APIC","FQ1 2022","FQ1 2022","Currency=USD","Period=FQ","BEST_FPERIOD_OVERRIDE=FQ","FILING_STATUS=MR","SCALING_FORMAT=MLN","Sort=A","Dates=H","DateFormat=P","Fill=—","Direction=H","UseDPDF=Y")</f>
        <v>3704</v>
      </c>
      <c r="Z68" s="13">
        <f>_xll.BDH("WMT US Equity","BS_SH_CAP_AND_APIC","FQ2 2022","FQ2 2022","Currency=USD","Period=FQ","BEST_FPERIOD_OVERRIDE=FQ","FILING_STATUS=MR","SCALING_FORMAT=MLN","Sort=A","Dates=H","DateFormat=P","Fill=—","Direction=H","UseDPDF=Y")</f>
        <v>3933</v>
      </c>
      <c r="AA68" s="13">
        <f>_xll.BDH("WMT US Equity","BS_SH_CAP_AND_APIC","FQ3 2022","FQ3 2022","Currency=USD","Period=FQ","BEST_FPERIOD_OVERRIDE=FQ","FILING_STATUS=MR","SCALING_FORMAT=MLN","Sort=A","Dates=H","DateFormat=P","Fill=—","Direction=H","UseDPDF=Y")</f>
        <v>5088</v>
      </c>
      <c r="AB68" s="13">
        <f>_xll.BDH("WMT US Equity","BS_SH_CAP_AND_APIC","FQ4 2022","FQ4 2022","Currency=USD","Period=FQ","BEST_FPERIOD_OVERRIDE=FQ","FILING_STATUS=MR","SCALING_FORMAT=MLN","Sort=A","Dates=H","DateFormat=P","Fill=—","Direction=H","UseDPDF=Y")</f>
        <v>5115</v>
      </c>
      <c r="AC68" s="13">
        <f>_xll.BDH("WMT US Equity","BS_SH_CAP_AND_APIC","FQ1 2023","FQ1 2023","Currency=USD","Period=FQ","BEST_FPERIOD_OVERRIDE=FQ","FILING_STATUS=MR","SCALING_FORMAT=MLN","Sort=A","Dates=H","DateFormat=P","Fill=—","Direction=H","UseDPDF=Y")</f>
        <v>4862</v>
      </c>
      <c r="AD68" s="13">
        <f>_xll.BDH("WMT US Equity","BS_SH_CAP_AND_APIC","FQ2 2023","FQ2 2023","Currency=USD","Period=FQ","BEST_FPERIOD_OVERRIDE=FQ","FILING_STATUS=MR","SCALING_FORMAT=MLN","Sort=A","Dates=H","DateFormat=P","Fill=—","Direction=H","UseDPDF=Y")</f>
        <v>4944</v>
      </c>
      <c r="AE68" s="13">
        <f>_xll.BDH("WMT US Equity","BS_SH_CAP_AND_APIC","FQ3 2023","FQ3 2023","Currency=USD","Period=FQ","BEST_FPERIOD_OVERRIDE=FQ","FILING_STATUS=MR","SCALING_FORMAT=MLN","Sort=A","Dates=H","DateFormat=P","Fill=—","Direction=H","UseDPDF=Y")</f>
        <v>5087</v>
      </c>
      <c r="AF68" s="13">
        <f>_xll.BDH("WMT US Equity","BS_SH_CAP_AND_APIC","FQ4 2023","FQ4 2023","Currency=USD","Period=FQ","BEST_FPERIOD_OVERRIDE=FQ","FILING_STATUS=MR","SCALING_FORMAT=MLN","Sort=A","Dates=H","DateFormat=P","Fill=—","Direction=H","UseDPDF=Y")</f>
        <v>5238</v>
      </c>
      <c r="AG68" s="13">
        <f>_xll.BDH("WMT US Equity","BS_SH_CAP_AND_APIC","FQ1 2024","FQ1 2024","Currency=USD","Period=FQ","BEST_FPERIOD_OVERRIDE=FQ","FILING_STATUS=MR","SCALING_FORMAT=MLN","Sort=A","Dates=H","DateFormat=P","Fill=—","Direction=H","UseDPDF=Y")</f>
        <v>5517</v>
      </c>
      <c r="AH68" s="13">
        <f>_xll.BDH("WMT US Equity","BS_SH_CAP_AND_APIC","FQ2 2024","FQ2 2024","Currency=USD","Period=FQ","BEST_FPERIOD_OVERRIDE=FQ","FILING_STATUS=MR","SCALING_FORMAT=MLN","Sort=A","Dates=H","DateFormat=P","Fill=—","Direction=H","UseDPDF=Y")</f>
        <v>4904</v>
      </c>
      <c r="AI68" s="13">
        <f>_xll.BDH("WMT US Equity","BS_SH_CAP_AND_APIC","FQ3 2024","FQ3 2024","Currency=USD","Period=FQ","BEST_FPERIOD_OVERRIDE=FQ","FILING_STATUS=MR","SCALING_FORMAT=MLN","Sort=A","Dates=H","DateFormat=P","Fill=—","Direction=H","UseDPDF=Y")</f>
        <v>5198</v>
      </c>
      <c r="AJ68" s="13">
        <f>_xll.BDH("WMT US Equity","BS_SH_CAP_AND_APIC","FQ4 2024","FQ4 2024","Currency=USD","Period=FQ","BEST_FPERIOD_OVERRIDE=FQ","FILING_STATUS=MR","SCALING_FORMAT=MLN","Sort=A","Dates=H","DateFormat=P","Fill=—","Direction=H","UseDPDF=Y")</f>
        <v>5349</v>
      </c>
      <c r="AK68" s="13">
        <f>_xll.BDH("WMT US Equity","BS_SH_CAP_AND_APIC","FQ1 2025","FQ1 2025","Currency=USD","Period=FQ","BEST_FPERIOD_OVERRIDE=FQ","FILING_STATUS=MR","SCALING_FORMAT=MLN","Sort=A","Dates=H","DateFormat=P","Fill=—","Direction=H","UseDPDF=Y")</f>
        <v>5430</v>
      </c>
      <c r="AL68" s="13">
        <f>_xll.BDH("WMT US Equity","BS_SH_CAP_AND_APIC","FQ2 2025","FQ2 2025","Currency=USD","Period=FQ","BEST_FPERIOD_OVERRIDE=FQ","FILING_STATUS=MR","SCALING_FORMAT=MLN","Sort=A","Dates=H","DateFormat=P","Fill=—","Direction=H","UseDPDF=Y")</f>
        <v>5813</v>
      </c>
      <c r="AM68" s="13">
        <f>_xll.BDH("WMT US Equity","BS_SH_CAP_AND_APIC","FQ3 2025","FQ3 2025","Currency=USD","Period=FQ","BEST_FPERIOD_OVERRIDE=FQ","FILING_STATUS=MR","SCALING_FORMAT=MLN","Sort=A","Dates=H","DateFormat=P","Fill=—","Direction=H","UseDPDF=Y")</f>
        <v>6198</v>
      </c>
      <c r="AN68" s="13">
        <f>_xll.BDH("WMT US Equity","BS_SH_CAP_AND_APIC","FQ4 2025","FQ4 2025","Currency=USD","Period=FQ","BEST_FPERIOD_OVERRIDE=FQ","FILING_STATUS=MR","SCALING_FORMAT=MLN","Sort=A","Dates=H","DateFormat=P","Fill=—","Direction=H","UseDPDF=Y")</f>
        <v>6305</v>
      </c>
      <c r="AO68" s="13">
        <f>_xll.BDH("WMT US Equity","BS_SH_CAP_AND_APIC","FQ1 2026","FQ1 2026","Currency=USD","Period=FQ","BEST_FPERIOD_OVERRIDE=FQ","FILING_STATUS=MR","SCALING_FORMAT=MLN","Sort=A","Dates=H","DateFormat=P","Fill=—","Direction=H","UseDPDF=Y")</f>
        <v>6240</v>
      </c>
      <c r="AP68" s="13">
        <f>_xll.BDH("WMT US Equity","BS_SH_CAP_AND_APIC","FQ2 2026","FQ2 2026","Currency=USD","Period=FQ","BEST_FPERIOD_OVERRIDE=FQ","FILING_STATUS=MR","SCALING_FORMAT=MLN","Sort=A","Dates=H","DateFormat=P","Fill=—","Direction=H","UseDPDF=Y")</f>
        <v>6515</v>
      </c>
    </row>
    <row r="69" spans="1:42" x14ac:dyDescent="0.3">
      <c r="A69" s="10" t="s">
        <v>237</v>
      </c>
      <c r="B69" s="10" t="s">
        <v>151</v>
      </c>
      <c r="C69" s="13">
        <f>_xll.BDH("WMT US Equity","BS_COMMON_STOCK","FQ3 2016","FQ3 2016","Currency=USD","Period=FQ","BEST_FPERIOD_OVERRIDE=FQ","FILING_STATUS=MR","SCALING_FORMAT=MLN","Sort=A","Dates=H","DateFormat=P","Fill=—","Direction=H","UseDPDF=Y")</f>
        <v>321</v>
      </c>
      <c r="D69" s="13">
        <f>_xll.BDH("WMT US Equity","BS_COMMON_STOCK","FQ4 2016","FQ4 2016","Currency=USD","Period=FQ","BEST_FPERIOD_OVERRIDE=FQ","FILING_STATUS=MR","SCALING_FORMAT=MLN","Sort=A","Dates=H","DateFormat=P","Fill=—","Direction=H","UseDPDF=Y")</f>
        <v>317</v>
      </c>
      <c r="E69" s="13">
        <f>_xll.BDH("WMT US Equity","BS_COMMON_STOCK","FQ1 2017","FQ1 2017","Currency=USD","Period=FQ","BEST_FPERIOD_OVERRIDE=FQ","FILING_STATUS=MR","SCALING_FORMAT=MLN","Sort=A","Dates=H","DateFormat=P","Fill=—","Direction=H","UseDPDF=Y")</f>
        <v>313</v>
      </c>
      <c r="F69" s="13">
        <f>_xll.BDH("WMT US Equity","BS_COMMON_STOCK","FQ2 2017","FQ2 2017","Currency=USD","Period=FQ","BEST_FPERIOD_OVERRIDE=FQ","FILING_STATUS=MR","SCALING_FORMAT=MLN","Sort=A","Dates=H","DateFormat=P","Fill=—","Direction=H","UseDPDF=Y")</f>
        <v>310</v>
      </c>
      <c r="G69" s="13">
        <f>_xll.BDH("WMT US Equity","BS_COMMON_STOCK","FQ3 2017","FQ3 2017","Currency=USD","Period=FQ","BEST_FPERIOD_OVERRIDE=FQ","FILING_STATUS=MR","SCALING_FORMAT=MLN","Sort=A","Dates=H","DateFormat=P","Fill=—","Direction=H","UseDPDF=Y")</f>
        <v>308</v>
      </c>
      <c r="H69" s="13">
        <f>_xll.BDH("WMT US Equity","BS_COMMON_STOCK","FQ4 2017","FQ4 2017","Currency=USD","Period=FQ","BEST_FPERIOD_OVERRIDE=FQ","FILING_STATUS=MR","SCALING_FORMAT=MLN","Sort=A","Dates=H","DateFormat=P","Fill=—","Direction=H","UseDPDF=Y")</f>
        <v>305</v>
      </c>
      <c r="I69" s="13">
        <f>_xll.BDH("WMT US Equity","BS_COMMON_STOCK","FQ1 2018","FQ1 2018","Currency=USD","Period=FQ","BEST_FPERIOD_OVERRIDE=FQ","FILING_STATUS=MR","SCALING_FORMAT=MLN","Sort=A","Dates=H","DateFormat=P","Fill=—","Direction=H","UseDPDF=Y")</f>
        <v>302</v>
      </c>
      <c r="J69" s="13">
        <f>_xll.BDH("WMT US Equity","BS_COMMON_STOCK","FQ2 2018","FQ2 2018","Currency=USD","Period=FQ","BEST_FPERIOD_OVERRIDE=FQ","FILING_STATUS=MR","SCALING_FORMAT=MLN","Sort=A","Dates=H","DateFormat=P","Fill=—","Direction=H","UseDPDF=Y")</f>
        <v>299</v>
      </c>
      <c r="K69" s="13">
        <f>_xll.BDH("WMT US Equity","BS_COMMON_STOCK","FQ3 2018","FQ3 2018","Currency=USD","Period=FQ","BEST_FPERIOD_OVERRIDE=FQ","FILING_STATUS=MR","SCALING_FORMAT=MLN","Sort=A","Dates=H","DateFormat=P","Fill=—","Direction=H","UseDPDF=Y")</f>
        <v>297</v>
      </c>
      <c r="L69" s="13">
        <f>_xll.BDH("WMT US Equity","BS_COMMON_STOCK","FQ4 2018","FQ4 2018","Currency=USD","Period=FQ","BEST_FPERIOD_OVERRIDE=FQ","FILING_STATUS=MR","SCALING_FORMAT=MLN","Sort=A","Dates=H","DateFormat=P","Fill=—","Direction=H","UseDPDF=Y")</f>
        <v>295</v>
      </c>
      <c r="M69" s="13">
        <f>_xll.BDH("WMT US Equity","BS_COMMON_STOCK","FQ1 2019","FQ1 2019","Currency=USD","Period=FQ","BEST_FPERIOD_OVERRIDE=FQ","FILING_STATUS=MR","SCALING_FORMAT=MLN","Sort=A","Dates=H","DateFormat=P","Fill=—","Direction=H","UseDPDF=Y")</f>
        <v>294</v>
      </c>
      <c r="N69" s="13">
        <f>_xll.BDH("WMT US Equity","BS_COMMON_STOCK","FQ2 2019","FQ2 2019","Currency=USD","Period=FQ","BEST_FPERIOD_OVERRIDE=FQ","FILING_STATUS=MR","SCALING_FORMAT=MLN","Sort=A","Dates=H","DateFormat=P","Fill=—","Direction=H","UseDPDF=Y")</f>
        <v>294</v>
      </c>
      <c r="O69" s="13">
        <f>_xll.BDH("WMT US Equity","BS_COMMON_STOCK","FQ3 2019","FQ3 2019","Currency=USD","Period=FQ","BEST_FPERIOD_OVERRIDE=FQ","FILING_STATUS=MR","SCALING_FORMAT=MLN","Sort=A","Dates=H","DateFormat=P","Fill=—","Direction=H","UseDPDF=Y")</f>
        <v>291</v>
      </c>
      <c r="P69" s="13">
        <f>_xll.BDH("WMT US Equity","BS_COMMON_STOCK","FQ4 2019","FQ4 2019","Currency=USD","Period=FQ","BEST_FPERIOD_OVERRIDE=FQ","FILING_STATUS=MR","SCALING_FORMAT=MLN","Sort=A","Dates=H","DateFormat=P","Fill=—","Direction=H","UseDPDF=Y")</f>
        <v>288</v>
      </c>
      <c r="Q69" s="13">
        <f>_xll.BDH("WMT US Equity","BS_COMMON_STOCK","FQ1 2020","FQ1 2020","Currency=USD","Period=FQ","BEST_FPERIOD_OVERRIDE=FQ","FILING_STATUS=MR","SCALING_FORMAT=MLN","Sort=A","Dates=H","DateFormat=P","Fill=—","Direction=H","UseDPDF=Y")</f>
        <v>286</v>
      </c>
      <c r="R69" s="13">
        <f>_xll.BDH("WMT US Equity","BS_COMMON_STOCK","FQ2 2020","FQ2 2020","Currency=USD","Period=FQ","BEST_FPERIOD_OVERRIDE=FQ","FILING_STATUS=MR","SCALING_FORMAT=MLN","Sort=A","Dates=H","DateFormat=P","Fill=—","Direction=H","UseDPDF=Y")</f>
        <v>285</v>
      </c>
      <c r="S69" s="13">
        <f>_xll.BDH("WMT US Equity","BS_COMMON_STOCK","FQ3 2020","FQ3 2020","Currency=USD","Period=FQ","BEST_FPERIOD_OVERRIDE=FQ","FILING_STATUS=MR","SCALING_FORMAT=MLN","Sort=A","Dates=H","DateFormat=P","Fill=—","Direction=H","UseDPDF=Y")</f>
        <v>284</v>
      </c>
      <c r="T69" s="13">
        <f>_xll.BDH("WMT US Equity","BS_COMMON_STOCK","FQ4 2020","FQ4 2020","Currency=USD","Period=FQ","BEST_FPERIOD_OVERRIDE=FQ","FILING_STATUS=MR","SCALING_FORMAT=MLN","Sort=A","Dates=H","DateFormat=P","Fill=—","Direction=H","UseDPDF=Y")</f>
        <v>284</v>
      </c>
      <c r="U69" s="13">
        <f>_xll.BDH("WMT US Equity","BS_COMMON_STOCK","FQ1 2021","FQ1 2021","Currency=USD","Period=FQ","BEST_FPERIOD_OVERRIDE=FQ","FILING_STATUS=MR","SCALING_FORMAT=MLN","Sort=A","Dates=H","DateFormat=P","Fill=—","Direction=H","UseDPDF=Y")</f>
        <v>284</v>
      </c>
      <c r="V69" s="13">
        <f>_xll.BDH("WMT US Equity","BS_COMMON_STOCK","FQ2 2021","FQ2 2021","Currency=USD","Period=FQ","BEST_FPERIOD_OVERRIDE=FQ","FILING_STATUS=MR","SCALING_FORMAT=MLN","Sort=A","Dates=H","DateFormat=P","Fill=—","Direction=H","UseDPDF=Y")</f>
        <v>283</v>
      </c>
      <c r="W69" s="13">
        <f>_xll.BDH("WMT US Equity","BS_COMMON_STOCK","FQ3 2021","FQ3 2021","Currency=USD","Period=FQ","BEST_FPERIOD_OVERRIDE=FQ","FILING_STATUS=MR","SCALING_FORMAT=MLN","Sort=A","Dates=H","DateFormat=P","Fill=—","Direction=H","UseDPDF=Y")</f>
        <v>283</v>
      </c>
      <c r="X69" s="13">
        <f>_xll.BDH("WMT US Equity","BS_COMMON_STOCK","FQ4 2021","FQ4 2021","Currency=USD","Period=FQ","BEST_FPERIOD_OVERRIDE=FQ","FILING_STATUS=MR","SCALING_FORMAT=MLN","Sort=A","Dates=H","DateFormat=P","Fill=—","Direction=H","UseDPDF=Y")</f>
        <v>282</v>
      </c>
      <c r="Y69" s="13">
        <f>_xll.BDH("WMT US Equity","BS_COMMON_STOCK","FQ1 2022","FQ1 2022","Currency=USD","Period=FQ","BEST_FPERIOD_OVERRIDE=FQ","FILING_STATUS=MR","SCALING_FORMAT=MLN","Sort=A","Dates=H","DateFormat=P","Fill=—","Direction=H","UseDPDF=Y")</f>
        <v>280</v>
      </c>
      <c r="Z69" s="13">
        <f>_xll.BDH("WMT US Equity","BS_COMMON_STOCK","FQ2 2022","FQ2 2022","Currency=USD","Period=FQ","BEST_FPERIOD_OVERRIDE=FQ","FILING_STATUS=MR","SCALING_FORMAT=MLN","Sort=A","Dates=H","DateFormat=P","Fill=—","Direction=H","UseDPDF=Y")</f>
        <v>278</v>
      </c>
      <c r="AA69" s="13">
        <f>_xll.BDH("WMT US Equity","BS_COMMON_STOCK","FQ3 2022","FQ3 2022","Currency=USD","Period=FQ","BEST_FPERIOD_OVERRIDE=FQ","FILING_STATUS=MR","SCALING_FORMAT=MLN","Sort=A","Dates=H","DateFormat=P","Fill=—","Direction=H","UseDPDF=Y")</f>
        <v>277</v>
      </c>
      <c r="AB69" s="13">
        <f>_xll.BDH("WMT US Equity","BS_COMMON_STOCK","FQ4 2022","FQ4 2022","Currency=USD","Period=FQ","BEST_FPERIOD_OVERRIDE=FQ","FILING_STATUS=MR","SCALING_FORMAT=MLN","Sort=A","Dates=H","DateFormat=P","Fill=—","Direction=H","UseDPDF=Y")</f>
        <v>276</v>
      </c>
      <c r="AC69" s="13">
        <f>_xll.BDH("WMT US Equity","BS_COMMON_STOCK","FQ1 2023","FQ1 2023","Currency=USD","Period=FQ","BEST_FPERIOD_OVERRIDE=FQ","FILING_STATUS=MR","SCALING_FORMAT=MLN","Sort=A","Dates=H","DateFormat=P","Fill=—","Direction=H","UseDPDF=Y")</f>
        <v>275</v>
      </c>
      <c r="AD69" s="13">
        <f>_xll.BDH("WMT US Equity","BS_COMMON_STOCK","FQ2 2023","FQ2 2023","Currency=USD","Period=FQ","BEST_FPERIOD_OVERRIDE=FQ","FILING_STATUS=MR","SCALING_FORMAT=MLN","Sort=A","Dates=H","DateFormat=P","Fill=—","Direction=H","UseDPDF=Y")</f>
        <v>272</v>
      </c>
      <c r="AE69" s="13">
        <f>_xll.BDH("WMT US Equity","BS_COMMON_STOCK","FQ3 2023","FQ3 2023","Currency=USD","Period=FQ","BEST_FPERIOD_OVERRIDE=FQ","FILING_STATUS=MR","SCALING_FORMAT=MLN","Sort=A","Dates=H","DateFormat=P","Fill=—","Direction=H","UseDPDF=Y")</f>
        <v>270</v>
      </c>
      <c r="AF69" s="13">
        <f>_xll.BDH("WMT US Equity","BS_COMMON_STOCK","FQ4 2023","FQ4 2023","Currency=USD","Period=FQ","BEST_FPERIOD_OVERRIDE=FQ","FILING_STATUS=MR","SCALING_FORMAT=MLN","Sort=A","Dates=H","DateFormat=P","Fill=—","Direction=H","UseDPDF=Y")</f>
        <v>269</v>
      </c>
      <c r="AG69" s="13">
        <f>_xll.BDH("WMT US Equity","BS_COMMON_STOCK","FQ1 2024","FQ1 2024","Currency=USD","Period=FQ","BEST_FPERIOD_OVERRIDE=FQ","FILING_STATUS=MR","SCALING_FORMAT=MLN","Sort=A","Dates=H","DateFormat=P","Fill=—","Direction=H","UseDPDF=Y")</f>
        <v>269</v>
      </c>
      <c r="AH69" s="13">
        <f>_xll.BDH("WMT US Equity","BS_COMMON_STOCK","FQ2 2024","FQ2 2024","Currency=USD","Period=FQ","BEST_FPERIOD_OVERRIDE=FQ","FILING_STATUS=MR","SCALING_FORMAT=MLN","Sort=A","Dates=H","DateFormat=P","Fill=—","Direction=H","UseDPDF=Y")</f>
        <v>269</v>
      </c>
      <c r="AI69" s="13">
        <f>_xll.BDH("WMT US Equity","BS_COMMON_STOCK","FQ3 2024","FQ3 2024","Currency=USD","Period=FQ","BEST_FPERIOD_OVERRIDE=FQ","FILING_STATUS=MR","SCALING_FORMAT=MLN","Sort=A","Dates=H","DateFormat=P","Fill=—","Direction=H","UseDPDF=Y")</f>
        <v>269</v>
      </c>
      <c r="AJ69" s="13">
        <f>_xll.BDH("WMT US Equity","BS_COMMON_STOCK","FQ4 2024","FQ4 2024","Currency=USD","Period=FQ","BEST_FPERIOD_OVERRIDE=FQ","FILING_STATUS=MR","SCALING_FORMAT=MLN","Sort=A","Dates=H","DateFormat=P","Fill=—","Direction=H","UseDPDF=Y")</f>
        <v>805</v>
      </c>
      <c r="AK69" s="13">
        <f>_xll.BDH("WMT US Equity","BS_COMMON_STOCK","FQ1 2025","FQ1 2025","Currency=USD","Period=FQ","BEST_FPERIOD_OVERRIDE=FQ","FILING_STATUS=MR","SCALING_FORMAT=MLN","Sort=A","Dates=H","DateFormat=P","Fill=—","Direction=H","UseDPDF=Y")</f>
        <v>805</v>
      </c>
      <c r="AL69" s="13">
        <f>_xll.BDH("WMT US Equity","BS_COMMON_STOCK","FQ2 2025","FQ2 2025","Currency=USD","Period=FQ","BEST_FPERIOD_OVERRIDE=FQ","FILING_STATUS=MR","SCALING_FORMAT=MLN","Sort=A","Dates=H","DateFormat=P","Fill=—","Direction=H","UseDPDF=Y")</f>
        <v>803</v>
      </c>
      <c r="AM69" s="13">
        <f>_xll.BDH("WMT US Equity","BS_COMMON_STOCK","FQ3 2025","FQ3 2025","Currency=USD","Period=FQ","BEST_FPERIOD_OVERRIDE=FQ","FILING_STATUS=MR","SCALING_FORMAT=MLN","Sort=A","Dates=H","DateFormat=P","Fill=—","Direction=H","UseDPDF=Y")</f>
        <v>803</v>
      </c>
      <c r="AN69" s="13">
        <f>_xll.BDH("WMT US Equity","BS_COMMON_STOCK","FQ4 2025","FQ4 2025","Currency=USD","Period=FQ","BEST_FPERIOD_OVERRIDE=FQ","FILING_STATUS=MR","SCALING_FORMAT=MLN","Sort=A","Dates=H","DateFormat=P","Fill=—","Direction=H","UseDPDF=Y")</f>
        <v>802</v>
      </c>
      <c r="AO69" s="13">
        <f>_xll.BDH("WMT US Equity","BS_COMMON_STOCK","FQ1 2026","FQ1 2026","Currency=USD","Period=FQ","BEST_FPERIOD_OVERRIDE=FQ","FILING_STATUS=MR","SCALING_FORMAT=MLN","Sort=A","Dates=H","DateFormat=P","Fill=—","Direction=H","UseDPDF=Y")</f>
        <v>799</v>
      </c>
      <c r="AP69" s="13">
        <f>_xll.BDH("WMT US Equity","BS_COMMON_STOCK","FQ2 2026","FQ2 2026","Currency=USD","Period=FQ","BEST_FPERIOD_OVERRIDE=FQ","FILING_STATUS=MR","SCALING_FORMAT=MLN","Sort=A","Dates=H","DateFormat=P","Fill=—","Direction=H","UseDPDF=Y")</f>
        <v>797</v>
      </c>
    </row>
    <row r="70" spans="1:42" x14ac:dyDescent="0.3">
      <c r="A70" s="10" t="s">
        <v>238</v>
      </c>
      <c r="B70" s="10" t="s">
        <v>152</v>
      </c>
      <c r="C70" s="13">
        <f>_xll.BDH("WMT US Equity","BS_ADD_PAID_IN_CAP","FQ3 2016","FQ3 2016","Currency=USD","Period=FQ","BEST_FPERIOD_OVERRIDE=FQ","FILING_STATUS=MR","SCALING_FORMAT=MLN","Sort=A","Dates=H","DateFormat=P","Fill=—","Direction=H","UseDPDF=Y")</f>
        <v>2006</v>
      </c>
      <c r="D70" s="13">
        <f>_xll.BDH("WMT US Equity","BS_ADD_PAID_IN_CAP","FQ4 2016","FQ4 2016","Currency=USD","Period=FQ","BEST_FPERIOD_OVERRIDE=FQ","FILING_STATUS=MR","SCALING_FORMAT=MLN","Sort=A","Dates=H","DateFormat=P","Fill=—","Direction=H","UseDPDF=Y")</f>
        <v>1805</v>
      </c>
      <c r="E70" s="13">
        <f>_xll.BDH("WMT US Equity","BS_ADD_PAID_IN_CAP","FQ1 2017","FQ1 2017","Currency=USD","Period=FQ","BEST_FPERIOD_OVERRIDE=FQ","FILING_STATUS=MR","SCALING_FORMAT=MLN","Sort=A","Dates=H","DateFormat=P","Fill=—","Direction=H","UseDPDF=Y")</f>
        <v>1720</v>
      </c>
      <c r="F70" s="13">
        <f>_xll.BDH("WMT US Equity","BS_ADD_PAID_IN_CAP","FQ2 2017","FQ2 2017","Currency=USD","Period=FQ","BEST_FPERIOD_OVERRIDE=FQ","FILING_STATUS=MR","SCALING_FORMAT=MLN","Sort=A","Dates=H","DateFormat=P","Fill=—","Direction=H","UseDPDF=Y")</f>
        <v>1915</v>
      </c>
      <c r="G70" s="13">
        <f>_xll.BDH("WMT US Equity","BS_ADD_PAID_IN_CAP","FQ3 2017","FQ3 2017","Currency=USD","Period=FQ","BEST_FPERIOD_OVERRIDE=FQ","FILING_STATUS=MR","SCALING_FORMAT=MLN","Sort=A","Dates=H","DateFormat=P","Fill=—","Direction=H","UseDPDF=Y")</f>
        <v>2084</v>
      </c>
      <c r="H70" s="13">
        <f>_xll.BDH("WMT US Equity","BS_ADD_PAID_IN_CAP","FQ4 2017","FQ4 2017","Currency=USD","Period=FQ","BEST_FPERIOD_OVERRIDE=FQ","FILING_STATUS=MR","SCALING_FORMAT=MLN","Sort=A","Dates=H","DateFormat=P","Fill=—","Direction=H","UseDPDF=Y")</f>
        <v>2371</v>
      </c>
      <c r="I70" s="13">
        <f>_xll.BDH("WMT US Equity","BS_ADD_PAID_IN_CAP","FQ1 2018","FQ1 2018","Currency=USD","Period=FQ","BEST_FPERIOD_OVERRIDE=FQ","FILING_STATUS=MR","SCALING_FORMAT=MLN","Sort=A","Dates=H","DateFormat=P","Fill=—","Direction=H","UseDPDF=Y")</f>
        <v>2223</v>
      </c>
      <c r="J70" s="13">
        <f>_xll.BDH("WMT US Equity","BS_ADD_PAID_IN_CAP","FQ2 2018","FQ2 2018","Currency=USD","Period=FQ","BEST_FPERIOD_OVERRIDE=FQ","FILING_STATUS=MR","SCALING_FORMAT=MLN","Sort=A","Dates=H","DateFormat=P","Fill=—","Direction=H","UseDPDF=Y")</f>
        <v>2352</v>
      </c>
      <c r="K70" s="13">
        <f>_xll.BDH("WMT US Equity","BS_ADD_PAID_IN_CAP","FQ3 2018","FQ3 2018","Currency=USD","Period=FQ","BEST_FPERIOD_OVERRIDE=FQ","FILING_STATUS=MR","SCALING_FORMAT=MLN","Sort=A","Dates=H","DateFormat=P","Fill=—","Direction=H","UseDPDF=Y")</f>
        <v>2501</v>
      </c>
      <c r="L70" s="13">
        <f>_xll.BDH("WMT US Equity","BS_ADD_PAID_IN_CAP","FQ4 2018","FQ4 2018","Currency=USD","Period=FQ","BEST_FPERIOD_OVERRIDE=FQ","FILING_STATUS=MR","SCALING_FORMAT=MLN","Sort=A","Dates=H","DateFormat=P","Fill=—","Direction=H","UseDPDF=Y")</f>
        <v>2648</v>
      </c>
      <c r="M70" s="13">
        <f>_xll.BDH("WMT US Equity","BS_ADD_PAID_IN_CAP","FQ1 2019","FQ1 2019","Currency=USD","Period=FQ","BEST_FPERIOD_OVERRIDE=FQ","FILING_STATUS=MR","SCALING_FORMAT=MLN","Sort=A","Dates=H","DateFormat=P","Fill=—","Direction=H","UseDPDF=Y")</f>
        <v>2557</v>
      </c>
      <c r="N70" s="13">
        <f>_xll.BDH("WMT US Equity","BS_ADD_PAID_IN_CAP","FQ2 2019","FQ2 2019","Currency=USD","Period=FQ","BEST_FPERIOD_OVERRIDE=FQ","FILING_STATUS=MR","SCALING_FORMAT=MLN","Sort=A","Dates=H","DateFormat=P","Fill=—","Direction=H","UseDPDF=Y")</f>
        <v>2710</v>
      </c>
      <c r="O70" s="13">
        <f>_xll.BDH("WMT US Equity","BS_ADD_PAID_IN_CAP","FQ3 2019","FQ3 2019","Currency=USD","Period=FQ","BEST_FPERIOD_OVERRIDE=FQ","FILING_STATUS=MR","SCALING_FORMAT=MLN","Sort=A","Dates=H","DateFormat=P","Fill=—","Direction=H","UseDPDF=Y")</f>
        <v>2887</v>
      </c>
      <c r="P70" s="13">
        <f>_xll.BDH("WMT US Equity","BS_ADD_PAID_IN_CAP","FQ4 2019","FQ4 2019","Currency=USD","Period=FQ","BEST_FPERIOD_OVERRIDE=FQ","FILING_STATUS=MR","SCALING_FORMAT=MLN","Sort=A","Dates=H","DateFormat=P","Fill=—","Direction=H","UseDPDF=Y")</f>
        <v>2965</v>
      </c>
      <c r="Q70" s="13">
        <f>_xll.BDH("WMT US Equity","BS_ADD_PAID_IN_CAP","FQ1 2020","FQ1 2020","Currency=USD","Period=FQ","BEST_FPERIOD_OVERRIDE=FQ","FILING_STATUS=MR","SCALING_FORMAT=MLN","Sort=A","Dates=H","DateFormat=P","Fill=—","Direction=H","UseDPDF=Y")</f>
        <v>2734</v>
      </c>
      <c r="R70" s="13">
        <f>_xll.BDH("WMT US Equity","BS_ADD_PAID_IN_CAP","FQ2 2020","FQ2 2020","Currency=USD","Period=FQ","BEST_FPERIOD_OVERRIDE=FQ","FILING_STATUS=MR","SCALING_FORMAT=MLN","Sort=A","Dates=H","DateFormat=P","Fill=—","Direction=H","UseDPDF=Y")</f>
        <v>2880</v>
      </c>
      <c r="S70" s="13">
        <f>_xll.BDH("WMT US Equity","BS_ADD_PAID_IN_CAP","FQ3 2020","FQ3 2020","Currency=USD","Period=FQ","BEST_FPERIOD_OVERRIDE=FQ","FILING_STATUS=MR","SCALING_FORMAT=MLN","Sort=A","Dates=H","DateFormat=P","Fill=—","Direction=H","UseDPDF=Y")</f>
        <v>3091</v>
      </c>
      <c r="T70" s="13">
        <f>_xll.BDH("WMT US Equity","BS_ADD_PAID_IN_CAP","FQ4 2020","FQ4 2020","Currency=USD","Period=FQ","BEST_FPERIOD_OVERRIDE=FQ","FILING_STATUS=MR","SCALING_FORMAT=MLN","Sort=A","Dates=H","DateFormat=P","Fill=—","Direction=H","UseDPDF=Y")</f>
        <v>3247</v>
      </c>
      <c r="U70" s="13">
        <f>_xll.BDH("WMT US Equity","BS_ADD_PAID_IN_CAP","FQ1 2021","FQ1 2021","Currency=USD","Period=FQ","BEST_FPERIOD_OVERRIDE=FQ","FILING_STATUS=MR","SCALING_FORMAT=MLN","Sort=A","Dates=H","DateFormat=P","Fill=—","Direction=H","UseDPDF=Y")</f>
        <v>2983</v>
      </c>
      <c r="V70" s="13">
        <f>_xll.BDH("WMT US Equity","BS_ADD_PAID_IN_CAP","FQ2 2021","FQ2 2021","Currency=USD","Period=FQ","BEST_FPERIOD_OVERRIDE=FQ","FILING_STATUS=MR","SCALING_FORMAT=MLN","Sort=A","Dates=H","DateFormat=P","Fill=—","Direction=H","UseDPDF=Y")</f>
        <v>3197</v>
      </c>
      <c r="W70" s="13">
        <f>_xll.BDH("WMT US Equity","BS_ADD_PAID_IN_CAP","FQ3 2021","FQ3 2021","Currency=USD","Period=FQ","BEST_FPERIOD_OVERRIDE=FQ","FILING_STATUS=MR","SCALING_FORMAT=MLN","Sort=A","Dates=H","DateFormat=P","Fill=—","Direction=H","UseDPDF=Y")</f>
        <v>3485</v>
      </c>
      <c r="X70" s="13">
        <f>_xll.BDH("WMT US Equity","BS_ADD_PAID_IN_CAP","FQ4 2021","FQ4 2021","Currency=USD","Period=FQ","BEST_FPERIOD_OVERRIDE=FQ","FILING_STATUS=MR","SCALING_FORMAT=MLN","Sort=A","Dates=H","DateFormat=P","Fill=—","Direction=H","UseDPDF=Y")</f>
        <v>3646</v>
      </c>
      <c r="Y70" s="13">
        <f>_xll.BDH("WMT US Equity","BS_ADD_PAID_IN_CAP","FQ1 2022","FQ1 2022","Currency=USD","Period=FQ","BEST_FPERIOD_OVERRIDE=FQ","FILING_STATUS=MR","SCALING_FORMAT=MLN","Sort=A","Dates=H","DateFormat=P","Fill=—","Direction=H","UseDPDF=Y")</f>
        <v>3424</v>
      </c>
      <c r="Z70" s="13">
        <f>_xll.BDH("WMT US Equity","BS_ADD_PAID_IN_CAP","FQ2 2022","FQ2 2022","Currency=USD","Period=FQ","BEST_FPERIOD_OVERRIDE=FQ","FILING_STATUS=MR","SCALING_FORMAT=MLN","Sort=A","Dates=H","DateFormat=P","Fill=—","Direction=H","UseDPDF=Y")</f>
        <v>3655</v>
      </c>
      <c r="AA70" s="13">
        <f>_xll.BDH("WMT US Equity","BS_ADD_PAID_IN_CAP","FQ3 2022","FQ3 2022","Currency=USD","Period=FQ","BEST_FPERIOD_OVERRIDE=FQ","FILING_STATUS=MR","SCALING_FORMAT=MLN","Sort=A","Dates=H","DateFormat=P","Fill=—","Direction=H","UseDPDF=Y")</f>
        <v>4811</v>
      </c>
      <c r="AB70" s="13">
        <f>_xll.BDH("WMT US Equity","BS_ADD_PAID_IN_CAP","FQ4 2022","FQ4 2022","Currency=USD","Period=FQ","BEST_FPERIOD_OVERRIDE=FQ","FILING_STATUS=MR","SCALING_FORMAT=MLN","Sort=A","Dates=H","DateFormat=P","Fill=—","Direction=H","UseDPDF=Y")</f>
        <v>4839</v>
      </c>
      <c r="AC70" s="13">
        <f>_xll.BDH("WMT US Equity","BS_ADD_PAID_IN_CAP","FQ1 2023","FQ1 2023","Currency=USD","Period=FQ","BEST_FPERIOD_OVERRIDE=FQ","FILING_STATUS=MR","SCALING_FORMAT=MLN","Sort=A","Dates=H","DateFormat=P","Fill=—","Direction=H","UseDPDF=Y")</f>
        <v>4587</v>
      </c>
      <c r="AD70" s="13">
        <f>_xll.BDH("WMT US Equity","BS_ADD_PAID_IN_CAP","FQ2 2023","FQ2 2023","Currency=USD","Period=FQ","BEST_FPERIOD_OVERRIDE=FQ","FILING_STATUS=MR","SCALING_FORMAT=MLN","Sort=A","Dates=H","DateFormat=P","Fill=—","Direction=H","UseDPDF=Y")</f>
        <v>4672</v>
      </c>
      <c r="AE70" s="13">
        <f>_xll.BDH("WMT US Equity","BS_ADD_PAID_IN_CAP","FQ3 2023","FQ3 2023","Currency=USD","Period=FQ","BEST_FPERIOD_OVERRIDE=FQ","FILING_STATUS=MR","SCALING_FORMAT=MLN","Sort=A","Dates=H","DateFormat=P","Fill=—","Direction=H","UseDPDF=Y")</f>
        <v>4817</v>
      </c>
      <c r="AF70" s="13">
        <f>_xll.BDH("WMT US Equity","BS_ADD_PAID_IN_CAP","FQ4 2023","FQ4 2023","Currency=USD","Period=FQ","BEST_FPERIOD_OVERRIDE=FQ","FILING_STATUS=MR","SCALING_FORMAT=MLN","Sort=A","Dates=H","DateFormat=P","Fill=—","Direction=H","UseDPDF=Y")</f>
        <v>4969</v>
      </c>
      <c r="AG70" s="13">
        <f>_xll.BDH("WMT US Equity","BS_ADD_PAID_IN_CAP","FQ1 2024","FQ1 2024","Currency=USD","Period=FQ","BEST_FPERIOD_OVERRIDE=FQ","FILING_STATUS=MR","SCALING_FORMAT=MLN","Sort=A","Dates=H","DateFormat=P","Fill=—","Direction=H","UseDPDF=Y")</f>
        <v>5248</v>
      </c>
      <c r="AH70" s="13">
        <f>_xll.BDH("WMT US Equity","BS_ADD_PAID_IN_CAP","FQ2 2024","FQ2 2024","Currency=USD","Period=FQ","BEST_FPERIOD_OVERRIDE=FQ","FILING_STATUS=MR","SCALING_FORMAT=MLN","Sort=A","Dates=H","DateFormat=P","Fill=—","Direction=H","UseDPDF=Y")</f>
        <v>4635</v>
      </c>
      <c r="AI70" s="13">
        <f>_xll.BDH("WMT US Equity","BS_ADD_PAID_IN_CAP","FQ3 2024","FQ3 2024","Currency=USD","Period=FQ","BEST_FPERIOD_OVERRIDE=FQ","FILING_STATUS=MR","SCALING_FORMAT=MLN","Sort=A","Dates=H","DateFormat=P","Fill=—","Direction=H","UseDPDF=Y")</f>
        <v>4929</v>
      </c>
      <c r="AJ70" s="13">
        <f>_xll.BDH("WMT US Equity","BS_ADD_PAID_IN_CAP","FQ4 2024","FQ4 2024","Currency=USD","Period=FQ","BEST_FPERIOD_OVERRIDE=FQ","FILING_STATUS=MR","SCALING_FORMAT=MLN","Sort=A","Dates=H","DateFormat=P","Fill=—","Direction=H","UseDPDF=Y")</f>
        <v>4544</v>
      </c>
      <c r="AK70" s="13">
        <f>_xll.BDH("WMT US Equity","BS_ADD_PAID_IN_CAP","FQ1 2025","FQ1 2025","Currency=USD","Period=FQ","BEST_FPERIOD_OVERRIDE=FQ","FILING_STATUS=MR","SCALING_FORMAT=MLN","Sort=A","Dates=H","DateFormat=P","Fill=—","Direction=H","UseDPDF=Y")</f>
        <v>4625</v>
      </c>
      <c r="AL70" s="13">
        <f>_xll.BDH("WMT US Equity","BS_ADD_PAID_IN_CAP","FQ2 2025","FQ2 2025","Currency=USD","Period=FQ","BEST_FPERIOD_OVERRIDE=FQ","FILING_STATUS=MR","SCALING_FORMAT=MLN","Sort=A","Dates=H","DateFormat=P","Fill=—","Direction=H","UseDPDF=Y")</f>
        <v>5010</v>
      </c>
      <c r="AM70" s="13">
        <f>_xll.BDH("WMT US Equity","BS_ADD_PAID_IN_CAP","FQ3 2025","FQ3 2025","Currency=USD","Period=FQ","BEST_FPERIOD_OVERRIDE=FQ","FILING_STATUS=MR","SCALING_FORMAT=MLN","Sort=A","Dates=H","DateFormat=P","Fill=—","Direction=H","UseDPDF=Y")</f>
        <v>5395</v>
      </c>
      <c r="AN70" s="13">
        <f>_xll.BDH("WMT US Equity","BS_ADD_PAID_IN_CAP","FQ4 2025","FQ4 2025","Currency=USD","Period=FQ","BEST_FPERIOD_OVERRIDE=FQ","FILING_STATUS=MR","SCALING_FORMAT=MLN","Sort=A","Dates=H","DateFormat=P","Fill=—","Direction=H","UseDPDF=Y")</f>
        <v>5503</v>
      </c>
      <c r="AO70" s="13">
        <f>_xll.BDH("WMT US Equity","BS_ADD_PAID_IN_CAP","FQ1 2026","FQ1 2026","Currency=USD","Period=FQ","BEST_FPERIOD_OVERRIDE=FQ","FILING_STATUS=MR","SCALING_FORMAT=MLN","Sort=A","Dates=H","DateFormat=P","Fill=—","Direction=H","UseDPDF=Y")</f>
        <v>5441</v>
      </c>
      <c r="AP70" s="13">
        <f>_xll.BDH("WMT US Equity","BS_ADD_PAID_IN_CAP","FQ2 2026","FQ2 2026","Currency=USD","Period=FQ","BEST_FPERIOD_OVERRIDE=FQ","FILING_STATUS=MR","SCALING_FORMAT=MLN","Sort=A","Dates=H","DateFormat=P","Fill=—","Direction=H","UseDPDF=Y")</f>
        <v>5718</v>
      </c>
    </row>
    <row r="71" spans="1:42" x14ac:dyDescent="0.3">
      <c r="A71" s="10" t="s">
        <v>245</v>
      </c>
      <c r="B71" s="10" t="s">
        <v>153</v>
      </c>
      <c r="C71" s="13">
        <f>_xll.BDH("WMT US Equity","BS_AMT_OF_TSY_STOCK","FQ3 2016","FQ3 2016","Currency=USD","Period=FQ","BEST_FPERIOD_OVERRIDE=FQ","FILING_STATUS=MR","SCALING_FORMAT=MLN","Sort=A","Dates=H","DateFormat=P","Fill=—","Direction=H","UseDPDF=Y")</f>
        <v>0</v>
      </c>
      <c r="D71" s="13">
        <f>_xll.BDH("WMT US Equity","BS_AMT_OF_TSY_STOCK","FQ4 2016","FQ4 2016","Currency=USD","Period=FQ","BEST_FPERIOD_OVERRIDE=FQ","FILING_STATUS=MR","SCALING_FORMAT=MLN","Sort=A","Dates=H","DateFormat=P","Fill=—","Direction=H","UseDPDF=Y")</f>
        <v>0</v>
      </c>
      <c r="E71" s="13">
        <f>_xll.BDH("WMT US Equity","BS_AMT_OF_TSY_STOCK","FQ1 2017","FQ1 2017","Currency=USD","Period=FQ","BEST_FPERIOD_OVERRIDE=FQ","FILING_STATUS=MR","SCALING_FORMAT=MLN","Sort=A","Dates=H","DateFormat=P","Fill=—","Direction=H","UseDPDF=Y")</f>
        <v>0</v>
      </c>
      <c r="F71" s="13">
        <f>_xll.BDH("WMT US Equity","BS_AMT_OF_TSY_STOCK","FQ2 2017","FQ2 2017","Currency=USD","Period=FQ","BEST_FPERIOD_OVERRIDE=FQ","FILING_STATUS=MR","SCALING_FORMAT=MLN","Sort=A","Dates=H","DateFormat=P","Fill=—","Direction=H","UseDPDF=Y")</f>
        <v>0</v>
      </c>
      <c r="G71" s="13">
        <f>_xll.BDH("WMT US Equity","BS_AMT_OF_TSY_STOCK","FQ3 2017","FQ3 2017","Currency=USD","Period=FQ","BEST_FPERIOD_OVERRIDE=FQ","FILING_STATUS=MR","SCALING_FORMAT=MLN","Sort=A","Dates=H","DateFormat=P","Fill=—","Direction=H","UseDPDF=Y")</f>
        <v>0</v>
      </c>
      <c r="H71" s="13">
        <f>_xll.BDH("WMT US Equity","BS_AMT_OF_TSY_STOCK","FQ4 2017","FQ4 2017","Currency=USD","Period=FQ","BEST_FPERIOD_OVERRIDE=FQ","FILING_STATUS=MR","SCALING_FORMAT=MLN","Sort=A","Dates=H","DateFormat=P","Fill=—","Direction=H","UseDPDF=Y")</f>
        <v>0</v>
      </c>
      <c r="I71" s="13">
        <f>_xll.BDH("WMT US Equity","BS_AMT_OF_TSY_STOCK","FQ1 2018","FQ1 2018","Currency=USD","Period=FQ","BEST_FPERIOD_OVERRIDE=FQ","FILING_STATUS=MR","SCALING_FORMAT=MLN","Sort=A","Dates=H","DateFormat=P","Fill=—","Direction=H","UseDPDF=Y")</f>
        <v>0</v>
      </c>
      <c r="J71" s="13">
        <f>_xll.BDH("WMT US Equity","BS_AMT_OF_TSY_STOCK","FQ2 2018","FQ2 2018","Currency=USD","Period=FQ","BEST_FPERIOD_OVERRIDE=FQ","FILING_STATUS=MR","SCALING_FORMAT=MLN","Sort=A","Dates=H","DateFormat=P","Fill=—","Direction=H","UseDPDF=Y")</f>
        <v>0</v>
      </c>
      <c r="K71" s="13">
        <f>_xll.BDH("WMT US Equity","BS_AMT_OF_TSY_STOCK","FQ3 2018","FQ3 2018","Currency=USD","Period=FQ","BEST_FPERIOD_OVERRIDE=FQ","FILING_STATUS=MR","SCALING_FORMAT=MLN","Sort=A","Dates=H","DateFormat=P","Fill=—","Direction=H","UseDPDF=Y")</f>
        <v>0</v>
      </c>
      <c r="L71" s="13">
        <f>_xll.BDH("WMT US Equity","BS_AMT_OF_TSY_STOCK","FQ4 2018","FQ4 2018","Currency=USD","Period=FQ","BEST_FPERIOD_OVERRIDE=FQ","FILING_STATUS=MR","SCALING_FORMAT=MLN","Sort=A","Dates=H","DateFormat=P","Fill=—","Direction=H","UseDPDF=Y")</f>
        <v>0</v>
      </c>
      <c r="M71" s="13">
        <f>_xll.BDH("WMT US Equity","BS_AMT_OF_TSY_STOCK","FQ1 2019","FQ1 2019","Currency=USD","Period=FQ","BEST_FPERIOD_OVERRIDE=FQ","FILING_STATUS=MR","SCALING_FORMAT=MLN","Sort=A","Dates=H","DateFormat=P","Fill=—","Direction=H","UseDPDF=Y")</f>
        <v>0</v>
      </c>
      <c r="N71" s="13">
        <f>_xll.BDH("WMT US Equity","BS_AMT_OF_TSY_STOCK","FQ2 2019","FQ2 2019","Currency=USD","Period=FQ","BEST_FPERIOD_OVERRIDE=FQ","FILING_STATUS=MR","SCALING_FORMAT=MLN","Sort=A","Dates=H","DateFormat=P","Fill=—","Direction=H","UseDPDF=Y")</f>
        <v>0</v>
      </c>
      <c r="O71" s="13">
        <f>_xll.BDH("WMT US Equity","BS_AMT_OF_TSY_STOCK","FQ3 2019","FQ3 2019","Currency=USD","Period=FQ","BEST_FPERIOD_OVERRIDE=FQ","FILING_STATUS=MR","SCALING_FORMAT=MLN","Sort=A","Dates=H","DateFormat=P","Fill=—","Direction=H","UseDPDF=Y")</f>
        <v>0</v>
      </c>
      <c r="P71" s="13">
        <f>_xll.BDH("WMT US Equity","BS_AMT_OF_TSY_STOCK","FQ4 2019","FQ4 2019","Currency=USD","Period=FQ","BEST_FPERIOD_OVERRIDE=FQ","FILING_STATUS=MR","SCALING_FORMAT=MLN","Sort=A","Dates=H","DateFormat=P","Fill=—","Direction=H","UseDPDF=Y")</f>
        <v>0</v>
      </c>
      <c r="Q71" s="13">
        <f>_xll.BDH("WMT US Equity","BS_AMT_OF_TSY_STOCK","FQ1 2020","FQ1 2020","Currency=USD","Period=FQ","BEST_FPERIOD_OVERRIDE=FQ","FILING_STATUS=MR","SCALING_FORMAT=MLN","Sort=A","Dates=H","DateFormat=P","Fill=—","Direction=H","UseDPDF=Y")</f>
        <v>0</v>
      </c>
      <c r="R71" s="13">
        <f>_xll.BDH("WMT US Equity","BS_AMT_OF_TSY_STOCK","FQ2 2020","FQ2 2020","Currency=USD","Period=FQ","BEST_FPERIOD_OVERRIDE=FQ","FILING_STATUS=MR","SCALING_FORMAT=MLN","Sort=A","Dates=H","DateFormat=P","Fill=—","Direction=H","UseDPDF=Y")</f>
        <v>0</v>
      </c>
      <c r="S71" s="13">
        <f>_xll.BDH("WMT US Equity","BS_AMT_OF_TSY_STOCK","FQ3 2020","FQ3 2020","Currency=USD","Period=FQ","BEST_FPERIOD_OVERRIDE=FQ","FILING_STATUS=MR","SCALING_FORMAT=MLN","Sort=A","Dates=H","DateFormat=P","Fill=—","Direction=H","UseDPDF=Y")</f>
        <v>0</v>
      </c>
      <c r="T71" s="13">
        <f>_xll.BDH("WMT US Equity","BS_AMT_OF_TSY_STOCK","FQ4 2020","FQ4 2020","Currency=USD","Period=FQ","BEST_FPERIOD_OVERRIDE=FQ","FILING_STATUS=MR","SCALING_FORMAT=MLN","Sort=A","Dates=H","DateFormat=P","Fill=—","Direction=H","UseDPDF=Y")</f>
        <v>0</v>
      </c>
      <c r="U71" s="13">
        <f>_xll.BDH("WMT US Equity","BS_AMT_OF_TSY_STOCK","FQ1 2021","FQ1 2021","Currency=USD","Period=FQ","BEST_FPERIOD_OVERRIDE=FQ","FILING_STATUS=MR","SCALING_FORMAT=MLN","Sort=A","Dates=H","DateFormat=P","Fill=—","Direction=H","UseDPDF=Y")</f>
        <v>0</v>
      </c>
      <c r="V71" s="13">
        <f>_xll.BDH("WMT US Equity","BS_AMT_OF_TSY_STOCK","FQ2 2021","FQ2 2021","Currency=USD","Period=FQ","BEST_FPERIOD_OVERRIDE=FQ","FILING_STATUS=MR","SCALING_FORMAT=MLN","Sort=A","Dates=H","DateFormat=P","Fill=—","Direction=H","UseDPDF=Y")</f>
        <v>0</v>
      </c>
      <c r="W71" s="13">
        <f>_xll.BDH("WMT US Equity","BS_AMT_OF_TSY_STOCK","FQ3 2021","FQ3 2021","Currency=USD","Period=FQ","BEST_FPERIOD_OVERRIDE=FQ","FILING_STATUS=MR","SCALING_FORMAT=MLN","Sort=A","Dates=H","DateFormat=P","Fill=—","Direction=H","UseDPDF=Y")</f>
        <v>0</v>
      </c>
      <c r="X71" s="13">
        <f>_xll.BDH("WMT US Equity","BS_AMT_OF_TSY_STOCK","FQ4 2021","FQ4 2021","Currency=USD","Period=FQ","BEST_FPERIOD_OVERRIDE=FQ","FILING_STATUS=MR","SCALING_FORMAT=MLN","Sort=A","Dates=H","DateFormat=P","Fill=—","Direction=H","UseDPDF=Y")</f>
        <v>0</v>
      </c>
      <c r="Y71" s="13">
        <f>_xll.BDH("WMT US Equity","BS_AMT_OF_TSY_STOCK","FQ1 2022","FQ1 2022","Currency=USD","Period=FQ","BEST_FPERIOD_OVERRIDE=FQ","FILING_STATUS=MR","SCALING_FORMAT=MLN","Sort=A","Dates=H","DateFormat=P","Fill=—","Direction=H","UseDPDF=Y")</f>
        <v>0</v>
      </c>
      <c r="Z71" s="13">
        <f>_xll.BDH("WMT US Equity","BS_AMT_OF_TSY_STOCK","FQ2 2022","FQ2 2022","Currency=USD","Period=FQ","BEST_FPERIOD_OVERRIDE=FQ","FILING_STATUS=MR","SCALING_FORMAT=MLN","Sort=A","Dates=H","DateFormat=P","Fill=—","Direction=H","UseDPDF=Y")</f>
        <v>0</v>
      </c>
      <c r="AA71" s="13">
        <f>_xll.BDH("WMT US Equity","BS_AMT_OF_TSY_STOCK","FQ3 2022","FQ3 2022","Currency=USD","Period=FQ","BEST_FPERIOD_OVERRIDE=FQ","FILING_STATUS=MR","SCALING_FORMAT=MLN","Sort=A","Dates=H","DateFormat=P","Fill=—","Direction=H","UseDPDF=Y")</f>
        <v>0</v>
      </c>
      <c r="AB71" s="13">
        <f>_xll.BDH("WMT US Equity","BS_AMT_OF_TSY_STOCK","FQ4 2022","FQ4 2022","Currency=USD","Period=FQ","BEST_FPERIOD_OVERRIDE=FQ","FILING_STATUS=MR","SCALING_FORMAT=MLN","Sort=A","Dates=H","DateFormat=P","Fill=—","Direction=H","UseDPDF=Y")</f>
        <v>0</v>
      </c>
      <c r="AC71" s="13">
        <f>_xll.BDH("WMT US Equity","BS_AMT_OF_TSY_STOCK","FQ1 2023","FQ1 2023","Currency=USD","Period=FQ","BEST_FPERIOD_OVERRIDE=FQ","FILING_STATUS=MR","SCALING_FORMAT=MLN","Sort=A","Dates=H","DateFormat=P","Fill=—","Direction=H","UseDPDF=Y")</f>
        <v>0</v>
      </c>
      <c r="AD71" s="13">
        <f>_xll.BDH("WMT US Equity","BS_AMT_OF_TSY_STOCK","FQ2 2023","FQ2 2023","Currency=USD","Period=FQ","BEST_FPERIOD_OVERRIDE=FQ","FILING_STATUS=MR","SCALING_FORMAT=MLN","Sort=A","Dates=H","DateFormat=P","Fill=—","Direction=H","UseDPDF=Y")</f>
        <v>0</v>
      </c>
      <c r="AE71" s="13">
        <f>_xll.BDH("WMT US Equity","BS_AMT_OF_TSY_STOCK","FQ3 2023","FQ3 2023","Currency=USD","Period=FQ","BEST_FPERIOD_OVERRIDE=FQ","FILING_STATUS=MR","SCALING_FORMAT=MLN","Sort=A","Dates=H","DateFormat=P","Fill=—","Direction=H","UseDPDF=Y")</f>
        <v>0</v>
      </c>
      <c r="AF71" s="13">
        <f>_xll.BDH("WMT US Equity","BS_AMT_OF_TSY_STOCK","FQ4 2023","FQ4 2023","Currency=USD","Period=FQ","BEST_FPERIOD_OVERRIDE=FQ","FILING_STATUS=MR","SCALING_FORMAT=MLN","Sort=A","Dates=H","DateFormat=P","Fill=—","Direction=H","UseDPDF=Y")</f>
        <v>0</v>
      </c>
      <c r="AG71" s="13">
        <f>_xll.BDH("WMT US Equity","BS_AMT_OF_TSY_STOCK","FQ1 2024","FQ1 2024","Currency=USD","Period=FQ","BEST_FPERIOD_OVERRIDE=FQ","FILING_STATUS=MR","SCALING_FORMAT=MLN","Sort=A","Dates=H","DateFormat=P","Fill=—","Direction=H","UseDPDF=Y")</f>
        <v>0</v>
      </c>
      <c r="AH71" s="13">
        <f>_xll.BDH("WMT US Equity","BS_AMT_OF_TSY_STOCK","FQ2 2024","FQ2 2024","Currency=USD","Period=FQ","BEST_FPERIOD_OVERRIDE=FQ","FILING_STATUS=MR","SCALING_FORMAT=MLN","Sort=A","Dates=H","DateFormat=P","Fill=—","Direction=H","UseDPDF=Y")</f>
        <v>0</v>
      </c>
      <c r="AI71" s="13">
        <f>_xll.BDH("WMT US Equity","BS_AMT_OF_TSY_STOCK","FQ3 2024","FQ3 2024","Currency=USD","Period=FQ","BEST_FPERIOD_OVERRIDE=FQ","FILING_STATUS=MR","SCALING_FORMAT=MLN","Sort=A","Dates=H","DateFormat=P","Fill=—","Direction=H","UseDPDF=Y")</f>
        <v>0</v>
      </c>
      <c r="AJ71" s="13">
        <f>_xll.BDH("WMT US Equity","BS_AMT_OF_TSY_STOCK","FQ4 2024","FQ4 2024","Currency=USD","Period=FQ","BEST_FPERIOD_OVERRIDE=FQ","FILING_STATUS=MR","SCALING_FORMAT=MLN","Sort=A","Dates=H","DateFormat=P","Fill=—","Direction=H","UseDPDF=Y")</f>
        <v>0</v>
      </c>
      <c r="AK71" s="13">
        <f>_xll.BDH("WMT US Equity","BS_AMT_OF_TSY_STOCK","FQ1 2025","FQ1 2025","Currency=USD","Period=FQ","BEST_FPERIOD_OVERRIDE=FQ","FILING_STATUS=MR","SCALING_FORMAT=MLN","Sort=A","Dates=H","DateFormat=P","Fill=—","Direction=H","UseDPDF=Y")</f>
        <v>0</v>
      </c>
      <c r="AL71" s="13">
        <f>_xll.BDH("WMT US Equity","BS_AMT_OF_TSY_STOCK","FQ2 2025","FQ2 2025","Currency=USD","Period=FQ","BEST_FPERIOD_OVERRIDE=FQ","FILING_STATUS=MR","SCALING_FORMAT=MLN","Sort=A","Dates=H","DateFormat=P","Fill=—","Direction=H","UseDPDF=Y")</f>
        <v>0</v>
      </c>
      <c r="AM71" s="13">
        <f>_xll.BDH("WMT US Equity","BS_AMT_OF_TSY_STOCK","FQ3 2025","FQ3 2025","Currency=USD","Period=FQ","BEST_FPERIOD_OVERRIDE=FQ","FILING_STATUS=MR","SCALING_FORMAT=MLN","Sort=A","Dates=H","DateFormat=P","Fill=—","Direction=H","UseDPDF=Y")</f>
        <v>0</v>
      </c>
      <c r="AN71" s="13">
        <f>_xll.BDH("WMT US Equity","BS_AMT_OF_TSY_STOCK","FQ4 2025","FQ4 2025","Currency=USD","Period=FQ","BEST_FPERIOD_OVERRIDE=FQ","FILING_STATUS=MR","SCALING_FORMAT=MLN","Sort=A","Dates=H","DateFormat=P","Fill=—","Direction=H","UseDPDF=Y")</f>
        <v>0</v>
      </c>
      <c r="AO71" s="13">
        <f>_xll.BDH("WMT US Equity","BS_AMT_OF_TSY_STOCK","FQ1 2026","FQ1 2026","Currency=USD","Period=FQ","BEST_FPERIOD_OVERRIDE=FQ","FILING_STATUS=MR","SCALING_FORMAT=MLN","Sort=A","Dates=H","DateFormat=P","Fill=—","Direction=H","UseDPDF=Y")</f>
        <v>0</v>
      </c>
      <c r="AP71" s="13">
        <f>_xll.BDH("WMT US Equity","BS_AMT_OF_TSY_STOCK","FQ2 2026","FQ2 2026","Currency=USD","Period=FQ","BEST_FPERIOD_OVERRIDE=FQ","FILING_STATUS=MR","SCALING_FORMAT=MLN","Sort=A","Dates=H","DateFormat=P","Fill=—","Direction=H","UseDPDF=Y")</f>
        <v>0</v>
      </c>
    </row>
    <row r="72" spans="1:42" x14ac:dyDescent="0.3">
      <c r="A72" s="10" t="s">
        <v>239</v>
      </c>
      <c r="B72" s="10" t="s">
        <v>154</v>
      </c>
      <c r="C72" s="13">
        <f>_xll.BDH("WMT US Equity","BS_PURE_RETAINED_EARNINGS","FQ3 2016","FQ3 2016","Currency=USD","Period=FQ","BEST_FPERIOD_OVERRIDE=FQ","FILING_STATUS=MR","SCALING_FORMAT=MLN","Sort=A","Dates=H","DateFormat=P","Fill=—","Direction=H","UseDPDF=Y")</f>
        <v>87903</v>
      </c>
      <c r="D72" s="13">
        <f>_xll.BDH("WMT US Equity","BS_PURE_RETAINED_EARNINGS","FQ4 2016","FQ4 2016","Currency=USD","Period=FQ","BEST_FPERIOD_OVERRIDE=FQ","FILING_STATUS=MR","SCALING_FORMAT=MLN","Sort=A","Dates=H","DateFormat=P","Fill=—","Direction=H","UseDPDF=Y")</f>
        <v>90021</v>
      </c>
      <c r="E72" s="13">
        <f>_xll.BDH("WMT US Equity","BS_PURE_RETAINED_EARNINGS","FQ1 2017","FQ1 2017","Currency=USD","Period=FQ","BEST_FPERIOD_OVERRIDE=FQ","FILING_STATUS=MR","SCALING_FORMAT=MLN","Sort=A","Dates=H","DateFormat=P","Fill=—","Direction=H","UseDPDF=Y")</f>
        <v>84145</v>
      </c>
      <c r="F72" s="13">
        <f>_xll.BDH("WMT US Equity","BS_PURE_RETAINED_EARNINGS","FQ2 2017","FQ2 2017","Currency=USD","Period=FQ","BEST_FPERIOD_OVERRIDE=FQ","FILING_STATUS=MR","SCALING_FORMAT=MLN","Sort=A","Dates=H","DateFormat=P","Fill=—","Direction=H","UseDPDF=Y")</f>
        <v>85972</v>
      </c>
      <c r="G72" s="13">
        <f>_xll.BDH("WMT US Equity","BS_PURE_RETAINED_EARNINGS","FQ3 2017","FQ3 2017","Currency=USD","Period=FQ","BEST_FPERIOD_OVERRIDE=FQ","FILING_STATUS=MR","SCALING_FORMAT=MLN","Sort=A","Dates=H","DateFormat=P","Fill=—","Direction=H","UseDPDF=Y")</f>
        <v>87636</v>
      </c>
      <c r="H72" s="13">
        <f>_xll.BDH("WMT US Equity","BS_PURE_RETAINED_EARNINGS","FQ4 2017","FQ4 2017","Currency=USD","Period=FQ","BEST_FPERIOD_OVERRIDE=FQ","FILING_STATUS=MR","SCALING_FORMAT=MLN","Sort=A","Dates=H","DateFormat=P","Fill=—","Direction=H","UseDPDF=Y")</f>
        <v>89354</v>
      </c>
      <c r="I72" s="13">
        <f>_xll.BDH("WMT US Equity","BS_PURE_RETAINED_EARNINGS","FQ1 2018","FQ1 2018","Currency=USD","Period=FQ","BEST_FPERIOD_OVERRIDE=FQ","FILING_STATUS=MR","SCALING_FORMAT=MLN","Sort=A","Dates=H","DateFormat=P","Fill=—","Direction=H","UseDPDF=Y")</f>
        <v>84120</v>
      </c>
      <c r="J72" s="13">
        <f>_xll.BDH("WMT US Equity","BS_PURE_RETAINED_EARNINGS","FQ2 2018","FQ2 2018","Currency=USD","Period=FQ","BEST_FPERIOD_OVERRIDE=FQ","FILING_STATUS=MR","SCALING_FORMAT=MLN","Sort=A","Dates=H","DateFormat=P","Fill=—","Direction=H","UseDPDF=Y")</f>
        <v>84838</v>
      </c>
      <c r="K72" s="13">
        <f>_xll.BDH("WMT US Equity","BS_PURE_RETAINED_EARNINGS","FQ3 2018","FQ3 2018","Currency=USD","Period=FQ","BEST_FPERIOD_OVERRIDE=FQ","FILING_STATUS=MR","SCALING_FORMAT=MLN","Sort=A","Dates=H","DateFormat=P","Fill=—","Direction=H","UseDPDF=Y")</f>
        <v>84480</v>
      </c>
      <c r="L72" s="13">
        <f>_xll.BDH("WMT US Equity","BS_PURE_RETAINED_EARNINGS","FQ4 2018","FQ4 2018","Currency=USD","Period=FQ","BEST_FPERIOD_OVERRIDE=FQ","FILING_STATUS=MR","SCALING_FORMAT=MLN","Sort=A","Dates=H","DateFormat=P","Fill=—","Direction=H","UseDPDF=Y")</f>
        <v>85107</v>
      </c>
      <c r="M72" s="13">
        <f>_xll.BDH("WMT US Equity","BS_PURE_RETAINED_EARNINGS","FQ1 2019","FQ1 2019","Currency=USD","Period=FQ","BEST_FPERIOD_OVERRIDE=FQ","FILING_STATUS=MR","SCALING_FORMAT=MLN","Sort=A","Dates=H","DateFormat=P","Fill=—","Direction=H","UseDPDF=Y")</f>
        <v>82982</v>
      </c>
      <c r="N72" s="13">
        <f>_xll.BDH("WMT US Equity","BS_PURE_RETAINED_EARNINGS","FQ2 2019","FQ2 2019","Currency=USD","Period=FQ","BEST_FPERIOD_OVERRIDE=FQ","FILING_STATUS=MR","SCALING_FORMAT=MLN","Sort=A","Dates=H","DateFormat=P","Fill=—","Direction=H","UseDPDF=Y")</f>
        <v>80810</v>
      </c>
      <c r="O72" s="13">
        <f>_xll.BDH("WMT US Equity","BS_PURE_RETAINED_EARNINGS","FQ3 2019","FQ3 2019","Currency=USD","Period=FQ","BEST_FPERIOD_OVERRIDE=FQ","FILING_STATUS=MR","SCALING_FORMAT=MLN","Sort=A","Dates=H","DateFormat=P","Fill=—","Direction=H","UseDPDF=Y")</f>
        <v>80287</v>
      </c>
      <c r="P72" s="13">
        <f>_xll.BDH("WMT US Equity","BS_PURE_RETAINED_EARNINGS","FQ4 2019","FQ4 2019","Currency=USD","Period=FQ","BEST_FPERIOD_OVERRIDE=FQ","FILING_STATUS=MR","SCALING_FORMAT=MLN","Sort=A","Dates=H","DateFormat=P","Fill=—","Direction=H","UseDPDF=Y")</f>
        <v>80785</v>
      </c>
      <c r="Q72" s="13">
        <f>_xll.BDH("WMT US Equity","BS_PURE_RETAINED_EARNINGS","FQ1 2020","FQ1 2020","Currency=USD","Period=FQ","BEST_FPERIOD_OVERRIDE=FQ","FILING_STATUS=MR","SCALING_FORMAT=MLN","Sort=A","Dates=H","DateFormat=P","Fill=—","Direction=H","UseDPDF=Y")</f>
        <v>76276</v>
      </c>
      <c r="R72" s="13">
        <f>_xll.BDH("WMT US Equity","BS_PURE_RETAINED_EARNINGS","FQ2 2020","FQ2 2020","Currency=USD","Period=FQ","BEST_FPERIOD_OVERRIDE=FQ","FILING_STATUS=MR","SCALING_FORMAT=MLN","Sort=A","Dates=H","DateFormat=P","Fill=—","Direction=H","UseDPDF=Y")</f>
        <v>78432</v>
      </c>
      <c r="S72" s="13">
        <f>_xll.BDH("WMT US Equity","BS_PURE_RETAINED_EARNINGS","FQ3 2020","FQ3 2020","Currency=USD","Period=FQ","BEST_FPERIOD_OVERRIDE=FQ","FILING_STATUS=MR","SCALING_FORMAT=MLN","Sort=A","Dates=H","DateFormat=P","Fill=—","Direction=H","UseDPDF=Y")</f>
        <v>80656</v>
      </c>
      <c r="T72" s="13">
        <f>_xll.BDH("WMT US Equity","BS_PURE_RETAINED_EARNINGS","FQ4 2020","FQ4 2020","Currency=USD","Period=FQ","BEST_FPERIOD_OVERRIDE=FQ","FILING_STATUS=MR","SCALING_FORMAT=MLN","Sort=A","Dates=H","DateFormat=P","Fill=—","Direction=H","UseDPDF=Y")</f>
        <v>83943</v>
      </c>
      <c r="U72" s="13">
        <f>_xll.BDH("WMT US Equity","BS_PURE_RETAINED_EARNINGS","FQ1 2021","FQ1 2021","Currency=USD","Period=FQ","BEST_FPERIOD_OVERRIDE=FQ","FILING_STATUS=MR","SCALING_FORMAT=MLN","Sort=A","Dates=H","DateFormat=P","Fill=—","Direction=H","UseDPDF=Y")</f>
        <v>81141</v>
      </c>
      <c r="V72" s="13">
        <f>_xll.BDH("WMT US Equity","BS_PURE_RETAINED_EARNINGS","FQ2 2021","FQ2 2021","Currency=USD","Period=FQ","BEST_FPERIOD_OVERRIDE=FQ","FILING_STATUS=MR","SCALING_FORMAT=MLN","Sort=A","Dates=H","DateFormat=P","Fill=—","Direction=H","UseDPDF=Y")</f>
        <v>87614</v>
      </c>
      <c r="W72" s="13">
        <f>_xll.BDH("WMT US Equity","BS_PURE_RETAINED_EARNINGS","FQ3 2021","FQ3 2021","Currency=USD","Period=FQ","BEST_FPERIOD_OVERRIDE=FQ","FILING_STATUS=MR","SCALING_FORMAT=MLN","Sort=A","Dates=H","DateFormat=P","Fill=—","Direction=H","UseDPDF=Y")</f>
        <v>92279</v>
      </c>
      <c r="X72" s="13">
        <f>_xll.BDH("WMT US Equity","BS_PURE_RETAINED_EARNINGS","FQ4 2021","FQ4 2021","Currency=USD","Period=FQ","BEST_FPERIOD_OVERRIDE=FQ","FILING_STATUS=MR","SCALING_FORMAT=MLN","Sort=A","Dates=H","DateFormat=P","Fill=—","Direction=H","UseDPDF=Y")</f>
        <v>88763</v>
      </c>
      <c r="Y72" s="13">
        <f>_xll.BDH("WMT US Equity","BS_PURE_RETAINED_EARNINGS","FQ1 2022","FQ1 2022","Currency=USD","Period=FQ","BEST_FPERIOD_OVERRIDE=FQ","FILING_STATUS=MR","SCALING_FORMAT=MLN","Sort=A","Dates=H","DateFormat=P","Fill=—","Direction=H","UseDPDF=Y")</f>
        <v>82577</v>
      </c>
      <c r="Z72" s="13">
        <f>_xll.BDH("WMT US Equity","BS_PURE_RETAINED_EARNINGS","FQ2 2022","FQ2 2022","Currency=USD","Period=FQ","BEST_FPERIOD_OVERRIDE=FQ","FILING_STATUS=MR","SCALING_FORMAT=MLN","Sort=A","Dates=H","DateFormat=P","Fill=—","Direction=H","UseDPDF=Y")</f>
        <v>84572</v>
      </c>
      <c r="AA72" s="13">
        <f>_xll.BDH("WMT US Equity","BS_PURE_RETAINED_EARNINGS","FQ3 2022","FQ3 2022","Currency=USD","Period=FQ","BEST_FPERIOD_OVERRIDE=FQ","FILING_STATUS=MR","SCALING_FORMAT=MLN","Sort=A","Dates=H","DateFormat=P","Fill=—","Direction=H","UseDPDF=Y")</f>
        <v>85674</v>
      </c>
      <c r="AB72" s="13">
        <f>_xll.BDH("WMT US Equity","BS_PURE_RETAINED_EARNINGS","FQ4 2022","FQ4 2022","Currency=USD","Period=FQ","BEST_FPERIOD_OVERRIDE=FQ","FILING_STATUS=MR","SCALING_FORMAT=MLN","Sort=A","Dates=H","DateFormat=P","Fill=—","Direction=H","UseDPDF=Y")</f>
        <v>86904</v>
      </c>
      <c r="AC72" s="13">
        <f>_xll.BDH("WMT US Equity","BS_PURE_RETAINED_EARNINGS","FQ1 2023","FQ1 2023","Currency=USD","Period=FQ","BEST_FPERIOD_OVERRIDE=FQ","FILING_STATUS=MR","SCALING_FORMAT=MLN","Sort=A","Dates=H","DateFormat=P","Fill=—","Direction=H","UseDPDF=Y")</f>
        <v>80532</v>
      </c>
      <c r="AD72" s="13">
        <f>_xll.BDH("WMT US Equity","BS_PURE_RETAINED_EARNINGS","FQ2 2023","FQ2 2023","Currency=USD","Period=FQ","BEST_FPERIOD_OVERRIDE=FQ","FILING_STATUS=MR","SCALING_FORMAT=MLN","Sort=A","Dates=H","DateFormat=P","Fill=—","Direction=H","UseDPDF=Y")</f>
        <v>82519</v>
      </c>
      <c r="AE72" s="13">
        <f>_xll.BDH("WMT US Equity","BS_PURE_RETAINED_EARNINGS","FQ3 2023","FQ3 2023","Currency=USD","Period=FQ","BEST_FPERIOD_OVERRIDE=FQ","FILING_STATUS=MR","SCALING_FORMAT=MLN","Sort=A","Dates=H","DateFormat=P","Fill=—","Direction=H","UseDPDF=Y")</f>
        <v>77946</v>
      </c>
      <c r="AF72" s="13">
        <f>_xll.BDH("WMT US Equity","BS_PURE_RETAINED_EARNINGS","FQ4 2023","FQ4 2023","Currency=USD","Period=FQ","BEST_FPERIOD_OVERRIDE=FQ","FILING_STATUS=MR","SCALING_FORMAT=MLN","Sort=A","Dates=H","DateFormat=P","Fill=—","Direction=H","UseDPDF=Y")</f>
        <v>83135</v>
      </c>
      <c r="AG72" s="13">
        <f>_xll.BDH("WMT US Equity","BS_PURE_RETAINED_EARNINGS","FQ1 2024","FQ1 2024","Currency=USD","Period=FQ","BEST_FPERIOD_OVERRIDE=FQ","FILING_STATUS=MR","SCALING_FORMAT=MLN","Sort=A","Dates=H","DateFormat=P","Fill=—","Direction=H","UseDPDF=Y")</f>
        <v>78035</v>
      </c>
      <c r="AH72" s="13">
        <f>_xll.BDH("WMT US Equity","BS_PURE_RETAINED_EARNINGS","FQ2 2024","FQ2 2024","Currency=USD","Period=FQ","BEST_FPERIOD_OVERRIDE=FQ","FILING_STATUS=MR","SCALING_FORMAT=MLN","Sort=A","Dates=H","DateFormat=P","Fill=—","Direction=H","UseDPDF=Y")</f>
        <v>85470</v>
      </c>
      <c r="AI72" s="13">
        <f>_xll.BDH("WMT US Equity","BS_PURE_RETAINED_EARNINGS","FQ3 2024","FQ3 2024","Currency=USD","Period=FQ","BEST_FPERIOD_OVERRIDE=FQ","FILING_STATUS=MR","SCALING_FORMAT=MLN","Sort=A","Dates=H","DateFormat=P","Fill=—","Direction=H","UseDPDF=Y")</f>
        <v>85831</v>
      </c>
      <c r="AJ72" s="13">
        <f>_xll.BDH("WMT US Equity","BS_PURE_RETAINED_EARNINGS","FQ4 2024","FQ4 2024","Currency=USD","Period=FQ","BEST_FPERIOD_OVERRIDE=FQ","FILING_STATUS=MR","SCALING_FORMAT=MLN","Sort=A","Dates=H","DateFormat=P","Fill=—","Direction=H","UseDPDF=Y")</f>
        <v>89814</v>
      </c>
      <c r="AK72" s="13">
        <f>_xll.BDH("WMT US Equity","BS_PURE_RETAINED_EARNINGS","FQ1 2025","FQ1 2025","Currency=USD","Period=FQ","BEST_FPERIOD_OVERRIDE=FQ","FILING_STATUS=MR","SCALING_FORMAT=MLN","Sort=A","Dates=H","DateFormat=P","Fill=—","Direction=H","UseDPDF=Y")</f>
        <v>87230</v>
      </c>
      <c r="AL72" s="13">
        <f>_xll.BDH("WMT US Equity","BS_PURE_RETAINED_EARNINGS","FQ2 2025","FQ2 2025","Currency=USD","Period=FQ","BEST_FPERIOD_OVERRIDE=FQ","FILING_STATUS=MR","SCALING_FORMAT=MLN","Sort=A","Dates=H","DateFormat=P","Fill=—","Direction=H","UseDPDF=Y")</f>
        <v>90788</v>
      </c>
      <c r="AM72" s="13">
        <f>_xll.BDH("WMT US Equity","BS_PURE_RETAINED_EARNINGS","FQ3 2025","FQ3 2025","Currency=USD","Period=FQ","BEST_FPERIOD_OVERRIDE=FQ","FILING_STATUS=MR","SCALING_FORMAT=MLN","Sort=A","Dates=H","DateFormat=P","Fill=—","Direction=H","UseDPDF=Y")</f>
        <v>94435</v>
      </c>
      <c r="AN72" s="13">
        <f>_xll.BDH("WMT US Equity","BS_PURE_RETAINED_EARNINGS","FQ4 2025","FQ4 2025","Currency=USD","Period=FQ","BEST_FPERIOD_OVERRIDE=FQ","FILING_STATUS=MR","SCALING_FORMAT=MLN","Sort=A","Dates=H","DateFormat=P","Fill=—","Direction=H","UseDPDF=Y")</f>
        <v>98313</v>
      </c>
      <c r="AO72" s="13">
        <f>_xll.BDH("WMT US Equity","BS_PURE_RETAINED_EARNINGS","FQ1 2026","FQ1 2026","Currency=USD","Period=FQ","BEST_FPERIOD_OVERRIDE=FQ","FILING_STATUS=MR","SCALING_FORMAT=MLN","Sort=A","Dates=H","DateFormat=P","Fill=—","Direction=H","UseDPDF=Y")</f>
        <v>90849</v>
      </c>
      <c r="AP72" s="13">
        <f>_xll.BDH("WMT US Equity","BS_PURE_RETAINED_EARNINGS","FQ2 2026","FQ2 2026","Currency=USD","Period=FQ","BEST_FPERIOD_OVERRIDE=FQ","FILING_STATUS=MR","SCALING_FORMAT=MLN","Sort=A","Dates=H","DateFormat=P","Fill=—","Direction=H","UseDPDF=Y")</f>
        <v>96328</v>
      </c>
    </row>
    <row r="73" spans="1:42" x14ac:dyDescent="0.3">
      <c r="A73" s="10" t="s">
        <v>240</v>
      </c>
      <c r="B73" s="10" t="s">
        <v>155</v>
      </c>
      <c r="C73" s="13">
        <f>_xll.BDH("WMT US Equity","OTHER_EQUITY_RATIO","FQ3 2016","FQ3 2016","Currency=USD","Period=FQ","BEST_FPERIOD_OVERRIDE=FQ","FILING_STATUS=MR","SCALING_FORMAT=MLN","Sort=A","Dates=H","DateFormat=P","Fill=—","Direction=H","UseDPDF=Y")</f>
        <v>-10659</v>
      </c>
      <c r="D73" s="13">
        <f>_xll.BDH("WMT US Equity","OTHER_EQUITY_RATIO","FQ4 2016","FQ4 2016","Currency=USD","Period=FQ","BEST_FPERIOD_OVERRIDE=FQ","FILING_STATUS=MR","SCALING_FORMAT=MLN","Sort=A","Dates=H","DateFormat=P","Fill=—","Direction=H","UseDPDF=Y")</f>
        <v>-11597</v>
      </c>
      <c r="E73" s="13">
        <f>_xll.BDH("WMT US Equity","OTHER_EQUITY_RATIO","FQ1 2017","FQ1 2017","Currency=USD","Period=FQ","BEST_FPERIOD_OVERRIDE=FQ","FILING_STATUS=MR","SCALING_FORMAT=MLN","Sort=A","Dates=H","DateFormat=P","Fill=—","Direction=H","UseDPDF=Y")</f>
        <v>-10995</v>
      </c>
      <c r="F73" s="13">
        <f>_xll.BDH("WMT US Equity","OTHER_EQUITY_RATIO","FQ2 2017","FQ2 2017","Currency=USD","Period=FQ","BEST_FPERIOD_OVERRIDE=FQ","FILING_STATUS=MR","SCALING_FORMAT=MLN","Sort=A","Dates=H","DateFormat=P","Fill=—","Direction=H","UseDPDF=Y")</f>
        <v>-11672</v>
      </c>
      <c r="G73" s="13">
        <f>_xll.BDH("WMT US Equity","OTHER_EQUITY_RATIO","FQ3 2017","FQ3 2017","Currency=USD","Period=FQ","BEST_FPERIOD_OVERRIDE=FQ","FILING_STATUS=MR","SCALING_FORMAT=MLN","Sort=A","Dates=H","DateFormat=P","Fill=—","Direction=H","UseDPDF=Y")</f>
        <v>-12335</v>
      </c>
      <c r="H73" s="13">
        <f>_xll.BDH("WMT US Equity","OTHER_EQUITY_RATIO","FQ4 2017","FQ4 2017","Currency=USD","Period=FQ","BEST_FPERIOD_OVERRIDE=FQ","FILING_STATUS=MR","SCALING_FORMAT=MLN","Sort=A","Dates=H","DateFormat=P","Fill=—","Direction=H","UseDPDF=Y")</f>
        <v>-14232</v>
      </c>
      <c r="I73" s="13">
        <f>_xll.BDH("WMT US Equity","OTHER_EQUITY_RATIO","FQ1 2018","FQ1 2018","Currency=USD","Period=FQ","BEST_FPERIOD_OVERRIDE=FQ","FILING_STATUS=MR","SCALING_FORMAT=MLN","Sort=A","Dates=H","DateFormat=P","Fill=—","Direction=H","UseDPDF=Y")</f>
        <v>-12954</v>
      </c>
      <c r="J73" s="13">
        <f>_xll.BDH("WMT US Equity","OTHER_EQUITY_RATIO","FQ2 2018","FQ2 2018","Currency=USD","Period=FQ","BEST_FPERIOD_OVERRIDE=FQ","FILING_STATUS=MR","SCALING_FORMAT=MLN","Sort=A","Dates=H","DateFormat=P","Fill=—","Direction=H","UseDPDF=Y")</f>
        <v>-11100</v>
      </c>
      <c r="K73" s="13">
        <f>_xll.BDH("WMT US Equity","OTHER_EQUITY_RATIO","FQ3 2018","FQ3 2018","Currency=USD","Period=FQ","BEST_FPERIOD_OVERRIDE=FQ","FILING_STATUS=MR","SCALING_FORMAT=MLN","Sort=A","Dates=H","DateFormat=P","Fill=—","Direction=H","UseDPDF=Y")</f>
        <v>-11133</v>
      </c>
      <c r="L73" s="13">
        <f>_xll.BDH("WMT US Equity","OTHER_EQUITY_RATIO","FQ4 2018","FQ4 2018","Currency=USD","Period=FQ","BEST_FPERIOD_OVERRIDE=FQ","FILING_STATUS=MR","SCALING_FORMAT=MLN","Sort=A","Dates=H","DateFormat=P","Fill=—","Direction=H","UseDPDF=Y")</f>
        <v>-10181</v>
      </c>
      <c r="M73" s="13">
        <f>_xll.BDH("WMT US Equity","OTHER_EQUITY_RATIO","FQ1 2019","FQ1 2019","Currency=USD","Period=FQ","BEST_FPERIOD_OVERRIDE=FQ","FILING_STATUS=MR","SCALING_FORMAT=MLN","Sort=A","Dates=H","DateFormat=P","Fill=—","Direction=H","UseDPDF=Y")</f>
        <v>-10281</v>
      </c>
      <c r="N73" s="13">
        <f>_xll.BDH("WMT US Equity","OTHER_EQUITY_RATIO","FQ2 2019","FQ2 2019","Currency=USD","Period=FQ","BEST_FPERIOD_OVERRIDE=FQ","FILING_STATUS=MR","SCALING_FORMAT=MLN","Sort=A","Dates=H","DateFormat=P","Fill=—","Direction=H","UseDPDF=Y")</f>
        <v>-12629</v>
      </c>
      <c r="O73" s="13">
        <f>_xll.BDH("WMT US Equity","OTHER_EQUITY_RATIO","FQ3 2019","FQ3 2019","Currency=USD","Period=FQ","BEST_FPERIOD_OVERRIDE=FQ","FILING_STATUS=MR","SCALING_FORMAT=MLN","Sort=A","Dates=H","DateFormat=P","Fill=—","Direction=H","UseDPDF=Y")</f>
        <v>-11469</v>
      </c>
      <c r="P73" s="13">
        <f>_xll.BDH("WMT US Equity","OTHER_EQUITY_RATIO","FQ4 2019","FQ4 2019","Currency=USD","Period=FQ","BEST_FPERIOD_OVERRIDE=FQ","FILING_STATUS=MR","SCALING_FORMAT=MLN","Sort=A","Dates=H","DateFormat=P","Fill=—","Direction=H","UseDPDF=Y")</f>
        <v>-11542</v>
      </c>
      <c r="Q73" s="13">
        <f>_xll.BDH("WMT US Equity","OTHER_EQUITY_RATIO","FQ1 2020","FQ1 2020","Currency=USD","Period=FQ","BEST_FPERIOD_OVERRIDE=FQ","FILING_STATUS=MR","SCALING_FORMAT=MLN","Sort=A","Dates=H","DateFormat=P","Fill=—","Direction=H","UseDPDF=Y")</f>
        <v>-11091</v>
      </c>
      <c r="R73" s="13">
        <f>_xll.BDH("WMT US Equity","OTHER_EQUITY_RATIO","FQ2 2020","FQ2 2020","Currency=USD","Period=FQ","BEST_FPERIOD_OVERRIDE=FQ","FILING_STATUS=MR","SCALING_FORMAT=MLN","Sort=A","Dates=H","DateFormat=P","Fill=—","Direction=H","UseDPDF=Y")</f>
        <v>-11270</v>
      </c>
      <c r="S73" s="13">
        <f>_xll.BDH("WMT US Equity","OTHER_EQUITY_RATIO","FQ3 2020","FQ3 2020","Currency=USD","Period=FQ","BEST_FPERIOD_OVERRIDE=FQ","FILING_STATUS=MR","SCALING_FORMAT=MLN","Sort=A","Dates=H","DateFormat=P","Fill=—","Direction=H","UseDPDF=Y")</f>
        <v>-12382</v>
      </c>
      <c r="T73" s="13">
        <f>_xll.BDH("WMT US Equity","OTHER_EQUITY_RATIO","FQ4 2020","FQ4 2020","Currency=USD","Period=FQ","BEST_FPERIOD_OVERRIDE=FQ","FILING_STATUS=MR","SCALING_FORMAT=MLN","Sort=A","Dates=H","DateFormat=P","Fill=—","Direction=H","UseDPDF=Y")</f>
        <v>-12805</v>
      </c>
      <c r="U73" s="13">
        <f>_xll.BDH("WMT US Equity","OTHER_EQUITY_RATIO","FQ1 2021","FQ1 2021","Currency=USD","Period=FQ","BEST_FPERIOD_OVERRIDE=FQ","FILING_STATUS=MR","SCALING_FORMAT=MLN","Sort=A","Dates=H","DateFormat=P","Fill=—","Direction=H","UseDPDF=Y")</f>
        <v>-16168</v>
      </c>
      <c r="V73" s="13">
        <f>_xll.BDH("WMT US Equity","OTHER_EQUITY_RATIO","FQ2 2021","FQ2 2021","Currency=USD","Period=FQ","BEST_FPERIOD_OVERRIDE=FQ","FILING_STATUS=MR","SCALING_FORMAT=MLN","Sort=A","Dates=H","DateFormat=P","Fill=—","Direction=H","UseDPDF=Y")</f>
        <v>-15784</v>
      </c>
      <c r="W73" s="13">
        <f>_xll.BDH("WMT US Equity","OTHER_EQUITY_RATIO","FQ3 2021","FQ3 2021","Currency=USD","Period=FQ","BEST_FPERIOD_OVERRIDE=FQ","FILING_STATUS=MR","SCALING_FORMAT=MLN","Sort=A","Dates=H","DateFormat=P","Fill=—","Direction=H","UseDPDF=Y")</f>
        <v>-14616</v>
      </c>
      <c r="X73" s="13">
        <f>_xll.BDH("WMT US Equity","OTHER_EQUITY_RATIO","FQ4 2021","FQ4 2021","Currency=USD","Period=FQ","BEST_FPERIOD_OVERRIDE=FQ","FILING_STATUS=MR","SCALING_FORMAT=MLN","Sort=A","Dates=H","DateFormat=P","Fill=—","Direction=H","UseDPDF=Y")</f>
        <v>-11766</v>
      </c>
      <c r="Y73" s="13">
        <f>_xll.BDH("WMT US Equity","OTHER_EQUITY_RATIO","FQ1 2022","FQ1 2022","Currency=USD","Period=FQ","BEST_FPERIOD_OVERRIDE=FQ","FILING_STATUS=MR","SCALING_FORMAT=MLN","Sort=A","Dates=H","DateFormat=P","Fill=—","Direction=H","UseDPDF=Y")</f>
        <v>-7946</v>
      </c>
      <c r="Z73" s="13">
        <f>_xll.BDH("WMT US Equity","OTHER_EQUITY_RATIO","FQ2 2022","FQ2 2022","Currency=USD","Period=FQ","BEST_FPERIOD_OVERRIDE=FQ","FILING_STATUS=MR","SCALING_FORMAT=MLN","Sort=A","Dates=H","DateFormat=P","Fill=—","Direction=H","UseDPDF=Y")</f>
        <v>-7976</v>
      </c>
      <c r="AA73" s="13">
        <f>_xll.BDH("WMT US Equity","OTHER_EQUITY_RATIO","FQ3 2022","FQ3 2022","Currency=USD","Period=FQ","BEST_FPERIOD_OVERRIDE=FQ","FILING_STATUS=MR","SCALING_FORMAT=MLN","Sort=A","Dates=H","DateFormat=P","Fill=—","Direction=H","UseDPDF=Y")</f>
        <v>-8488</v>
      </c>
      <c r="AB73" s="13">
        <f>_xll.BDH("WMT US Equity","OTHER_EQUITY_RATIO","FQ4 2022","FQ4 2022","Currency=USD","Period=FQ","BEST_FPERIOD_OVERRIDE=FQ","FILING_STATUS=MR","SCALING_FORMAT=MLN","Sort=A","Dates=H","DateFormat=P","Fill=—","Direction=H","UseDPDF=Y")</f>
        <v>-8766</v>
      </c>
      <c r="AC73" s="13">
        <f>_xll.BDH("WMT US Equity","OTHER_EQUITY_RATIO","FQ1 2023","FQ1 2023","Currency=USD","Period=FQ","BEST_FPERIOD_OVERRIDE=FQ","FILING_STATUS=MR","SCALING_FORMAT=MLN","Sort=A","Dates=H","DateFormat=P","Fill=—","Direction=H","UseDPDF=Y")</f>
        <v>-8498</v>
      </c>
      <c r="AD73" s="13">
        <f>_xll.BDH("WMT US Equity","OTHER_EQUITY_RATIO","FQ2 2023","FQ2 2023","Currency=USD","Period=FQ","BEST_FPERIOD_OVERRIDE=FQ","FILING_STATUS=MR","SCALING_FORMAT=MLN","Sort=A","Dates=H","DateFormat=P","Fill=—","Direction=H","UseDPDF=Y")</f>
        <v>-9894</v>
      </c>
      <c r="AE73" s="13">
        <f>_xll.BDH("WMT US Equity","OTHER_EQUITY_RATIO","FQ3 2023","FQ3 2023","Currency=USD","Period=FQ","BEST_FPERIOD_OVERRIDE=FQ","FILING_STATUS=MR","SCALING_FORMAT=MLN","Sort=A","Dates=H","DateFormat=P","Fill=—","Direction=H","UseDPDF=Y")</f>
        <v>-10780</v>
      </c>
      <c r="AF73" s="13">
        <f>_xll.BDH("WMT US Equity","OTHER_EQUITY_RATIO","FQ4 2023","FQ4 2023","Currency=USD","Period=FQ","BEST_FPERIOD_OVERRIDE=FQ","FILING_STATUS=MR","SCALING_FORMAT=MLN","Sort=A","Dates=H","DateFormat=P","Fill=—","Direction=H","UseDPDF=Y")</f>
        <v>-11680</v>
      </c>
      <c r="AG73" s="13">
        <f>_xll.BDH("WMT US Equity","OTHER_EQUITY_RATIO","FQ1 2024","FQ1 2024","Currency=USD","Period=FQ","BEST_FPERIOD_OVERRIDE=FQ","FILING_STATUS=MR","SCALING_FORMAT=MLN","Sort=A","Dates=H","DateFormat=P","Fill=—","Direction=H","UseDPDF=Y")</f>
        <v>-11147</v>
      </c>
      <c r="AH73" s="13">
        <f>_xll.BDH("WMT US Equity","OTHER_EQUITY_RATIO","FQ2 2024","FQ2 2024","Currency=USD","Period=FQ","BEST_FPERIOD_OVERRIDE=FQ","FILING_STATUS=MR","SCALING_FORMAT=MLN","Sort=A","Dates=H","DateFormat=P","Fill=—","Direction=H","UseDPDF=Y")</f>
        <v>-10818</v>
      </c>
      <c r="AI73" s="13">
        <f>_xll.BDH("WMT US Equity","OTHER_EQUITY_RATIO","FQ3 2024","FQ3 2024","Currency=USD","Period=FQ","BEST_FPERIOD_OVERRIDE=FQ","FILING_STATUS=MR","SCALING_FORMAT=MLN","Sort=A","Dates=H","DateFormat=P","Fill=—","Direction=H","UseDPDF=Y")</f>
        <v>-11573</v>
      </c>
      <c r="AJ73" s="13">
        <f>_xll.BDH("WMT US Equity","OTHER_EQUITY_RATIO","FQ4 2024","FQ4 2024","Currency=USD","Period=FQ","BEST_FPERIOD_OVERRIDE=FQ","FILING_STATUS=MR","SCALING_FORMAT=MLN","Sort=A","Dates=H","DateFormat=P","Fill=—","Direction=H","UseDPDF=Y")</f>
        <v>-11302</v>
      </c>
      <c r="AK73" s="13">
        <f>_xll.BDH("WMT US Equity","OTHER_EQUITY_RATIO","FQ1 2025","FQ1 2025","Currency=USD","Period=FQ","BEST_FPERIOD_OVERRIDE=FQ","FILING_STATUS=MR","SCALING_FORMAT=MLN","Sort=A","Dates=H","DateFormat=P","Fill=—","Direction=H","UseDPDF=Y")</f>
        <v>-11367</v>
      </c>
      <c r="AL73" s="13">
        <f>_xll.BDH("WMT US Equity","OTHER_EQUITY_RATIO","FQ2 2025","FQ2 2025","Currency=USD","Period=FQ","BEST_FPERIOD_OVERRIDE=FQ","FILING_STATUS=MR","SCALING_FORMAT=MLN","Sort=A","Dates=H","DateFormat=P","Fill=—","Direction=H","UseDPDF=Y")</f>
        <v>-12178</v>
      </c>
      <c r="AM73" s="13">
        <f>_xll.BDH("WMT US Equity","OTHER_EQUITY_RATIO","FQ3 2025","FQ3 2025","Currency=USD","Period=FQ","BEST_FPERIOD_OVERRIDE=FQ","FILING_STATUS=MR","SCALING_FORMAT=MLN","Sort=A","Dates=H","DateFormat=P","Fill=—","Direction=H","UseDPDF=Y")</f>
        <v>-12525</v>
      </c>
      <c r="AN73" s="13">
        <f>_xll.BDH("WMT US Equity","OTHER_EQUITY_RATIO","FQ4 2025","FQ4 2025","Currency=USD","Period=FQ","BEST_FPERIOD_OVERRIDE=FQ","FILING_STATUS=MR","SCALING_FORMAT=MLN","Sort=A","Dates=H","DateFormat=P","Fill=—","Direction=H","UseDPDF=Y")</f>
        <v>-13605</v>
      </c>
      <c r="AO73" s="13">
        <f>_xll.BDH("WMT US Equity","OTHER_EQUITY_RATIO","FQ1 2026","FQ1 2026","Currency=USD","Period=FQ","BEST_FPERIOD_OVERRIDE=FQ","FILING_STATUS=MR","SCALING_FORMAT=MLN","Sort=A","Dates=H","DateFormat=P","Fill=—","Direction=H","UseDPDF=Y")</f>
        <v>-13296</v>
      </c>
      <c r="AP73" s="13">
        <f>_xll.BDH("WMT US Equity","OTHER_EQUITY_RATIO","FQ2 2026","FQ2 2026","Currency=USD","Period=FQ","BEST_FPERIOD_OVERRIDE=FQ","FILING_STATUS=MR","SCALING_FORMAT=MLN","Sort=A","Dates=H","DateFormat=P","Fill=—","Direction=H","UseDPDF=Y")</f>
        <v>-12733</v>
      </c>
    </row>
    <row r="74" spans="1:42" x14ac:dyDescent="0.3">
      <c r="A74" s="6" t="s">
        <v>156</v>
      </c>
      <c r="B74" s="6" t="s">
        <v>157</v>
      </c>
      <c r="C74" s="16">
        <f>_xll.BDH("WMT US Equity","EQTY_BEF_MINORITY_INT_DETAILED","FQ3 2016","FQ3 2016","Currency=USD","Period=FQ","BEST_FPERIOD_OVERRIDE=FQ","FILING_STATUS=MR","SCALING_FORMAT=MLN","Sort=A","Dates=H","DateFormat=P","Fill=—","Direction=H","UseDPDF=Y")</f>
        <v>79571</v>
      </c>
      <c r="D74" s="16">
        <f>_xll.BDH("WMT US Equity","EQTY_BEF_MINORITY_INT_DETAILED","FQ4 2016","FQ4 2016","Currency=USD","Period=FQ","BEST_FPERIOD_OVERRIDE=FQ","FILING_STATUS=MR","SCALING_FORMAT=MLN","Sort=A","Dates=H","DateFormat=P","Fill=—","Direction=H","UseDPDF=Y")</f>
        <v>80546</v>
      </c>
      <c r="E74" s="16">
        <f>_xll.BDH("WMT US Equity","EQTY_BEF_MINORITY_INT_DETAILED","FQ1 2017","FQ1 2017","Currency=USD","Period=FQ","BEST_FPERIOD_OVERRIDE=FQ","FILING_STATUS=MR","SCALING_FORMAT=MLN","Sort=A","Dates=H","DateFormat=P","Fill=—","Direction=H","UseDPDF=Y")</f>
        <v>75183</v>
      </c>
      <c r="F74" s="16">
        <f>_xll.BDH("WMT US Equity","EQTY_BEF_MINORITY_INT_DETAILED","FQ2 2017","FQ2 2017","Currency=USD","Period=FQ","BEST_FPERIOD_OVERRIDE=FQ","FILING_STATUS=MR","SCALING_FORMAT=MLN","Sort=A","Dates=H","DateFormat=P","Fill=—","Direction=H","UseDPDF=Y")</f>
        <v>76525</v>
      </c>
      <c r="G74" s="16">
        <f>_xll.BDH("WMT US Equity","EQTY_BEF_MINORITY_INT_DETAILED","FQ3 2017","FQ3 2017","Currency=USD","Period=FQ","BEST_FPERIOD_OVERRIDE=FQ","FILING_STATUS=MR","SCALING_FORMAT=MLN","Sort=A","Dates=H","DateFormat=P","Fill=—","Direction=H","UseDPDF=Y")</f>
        <v>77693</v>
      </c>
      <c r="H74" s="16">
        <f>_xll.BDH("WMT US Equity","EQTY_BEF_MINORITY_INT_DETAILED","FQ4 2017","FQ4 2017","Currency=USD","Period=FQ","BEST_FPERIOD_OVERRIDE=FQ","FILING_STATUS=MR","SCALING_FORMAT=MLN","Sort=A","Dates=H","DateFormat=P","Fill=—","Direction=H","UseDPDF=Y")</f>
        <v>77798</v>
      </c>
      <c r="I74" s="16">
        <f>_xll.BDH("WMT US Equity","EQTY_BEF_MINORITY_INT_DETAILED","FQ1 2018","FQ1 2018","Currency=USD","Period=FQ","BEST_FPERIOD_OVERRIDE=FQ","FILING_STATUS=MR","SCALING_FORMAT=MLN","Sort=A","Dates=H","DateFormat=P","Fill=—","Direction=H","UseDPDF=Y")</f>
        <v>73691</v>
      </c>
      <c r="J74" s="16">
        <f>_xll.BDH("WMT US Equity","EQTY_BEF_MINORITY_INT_DETAILED","FQ2 2018","FQ2 2018","Currency=USD","Period=FQ","BEST_FPERIOD_OVERRIDE=FQ","FILING_STATUS=MR","SCALING_FORMAT=MLN","Sort=A","Dates=H","DateFormat=P","Fill=—","Direction=H","UseDPDF=Y")</f>
        <v>76389</v>
      </c>
      <c r="K74" s="16">
        <f>_xll.BDH("WMT US Equity","EQTY_BEF_MINORITY_INT_DETAILED","FQ3 2018","FQ3 2018","Currency=USD","Period=FQ","BEST_FPERIOD_OVERRIDE=FQ","FILING_STATUS=MR","SCALING_FORMAT=MLN","Sort=A","Dates=H","DateFormat=P","Fill=—","Direction=H","UseDPDF=Y")</f>
        <v>76145</v>
      </c>
      <c r="L74" s="16">
        <f>_xll.BDH("WMT US Equity","EQTY_BEF_MINORITY_INT_DETAILED","FQ4 2018","FQ4 2018","Currency=USD","Period=FQ","BEST_FPERIOD_OVERRIDE=FQ","FILING_STATUS=MR","SCALING_FORMAT=MLN","Sort=A","Dates=H","DateFormat=P","Fill=—","Direction=H","UseDPDF=Y")</f>
        <v>77869</v>
      </c>
      <c r="M74" s="16">
        <f>_xll.BDH("WMT US Equity","EQTY_BEF_MINORITY_INT_DETAILED","FQ1 2019","FQ1 2019","Currency=USD","Period=FQ","BEST_FPERIOD_OVERRIDE=FQ","FILING_STATUS=MR","SCALING_FORMAT=MLN","Sort=A","Dates=H","DateFormat=P","Fill=—","Direction=H","UseDPDF=Y")</f>
        <v>75552</v>
      </c>
      <c r="N74" s="16">
        <f>_xll.BDH("WMT US Equity","EQTY_BEF_MINORITY_INT_DETAILED","FQ2 2019","FQ2 2019","Currency=USD","Period=FQ","BEST_FPERIOD_OVERRIDE=FQ","FILING_STATUS=MR","SCALING_FORMAT=MLN","Sort=A","Dates=H","DateFormat=P","Fill=—","Direction=H","UseDPDF=Y")</f>
        <v>71185</v>
      </c>
      <c r="O74" s="16">
        <f>_xll.BDH("WMT US Equity","EQTY_BEF_MINORITY_INT_DETAILED","FQ3 2019","FQ3 2019","Currency=USD","Period=FQ","BEST_FPERIOD_OVERRIDE=FQ","FILING_STATUS=MR","SCALING_FORMAT=MLN","Sort=A","Dates=H","DateFormat=P","Fill=—","Direction=H","UseDPDF=Y")</f>
        <v>71996</v>
      </c>
      <c r="P74" s="16">
        <f>_xll.BDH("WMT US Equity","EQTY_BEF_MINORITY_INT_DETAILED","FQ4 2019","FQ4 2019","Currency=USD","Period=FQ","BEST_FPERIOD_OVERRIDE=FQ","FILING_STATUS=MR","SCALING_FORMAT=MLN","Sort=A","Dates=H","DateFormat=P","Fill=—","Direction=H","UseDPDF=Y")</f>
        <v>72496</v>
      </c>
      <c r="Q74" s="16">
        <f>_xll.BDH("WMT US Equity","EQTY_BEF_MINORITY_INT_DETAILED","FQ1 2020","FQ1 2020","Currency=USD","Period=FQ","BEST_FPERIOD_OVERRIDE=FQ","FILING_STATUS=MR","SCALING_FORMAT=MLN","Sort=A","Dates=H","DateFormat=P","Fill=—","Direction=H","UseDPDF=Y")</f>
        <v>68205</v>
      </c>
      <c r="R74" s="16">
        <f>_xll.BDH("WMT US Equity","EQTY_BEF_MINORITY_INT_DETAILED","FQ2 2020","FQ2 2020","Currency=USD","Period=FQ","BEST_FPERIOD_OVERRIDE=FQ","FILING_STATUS=MR","SCALING_FORMAT=MLN","Sort=A","Dates=H","DateFormat=P","Fill=—","Direction=H","UseDPDF=Y")</f>
        <v>70327</v>
      </c>
      <c r="S74" s="16">
        <f>_xll.BDH("WMT US Equity","EQTY_BEF_MINORITY_INT_DETAILED","FQ3 2020","FQ3 2020","Currency=USD","Period=FQ","BEST_FPERIOD_OVERRIDE=FQ","FILING_STATUS=MR","SCALING_FORMAT=MLN","Sort=A","Dates=H","DateFormat=P","Fill=—","Direction=H","UseDPDF=Y")</f>
        <v>71649</v>
      </c>
      <c r="T74" s="16">
        <f>_xll.BDH("WMT US Equity","EQTY_BEF_MINORITY_INT_DETAILED","FQ4 2020","FQ4 2020","Currency=USD","Period=FQ","BEST_FPERIOD_OVERRIDE=FQ","FILING_STATUS=MR","SCALING_FORMAT=MLN","Sort=A","Dates=H","DateFormat=P","Fill=—","Direction=H","UseDPDF=Y")</f>
        <v>74669</v>
      </c>
      <c r="U74" s="16">
        <f>_xll.BDH("WMT US Equity","EQTY_BEF_MINORITY_INT_DETAILED","FQ1 2021","FQ1 2021","Currency=USD","Period=FQ","BEST_FPERIOD_OVERRIDE=FQ","FILING_STATUS=MR","SCALING_FORMAT=MLN","Sort=A","Dates=H","DateFormat=P","Fill=—","Direction=H","UseDPDF=Y")</f>
        <v>68240</v>
      </c>
      <c r="V74" s="16">
        <f>_xll.BDH("WMT US Equity","EQTY_BEF_MINORITY_INT_DETAILED","FQ2 2021","FQ2 2021","Currency=USD","Period=FQ","BEST_FPERIOD_OVERRIDE=FQ","FILING_STATUS=MR","SCALING_FORMAT=MLN","Sort=A","Dates=H","DateFormat=P","Fill=—","Direction=H","UseDPDF=Y")</f>
        <v>75310</v>
      </c>
      <c r="W74" s="16">
        <f>_xll.BDH("WMT US Equity","EQTY_BEF_MINORITY_INT_DETAILED","FQ3 2021","FQ3 2021","Currency=USD","Period=FQ","BEST_FPERIOD_OVERRIDE=FQ","FILING_STATUS=MR","SCALING_FORMAT=MLN","Sort=A","Dates=H","DateFormat=P","Fill=—","Direction=H","UseDPDF=Y")</f>
        <v>81431</v>
      </c>
      <c r="X74" s="16">
        <f>_xll.BDH("WMT US Equity","EQTY_BEF_MINORITY_INT_DETAILED","FQ4 2021","FQ4 2021","Currency=USD","Period=FQ","BEST_FPERIOD_OVERRIDE=FQ","FILING_STATUS=MR","SCALING_FORMAT=MLN","Sort=A","Dates=H","DateFormat=P","Fill=—","Direction=H","UseDPDF=Y")</f>
        <v>80925</v>
      </c>
      <c r="Y74" s="16">
        <f>_xll.BDH("WMT US Equity","EQTY_BEF_MINORITY_INT_DETAILED","FQ1 2022","FQ1 2022","Currency=USD","Period=FQ","BEST_FPERIOD_OVERRIDE=FQ","FILING_STATUS=MR","SCALING_FORMAT=MLN","Sort=A","Dates=H","DateFormat=P","Fill=—","Direction=H","UseDPDF=Y")</f>
        <v>78335</v>
      </c>
      <c r="Z74" s="16">
        <f>_xll.BDH("WMT US Equity","EQTY_BEF_MINORITY_INT_DETAILED","FQ2 2022","FQ2 2022","Currency=USD","Period=FQ","BEST_FPERIOD_OVERRIDE=FQ","FILING_STATUS=MR","SCALING_FORMAT=MLN","Sort=A","Dates=H","DateFormat=P","Fill=—","Direction=H","UseDPDF=Y")</f>
        <v>80529</v>
      </c>
      <c r="AA74" s="16">
        <f>_xll.BDH("WMT US Equity","EQTY_BEF_MINORITY_INT_DETAILED","FQ3 2022","FQ3 2022","Currency=USD","Period=FQ","BEST_FPERIOD_OVERRIDE=FQ","FILING_STATUS=MR","SCALING_FORMAT=MLN","Sort=A","Dates=H","DateFormat=P","Fill=—","Direction=H","UseDPDF=Y")</f>
        <v>82274</v>
      </c>
      <c r="AB74" s="16">
        <f>_xll.BDH("WMT US Equity","EQTY_BEF_MINORITY_INT_DETAILED","FQ4 2022","FQ4 2022","Currency=USD","Period=FQ","BEST_FPERIOD_OVERRIDE=FQ","FILING_STATUS=MR","SCALING_FORMAT=MLN","Sort=A","Dates=H","DateFormat=P","Fill=—","Direction=H","UseDPDF=Y")</f>
        <v>83253</v>
      </c>
      <c r="AC74" s="16">
        <f>_xll.BDH("WMT US Equity","EQTY_BEF_MINORITY_INT_DETAILED","FQ1 2023","FQ1 2023","Currency=USD","Period=FQ","BEST_FPERIOD_OVERRIDE=FQ","FILING_STATUS=MR","SCALING_FORMAT=MLN","Sort=A","Dates=H","DateFormat=P","Fill=—","Direction=H","UseDPDF=Y")</f>
        <v>76896</v>
      </c>
      <c r="AD74" s="16">
        <f>_xll.BDH("WMT US Equity","EQTY_BEF_MINORITY_INT_DETAILED","FQ2 2023","FQ2 2023","Currency=USD","Period=FQ","BEST_FPERIOD_OVERRIDE=FQ","FILING_STATUS=MR","SCALING_FORMAT=MLN","Sort=A","Dates=H","DateFormat=P","Fill=—","Direction=H","UseDPDF=Y")</f>
        <v>77569</v>
      </c>
      <c r="AE74" s="16">
        <f>_xll.BDH("WMT US Equity","EQTY_BEF_MINORITY_INT_DETAILED","FQ3 2023","FQ3 2023","Currency=USD","Period=FQ","BEST_FPERIOD_OVERRIDE=FQ","FILING_STATUS=MR","SCALING_FORMAT=MLN","Sort=A","Dates=H","DateFormat=P","Fill=—","Direction=H","UseDPDF=Y")</f>
        <v>72253</v>
      </c>
      <c r="AF74" s="16">
        <f>_xll.BDH("WMT US Equity","EQTY_BEF_MINORITY_INT_DETAILED","FQ4 2023","FQ4 2023","Currency=USD","Period=FQ","BEST_FPERIOD_OVERRIDE=FQ","FILING_STATUS=MR","SCALING_FORMAT=MLN","Sort=A","Dates=H","DateFormat=P","Fill=—","Direction=H","UseDPDF=Y")</f>
        <v>76693</v>
      </c>
      <c r="AG74" s="16">
        <f>_xll.BDH("WMT US Equity","EQTY_BEF_MINORITY_INT_DETAILED","FQ1 2024","FQ1 2024","Currency=USD","Period=FQ","BEST_FPERIOD_OVERRIDE=FQ","FILING_STATUS=MR","SCALING_FORMAT=MLN","Sort=A","Dates=H","DateFormat=P","Fill=—","Direction=H","UseDPDF=Y")</f>
        <v>72405</v>
      </c>
      <c r="AH74" s="16">
        <f>_xll.BDH("WMT US Equity","EQTY_BEF_MINORITY_INT_DETAILED","FQ2 2024","FQ2 2024","Currency=USD","Period=FQ","BEST_FPERIOD_OVERRIDE=FQ","FILING_STATUS=MR","SCALING_FORMAT=MLN","Sort=A","Dates=H","DateFormat=P","Fill=—","Direction=H","UseDPDF=Y")</f>
        <v>79556</v>
      </c>
      <c r="AI74" s="16">
        <f>_xll.BDH("WMT US Equity","EQTY_BEF_MINORITY_INT_DETAILED","FQ3 2024","FQ3 2024","Currency=USD","Period=FQ","BEST_FPERIOD_OVERRIDE=FQ","FILING_STATUS=MR","SCALING_FORMAT=MLN","Sort=A","Dates=H","DateFormat=P","Fill=—","Direction=H","UseDPDF=Y")</f>
        <v>79456</v>
      </c>
      <c r="AJ74" s="16">
        <f>_xll.BDH("WMT US Equity","EQTY_BEF_MINORITY_INT_DETAILED","FQ4 2024","FQ4 2024","Currency=USD","Period=FQ","BEST_FPERIOD_OVERRIDE=FQ","FILING_STATUS=MR","SCALING_FORMAT=MLN","Sort=A","Dates=H","DateFormat=P","Fill=—","Direction=H","UseDPDF=Y")</f>
        <v>83861</v>
      </c>
      <c r="AK74" s="16">
        <f>_xll.BDH("WMT US Equity","EQTY_BEF_MINORITY_INT_DETAILED","FQ1 2025","FQ1 2025","Currency=USD","Period=FQ","BEST_FPERIOD_OVERRIDE=FQ","FILING_STATUS=MR","SCALING_FORMAT=MLN","Sort=A","Dates=H","DateFormat=P","Fill=—","Direction=H","UseDPDF=Y")</f>
        <v>81293</v>
      </c>
      <c r="AL74" s="16">
        <f>_xll.BDH("WMT US Equity","EQTY_BEF_MINORITY_INT_DETAILED","FQ2 2025","FQ2 2025","Currency=USD","Period=FQ","BEST_FPERIOD_OVERRIDE=FQ","FILING_STATUS=MR","SCALING_FORMAT=MLN","Sort=A","Dates=H","DateFormat=P","Fill=—","Direction=H","UseDPDF=Y")</f>
        <v>84423</v>
      </c>
      <c r="AM74" s="16">
        <f>_xll.BDH("WMT US Equity","EQTY_BEF_MINORITY_INT_DETAILED","FQ3 2025","FQ3 2025","Currency=USD","Period=FQ","BEST_FPERIOD_OVERRIDE=FQ","FILING_STATUS=MR","SCALING_FORMAT=MLN","Sort=A","Dates=H","DateFormat=P","Fill=—","Direction=H","UseDPDF=Y")</f>
        <v>88108</v>
      </c>
      <c r="AN74" s="16">
        <f>_xll.BDH("WMT US Equity","EQTY_BEF_MINORITY_INT_DETAILED","FQ4 2025","FQ4 2025","Currency=USD","Period=FQ","BEST_FPERIOD_OVERRIDE=FQ","FILING_STATUS=MR","SCALING_FORMAT=MLN","Sort=A","Dates=H","DateFormat=P","Fill=—","Direction=H","UseDPDF=Y")</f>
        <v>91013</v>
      </c>
      <c r="AO74" s="16">
        <f>_xll.BDH("WMT US Equity","EQTY_BEF_MINORITY_INT_DETAILED","FQ1 2026","FQ1 2026","Currency=USD","Period=FQ","BEST_FPERIOD_OVERRIDE=FQ","FILING_STATUS=MR","SCALING_FORMAT=MLN","Sort=A","Dates=H","DateFormat=P","Fill=—","Direction=H","UseDPDF=Y")</f>
        <v>83793</v>
      </c>
      <c r="AP74" s="16">
        <f>_xll.BDH("WMT US Equity","EQTY_BEF_MINORITY_INT_DETAILED","FQ2 2026","FQ2 2026","Currency=USD","Period=FQ","BEST_FPERIOD_OVERRIDE=FQ","FILING_STATUS=MR","SCALING_FORMAT=MLN","Sort=A","Dates=H","DateFormat=P","Fill=—","Direction=H","UseDPDF=Y")</f>
        <v>90110</v>
      </c>
    </row>
    <row r="75" spans="1:42" x14ac:dyDescent="0.3">
      <c r="A75" s="10" t="s">
        <v>241</v>
      </c>
      <c r="B75" s="10" t="s">
        <v>158</v>
      </c>
      <c r="C75" s="13">
        <f>_xll.BDH("WMT US Equity","MINORITY_NONCONTROLLING_INTEREST","FQ3 2016","FQ3 2016","Currency=USD","Period=FQ","BEST_FPERIOD_OVERRIDE=FQ","FILING_STATUS=MR","SCALING_FORMAT=MLN","Sort=A","Dates=H","DateFormat=P","Fill=—","Direction=H","UseDPDF=Y")</f>
        <v>3059</v>
      </c>
      <c r="D75" s="13">
        <f>_xll.BDH("WMT US Equity","MINORITY_NONCONTROLLING_INTEREST","FQ4 2016","FQ4 2016","Currency=USD","Period=FQ","BEST_FPERIOD_OVERRIDE=FQ","FILING_STATUS=MR","SCALING_FORMAT=MLN","Sort=A","Dates=H","DateFormat=P","Fill=—","Direction=H","UseDPDF=Y")</f>
        <v>3065</v>
      </c>
      <c r="E75" s="13">
        <f>_xll.BDH("WMT US Equity","MINORITY_NONCONTROLLING_INTEREST","FQ1 2017","FQ1 2017","Currency=USD","Period=FQ","BEST_FPERIOD_OVERRIDE=FQ","FILING_STATUS=MR","SCALING_FORMAT=MLN","Sort=A","Dates=H","DateFormat=P","Fill=—","Direction=H","UseDPDF=Y")</f>
        <v>2575</v>
      </c>
      <c r="F75" s="13">
        <f>_xll.BDH("WMT US Equity","MINORITY_NONCONTROLLING_INTEREST","FQ2 2017","FQ2 2017","Currency=USD","Period=FQ","BEST_FPERIOD_OVERRIDE=FQ","FILING_STATUS=MR","SCALING_FORMAT=MLN","Sort=A","Dates=H","DateFormat=P","Fill=—","Direction=H","UseDPDF=Y")</f>
        <v>2619</v>
      </c>
      <c r="G75" s="13">
        <f>_xll.BDH("WMT US Equity","MINORITY_NONCONTROLLING_INTEREST","FQ3 2017","FQ3 2017","Currency=USD","Period=FQ","BEST_FPERIOD_OVERRIDE=FQ","FILING_STATUS=MR","SCALING_FORMAT=MLN","Sort=A","Dates=H","DateFormat=P","Fill=—","Direction=H","UseDPDF=Y")</f>
        <v>2782</v>
      </c>
      <c r="H75" s="13">
        <f>_xll.BDH("WMT US Equity","MINORITY_NONCONTROLLING_INTEREST","FQ4 2017","FQ4 2017","Currency=USD","Period=FQ","BEST_FPERIOD_OVERRIDE=FQ","FILING_STATUS=MR","SCALING_FORMAT=MLN","Sort=A","Dates=H","DateFormat=P","Fill=—","Direction=H","UseDPDF=Y")</f>
        <v>2737</v>
      </c>
      <c r="I75" s="13">
        <f>_xll.BDH("WMT US Equity","MINORITY_NONCONTROLLING_INTEREST","FQ1 2018","FQ1 2018","Currency=USD","Period=FQ","BEST_FPERIOD_OVERRIDE=FQ","FILING_STATUS=MR","SCALING_FORMAT=MLN","Sort=A","Dates=H","DateFormat=P","Fill=—","Direction=H","UseDPDF=Y")</f>
        <v>2423</v>
      </c>
      <c r="J75" s="13">
        <f>_xll.BDH("WMT US Equity","MINORITY_NONCONTROLLING_INTEREST","FQ2 2018","FQ2 2018","Currency=USD","Period=FQ","BEST_FPERIOD_OVERRIDE=FQ","FILING_STATUS=MR","SCALING_FORMAT=MLN","Sort=A","Dates=H","DateFormat=P","Fill=—","Direction=H","UseDPDF=Y")</f>
        <v>2657</v>
      </c>
      <c r="K75" s="13">
        <f>_xll.BDH("WMT US Equity","MINORITY_NONCONTROLLING_INTEREST","FQ3 2018","FQ3 2018","Currency=USD","Period=FQ","BEST_FPERIOD_OVERRIDE=FQ","FILING_STATUS=MR","SCALING_FORMAT=MLN","Sort=A","Dates=H","DateFormat=P","Fill=—","Direction=H","UseDPDF=Y")</f>
        <v>2761</v>
      </c>
      <c r="L75" s="13">
        <f>_xll.BDH("WMT US Equity","MINORITY_NONCONTROLLING_INTEREST","FQ4 2018","FQ4 2018","Currency=USD","Period=FQ","BEST_FPERIOD_OVERRIDE=FQ","FILING_STATUS=MR","SCALING_FORMAT=MLN","Sort=A","Dates=H","DateFormat=P","Fill=—","Direction=H","UseDPDF=Y")</f>
        <v>2953</v>
      </c>
      <c r="M75" s="13">
        <f>_xll.BDH("WMT US Equity","MINORITY_NONCONTROLLING_INTEREST","FQ1 2019","FQ1 2019","Currency=USD","Period=FQ","BEST_FPERIOD_OVERRIDE=FQ","FILING_STATUS=MR","SCALING_FORMAT=MLN","Sort=A","Dates=H","DateFormat=P","Fill=—","Direction=H","UseDPDF=Y")</f>
        <v>2772</v>
      </c>
      <c r="N75" s="13">
        <f>_xll.BDH("WMT US Equity","MINORITY_NONCONTROLLING_INTEREST","FQ2 2019","FQ2 2019","Currency=USD","Period=FQ","BEST_FPERIOD_OVERRIDE=FQ","FILING_STATUS=MR","SCALING_FORMAT=MLN","Sort=A","Dates=H","DateFormat=P","Fill=—","Direction=H","UseDPDF=Y")</f>
        <v>2627</v>
      </c>
      <c r="O75" s="13">
        <f>_xll.BDH("WMT US Equity","MINORITY_NONCONTROLLING_INTEREST","FQ3 2019","FQ3 2019","Currency=USD","Period=FQ","BEST_FPERIOD_OVERRIDE=FQ","FILING_STATUS=MR","SCALING_FORMAT=MLN","Sort=A","Dates=H","DateFormat=P","Fill=—","Direction=H","UseDPDF=Y")</f>
        <v>7473</v>
      </c>
      <c r="P75" s="13">
        <f>_xll.BDH("WMT US Equity","MINORITY_NONCONTROLLING_INTEREST","FQ4 2019","FQ4 2019","Currency=USD","Period=FQ","BEST_FPERIOD_OVERRIDE=FQ","FILING_STATUS=MR","SCALING_FORMAT=MLN","Sort=A","Dates=H","DateFormat=P","Fill=—","Direction=H","UseDPDF=Y")</f>
        <v>7138</v>
      </c>
      <c r="Q75" s="13">
        <f>_xll.BDH("WMT US Equity","MINORITY_NONCONTROLLING_INTEREST","FQ1 2020","FQ1 2020","Currency=USD","Period=FQ","BEST_FPERIOD_OVERRIDE=FQ","FILING_STATUS=MR","SCALING_FORMAT=MLN","Sort=A","Dates=H","DateFormat=P","Fill=—","Direction=H","UseDPDF=Y")</f>
        <v>6705</v>
      </c>
      <c r="R75" s="13">
        <f>_xll.BDH("WMT US Equity","MINORITY_NONCONTROLLING_INTEREST","FQ2 2020","FQ2 2020","Currency=USD","Period=FQ","BEST_FPERIOD_OVERRIDE=FQ","FILING_STATUS=MR","SCALING_FORMAT=MLN","Sort=A","Dates=H","DateFormat=P","Fill=—","Direction=H","UseDPDF=Y")</f>
        <v>6804</v>
      </c>
      <c r="S75" s="13">
        <f>_xll.BDH("WMT US Equity","MINORITY_NONCONTROLLING_INTEREST","FQ3 2020","FQ3 2020","Currency=USD","Period=FQ","BEST_FPERIOD_OVERRIDE=FQ","FILING_STATUS=MR","SCALING_FORMAT=MLN","Sort=A","Dates=H","DateFormat=P","Fill=—","Direction=H","UseDPDF=Y")</f>
        <v>6658</v>
      </c>
      <c r="T75" s="13">
        <f>_xll.BDH("WMT US Equity","MINORITY_NONCONTROLLING_INTEREST","FQ4 2020","FQ4 2020","Currency=USD","Period=FQ","BEST_FPERIOD_OVERRIDE=FQ","FILING_STATUS=MR","SCALING_FORMAT=MLN","Sort=A","Dates=H","DateFormat=P","Fill=—","Direction=H","UseDPDF=Y")</f>
        <v>6883</v>
      </c>
      <c r="U75" s="13">
        <f>_xll.BDH("WMT US Equity","MINORITY_NONCONTROLLING_INTEREST","FQ1 2021","FQ1 2021","Currency=USD","Period=FQ","BEST_FPERIOD_OVERRIDE=FQ","FILING_STATUS=MR","SCALING_FORMAT=MLN","Sort=A","Dates=H","DateFormat=P","Fill=—","Direction=H","UseDPDF=Y")</f>
        <v>5870</v>
      </c>
      <c r="V75" s="13">
        <f>_xll.BDH("WMT US Equity","MINORITY_NONCONTROLLING_INTEREST","FQ2 2021","FQ2 2021","Currency=USD","Period=FQ","BEST_FPERIOD_OVERRIDE=FQ","FILING_STATUS=MR","SCALING_FORMAT=MLN","Sort=A","Dates=H","DateFormat=P","Fill=—","Direction=H","UseDPDF=Y")</f>
        <v>5887</v>
      </c>
      <c r="W75" s="13">
        <f>_xll.BDH("WMT US Equity","MINORITY_NONCONTROLLING_INTEREST","FQ3 2021","FQ3 2021","Currency=USD","Period=FQ","BEST_FPERIOD_OVERRIDE=FQ","FILING_STATUS=MR","SCALING_FORMAT=MLN","Sort=A","Dates=H","DateFormat=P","Fill=—","Direction=H","UseDPDF=Y")</f>
        <v>6073</v>
      </c>
      <c r="X75" s="13">
        <f>_xll.BDH("WMT US Equity","MINORITY_NONCONTROLLING_INTEREST","FQ4 2021","FQ4 2021","Currency=USD","Period=FQ","BEST_FPERIOD_OVERRIDE=FQ","FILING_STATUS=MR","SCALING_FORMAT=MLN","Sort=A","Dates=H","DateFormat=P","Fill=—","Direction=H","UseDPDF=Y")</f>
        <v>6606</v>
      </c>
      <c r="Y75" s="13">
        <f>_xll.BDH("WMT US Equity","MINORITY_NONCONTROLLING_INTEREST","FQ1 2022","FQ1 2022","Currency=USD","Period=FQ","BEST_FPERIOD_OVERRIDE=FQ","FILING_STATUS=MR","SCALING_FORMAT=MLN","Sort=A","Dates=H","DateFormat=P","Fill=—","Direction=H","UseDPDF=Y")</f>
        <v>6257</v>
      </c>
      <c r="Z75" s="13">
        <f>_xll.BDH("WMT US Equity","MINORITY_NONCONTROLLING_INTEREST","FQ2 2022","FQ2 2022","Currency=USD","Period=FQ","BEST_FPERIOD_OVERRIDE=FQ","FILING_STATUS=MR","SCALING_FORMAT=MLN","Sort=A","Dates=H","DateFormat=P","Fill=—","Direction=H","UseDPDF=Y")</f>
        <v>6598</v>
      </c>
      <c r="AA75" s="13">
        <f>_xll.BDH("WMT US Equity","MINORITY_NONCONTROLLING_INTEREST","FQ3 2022","FQ3 2022","Currency=USD","Period=FQ","BEST_FPERIOD_OVERRIDE=FQ","FILING_STATUS=MR","SCALING_FORMAT=MLN","Sort=A","Dates=H","DateFormat=P","Fill=—","Direction=H","UseDPDF=Y")</f>
        <v>8483</v>
      </c>
      <c r="AB75" s="13">
        <f>_xll.BDH("WMT US Equity","MINORITY_NONCONTROLLING_INTEREST","FQ4 2022","FQ4 2022","Currency=USD","Period=FQ","BEST_FPERIOD_OVERRIDE=FQ","FILING_STATUS=MR","SCALING_FORMAT=MLN","Sort=A","Dates=H","DateFormat=P","Fill=—","Direction=H","UseDPDF=Y")</f>
        <v>8638</v>
      </c>
      <c r="AC75" s="13">
        <f>_xll.BDH("WMT US Equity","MINORITY_NONCONTROLLING_INTEREST","FQ1 2023","FQ1 2023","Currency=USD","Period=FQ","BEST_FPERIOD_OVERRIDE=FQ","FILING_STATUS=MR","SCALING_FORMAT=MLN","Sort=A","Dates=H","DateFormat=P","Fill=—","Direction=H","UseDPDF=Y")</f>
        <v>8964</v>
      </c>
      <c r="AD75" s="13">
        <f>_xll.BDH("WMT US Equity","MINORITY_NONCONTROLLING_INTEREST","FQ2 2023","FQ2 2023","Currency=USD","Period=FQ","BEST_FPERIOD_OVERRIDE=FQ","FILING_STATUS=MR","SCALING_FORMAT=MLN","Sort=A","Dates=H","DateFormat=P","Fill=—","Direction=H","UseDPDF=Y")</f>
        <v>8278</v>
      </c>
      <c r="AE75" s="13">
        <f>_xll.BDH("WMT US Equity","MINORITY_NONCONTROLLING_INTEREST","FQ3 2023","FQ3 2023","Currency=USD","Period=FQ","BEST_FPERIOD_OVERRIDE=FQ","FILING_STATUS=MR","SCALING_FORMAT=MLN","Sort=A","Dates=H","DateFormat=P","Fill=—","Direction=H","UseDPDF=Y")</f>
        <v>8130</v>
      </c>
      <c r="AF75" s="13">
        <f>_xll.BDH("WMT US Equity","MINORITY_NONCONTROLLING_INTEREST","FQ4 2023","FQ4 2023","Currency=USD","Period=FQ","BEST_FPERIOD_OVERRIDE=FQ","FILING_STATUS=MR","SCALING_FORMAT=MLN","Sort=A","Dates=H","DateFormat=P","Fill=—","Direction=H","UseDPDF=Y")</f>
        <v>7298</v>
      </c>
      <c r="AG75" s="13">
        <f>_xll.BDH("WMT US Equity","MINORITY_NONCONTROLLING_INTEREST","FQ1 2024","FQ1 2024","Currency=USD","Period=FQ","BEST_FPERIOD_OVERRIDE=FQ","FILING_STATUS=MR","SCALING_FORMAT=MLN","Sort=A","Dates=H","DateFormat=P","Fill=—","Direction=H","UseDPDF=Y")</f>
        <v>7060</v>
      </c>
      <c r="AH75" s="13">
        <f>_xll.BDH("WMT US Equity","MINORITY_NONCONTROLLING_INTEREST","FQ2 2024","FQ2 2024","Currency=USD","Period=FQ","BEST_FPERIOD_OVERRIDE=FQ","FILING_STATUS=MR","SCALING_FORMAT=MLN","Sort=A","Dates=H","DateFormat=P","Fill=—","Direction=H","UseDPDF=Y")</f>
        <v>6003</v>
      </c>
      <c r="AI75" s="13">
        <f>_xll.BDH("WMT US Equity","MINORITY_NONCONTROLLING_INTEREST","FQ3 2024","FQ3 2024","Currency=USD","Period=FQ","BEST_FPERIOD_OVERRIDE=FQ","FILING_STATUS=MR","SCALING_FORMAT=MLN","Sort=A","Dates=H","DateFormat=P","Fill=—","Direction=H","UseDPDF=Y")</f>
        <v>6355</v>
      </c>
      <c r="AJ75" s="13">
        <f>_xll.BDH("WMT US Equity","MINORITY_NONCONTROLLING_INTEREST","FQ4 2024","FQ4 2024","Currency=USD","Period=FQ","BEST_FPERIOD_OVERRIDE=FQ","FILING_STATUS=MR","SCALING_FORMAT=MLN","Sort=A","Dates=H","DateFormat=P","Fill=—","Direction=H","UseDPDF=Y")</f>
        <v>6710</v>
      </c>
      <c r="AK75" s="13">
        <f>_xll.BDH("WMT US Equity","MINORITY_NONCONTROLLING_INTEREST","FQ1 2025","FQ1 2025","Currency=USD","Period=FQ","BEST_FPERIOD_OVERRIDE=FQ","FILING_STATUS=MR","SCALING_FORMAT=MLN","Sort=A","Dates=H","DateFormat=P","Fill=—","Direction=H","UseDPDF=Y")</f>
        <v>6997</v>
      </c>
      <c r="AL75" s="13">
        <f>_xll.BDH("WMT US Equity","MINORITY_NONCONTROLLING_INTEREST","FQ2 2025","FQ2 2025","Currency=USD","Period=FQ","BEST_FPERIOD_OVERRIDE=FQ","FILING_STATUS=MR","SCALING_FORMAT=MLN","Sort=A","Dates=H","DateFormat=P","Fill=—","Direction=H","UseDPDF=Y")</f>
        <v>6349</v>
      </c>
      <c r="AM75" s="13">
        <f>_xll.BDH("WMT US Equity","MINORITY_NONCONTROLLING_INTEREST","FQ3 2025","FQ3 2025","Currency=USD","Period=FQ","BEST_FPERIOD_OVERRIDE=FQ","FILING_STATUS=MR","SCALING_FORMAT=MLN","Sort=A","Dates=H","DateFormat=P","Fill=—","Direction=H","UseDPDF=Y")</f>
        <v>6357</v>
      </c>
      <c r="AN75" s="13">
        <f>_xll.BDH("WMT US Equity","MINORITY_NONCONTROLLING_INTEREST","FQ4 2025","FQ4 2025","Currency=USD","Period=FQ","BEST_FPERIOD_OVERRIDE=FQ","FILING_STATUS=MR","SCALING_FORMAT=MLN","Sort=A","Dates=H","DateFormat=P","Fill=—","Direction=H","UseDPDF=Y")</f>
        <v>6679</v>
      </c>
      <c r="AO75" s="13">
        <f>_xll.BDH("WMT US Equity","MINORITY_NONCONTROLLING_INTEREST","FQ1 2026","FQ1 2026","Currency=USD","Period=FQ","BEST_FPERIOD_OVERRIDE=FQ","FILING_STATUS=MR","SCALING_FORMAT=MLN","Sort=A","Dates=H","DateFormat=P","Fill=—","Direction=H","UseDPDF=Y")</f>
        <v>6855</v>
      </c>
      <c r="AP75" s="13">
        <f>_xll.BDH("WMT US Equity","MINORITY_NONCONTROLLING_INTEREST","FQ2 2026","FQ2 2026","Currency=USD","Period=FQ","BEST_FPERIOD_OVERRIDE=FQ","FILING_STATUS=MR","SCALING_FORMAT=MLN","Sort=A","Dates=H","DateFormat=P","Fill=—","Direction=H","UseDPDF=Y")</f>
        <v>6747</v>
      </c>
    </row>
    <row r="76" spans="1:42" x14ac:dyDescent="0.3">
      <c r="A76" s="6" t="s">
        <v>159</v>
      </c>
      <c r="B76" s="6" t="s">
        <v>160</v>
      </c>
      <c r="C76" s="16">
        <f>_xll.BDH("WMT US Equity","TOTAL_EQUITY","FQ3 2016","FQ3 2016","Currency=USD","Period=FQ","BEST_FPERIOD_OVERRIDE=FQ","FILING_STATUS=MR","SCALING_FORMAT=MLN","Sort=A","Dates=H","DateFormat=P","Fill=—","Direction=H","UseDPDF=Y")</f>
        <v>82630</v>
      </c>
      <c r="D76" s="16">
        <f>_xll.BDH("WMT US Equity","TOTAL_EQUITY","FQ4 2016","FQ4 2016","Currency=USD","Period=FQ","BEST_FPERIOD_OVERRIDE=FQ","FILING_STATUS=MR","SCALING_FORMAT=MLN","Sort=A","Dates=H","DateFormat=P","Fill=—","Direction=H","UseDPDF=Y")</f>
        <v>83611</v>
      </c>
      <c r="E76" s="16">
        <f>_xll.BDH("WMT US Equity","TOTAL_EQUITY","FQ1 2017","FQ1 2017","Currency=USD","Period=FQ","BEST_FPERIOD_OVERRIDE=FQ","FILING_STATUS=MR","SCALING_FORMAT=MLN","Sort=A","Dates=H","DateFormat=P","Fill=—","Direction=H","UseDPDF=Y")</f>
        <v>77758</v>
      </c>
      <c r="F76" s="16">
        <f>_xll.BDH("WMT US Equity","TOTAL_EQUITY","FQ2 2017","FQ2 2017","Currency=USD","Period=FQ","BEST_FPERIOD_OVERRIDE=FQ","FILING_STATUS=MR","SCALING_FORMAT=MLN","Sort=A","Dates=H","DateFormat=P","Fill=—","Direction=H","UseDPDF=Y")</f>
        <v>79144</v>
      </c>
      <c r="G76" s="16">
        <f>_xll.BDH("WMT US Equity","TOTAL_EQUITY","FQ3 2017","FQ3 2017","Currency=USD","Period=FQ","BEST_FPERIOD_OVERRIDE=FQ","FILING_STATUS=MR","SCALING_FORMAT=MLN","Sort=A","Dates=H","DateFormat=P","Fill=—","Direction=H","UseDPDF=Y")</f>
        <v>80475</v>
      </c>
      <c r="H76" s="16">
        <f>_xll.BDH("WMT US Equity","TOTAL_EQUITY","FQ4 2017","FQ4 2017","Currency=USD","Period=FQ","BEST_FPERIOD_OVERRIDE=FQ","FILING_STATUS=MR","SCALING_FORMAT=MLN","Sort=A","Dates=H","DateFormat=P","Fill=—","Direction=H","UseDPDF=Y")</f>
        <v>80535</v>
      </c>
      <c r="I76" s="16">
        <f>_xll.BDH("WMT US Equity","TOTAL_EQUITY","FQ1 2018","FQ1 2018","Currency=USD","Period=FQ","BEST_FPERIOD_OVERRIDE=FQ","FILING_STATUS=MR","SCALING_FORMAT=MLN","Sort=A","Dates=H","DateFormat=P","Fill=—","Direction=H","UseDPDF=Y")</f>
        <v>76114</v>
      </c>
      <c r="J76" s="16">
        <f>_xll.BDH("WMT US Equity","TOTAL_EQUITY","FQ2 2018","FQ2 2018","Currency=USD","Period=FQ","BEST_FPERIOD_OVERRIDE=FQ","FILING_STATUS=MR","SCALING_FORMAT=MLN","Sort=A","Dates=H","DateFormat=P","Fill=—","Direction=H","UseDPDF=Y")</f>
        <v>79046</v>
      </c>
      <c r="K76" s="16">
        <f>_xll.BDH("WMT US Equity","TOTAL_EQUITY","FQ3 2018","FQ3 2018","Currency=USD","Period=FQ","BEST_FPERIOD_OVERRIDE=FQ","FILING_STATUS=MR","SCALING_FORMAT=MLN","Sort=A","Dates=H","DateFormat=P","Fill=—","Direction=H","UseDPDF=Y")</f>
        <v>78906</v>
      </c>
      <c r="L76" s="16">
        <f>_xll.BDH("WMT US Equity","TOTAL_EQUITY","FQ4 2018","FQ4 2018","Currency=USD","Period=FQ","BEST_FPERIOD_OVERRIDE=FQ","FILING_STATUS=MR","SCALING_FORMAT=MLN","Sort=A","Dates=H","DateFormat=P","Fill=—","Direction=H","UseDPDF=Y")</f>
        <v>80822</v>
      </c>
      <c r="M76" s="16">
        <f>_xll.BDH("WMT US Equity","TOTAL_EQUITY","FQ1 2019","FQ1 2019","Currency=USD","Period=FQ","BEST_FPERIOD_OVERRIDE=FQ","FILING_STATUS=MR","SCALING_FORMAT=MLN","Sort=A","Dates=H","DateFormat=P","Fill=—","Direction=H","UseDPDF=Y")</f>
        <v>78324</v>
      </c>
      <c r="N76" s="16">
        <f>_xll.BDH("WMT US Equity","TOTAL_EQUITY","FQ2 2019","FQ2 2019","Currency=USD","Period=FQ","BEST_FPERIOD_OVERRIDE=FQ","FILING_STATUS=MR","SCALING_FORMAT=MLN","Sort=A","Dates=H","DateFormat=P","Fill=—","Direction=H","UseDPDF=Y")</f>
        <v>73812</v>
      </c>
      <c r="O76" s="16">
        <f>_xll.BDH("WMT US Equity","TOTAL_EQUITY","FQ3 2019","FQ3 2019","Currency=USD","Period=FQ","BEST_FPERIOD_OVERRIDE=FQ","FILING_STATUS=MR","SCALING_FORMAT=MLN","Sort=A","Dates=H","DateFormat=P","Fill=—","Direction=H","UseDPDF=Y")</f>
        <v>79469</v>
      </c>
      <c r="P76" s="16">
        <f>_xll.BDH("WMT US Equity","TOTAL_EQUITY","FQ4 2019","FQ4 2019","Currency=USD","Period=FQ","BEST_FPERIOD_OVERRIDE=FQ","FILING_STATUS=MR","SCALING_FORMAT=MLN","Sort=A","Dates=H","DateFormat=P","Fill=—","Direction=H","UseDPDF=Y")</f>
        <v>79634</v>
      </c>
      <c r="Q76" s="16">
        <f>_xll.BDH("WMT US Equity","TOTAL_EQUITY","FQ1 2020","FQ1 2020","Currency=USD","Period=FQ","BEST_FPERIOD_OVERRIDE=FQ","FILING_STATUS=MR","SCALING_FORMAT=MLN","Sort=A","Dates=H","DateFormat=P","Fill=—","Direction=H","UseDPDF=Y")</f>
        <v>74910</v>
      </c>
      <c r="R76" s="16">
        <f>_xll.BDH("WMT US Equity","TOTAL_EQUITY","FQ2 2020","FQ2 2020","Currency=USD","Period=FQ","BEST_FPERIOD_OVERRIDE=FQ","FILING_STATUS=MR","SCALING_FORMAT=MLN","Sort=A","Dates=H","DateFormat=P","Fill=—","Direction=H","UseDPDF=Y")</f>
        <v>77131</v>
      </c>
      <c r="S76" s="16">
        <f>_xll.BDH("WMT US Equity","TOTAL_EQUITY","FQ3 2020","FQ3 2020","Currency=USD","Period=FQ","BEST_FPERIOD_OVERRIDE=FQ","FILING_STATUS=MR","SCALING_FORMAT=MLN","Sort=A","Dates=H","DateFormat=P","Fill=—","Direction=H","UseDPDF=Y")</f>
        <v>78307</v>
      </c>
      <c r="T76" s="16">
        <f>_xll.BDH("WMT US Equity","TOTAL_EQUITY","FQ4 2020","FQ4 2020","Currency=USD","Period=FQ","BEST_FPERIOD_OVERRIDE=FQ","FILING_STATUS=MR","SCALING_FORMAT=MLN","Sort=A","Dates=H","DateFormat=P","Fill=—","Direction=H","UseDPDF=Y")</f>
        <v>81552</v>
      </c>
      <c r="U76" s="16">
        <f>_xll.BDH("WMT US Equity","TOTAL_EQUITY","FQ1 2021","FQ1 2021","Currency=USD","Period=FQ","BEST_FPERIOD_OVERRIDE=FQ","FILING_STATUS=MR","SCALING_FORMAT=MLN","Sort=A","Dates=H","DateFormat=P","Fill=—","Direction=H","UseDPDF=Y")</f>
        <v>74110</v>
      </c>
      <c r="V76" s="16">
        <f>_xll.BDH("WMT US Equity","TOTAL_EQUITY","FQ2 2021","FQ2 2021","Currency=USD","Period=FQ","BEST_FPERIOD_OVERRIDE=FQ","FILING_STATUS=MR","SCALING_FORMAT=MLN","Sort=A","Dates=H","DateFormat=P","Fill=—","Direction=H","UseDPDF=Y")</f>
        <v>81197</v>
      </c>
      <c r="W76" s="16">
        <f>_xll.BDH("WMT US Equity","TOTAL_EQUITY","FQ3 2021","FQ3 2021","Currency=USD","Period=FQ","BEST_FPERIOD_OVERRIDE=FQ","FILING_STATUS=MR","SCALING_FORMAT=MLN","Sort=A","Dates=H","DateFormat=P","Fill=—","Direction=H","UseDPDF=Y")</f>
        <v>87504</v>
      </c>
      <c r="X76" s="16">
        <f>_xll.BDH("WMT US Equity","TOTAL_EQUITY","FQ4 2021","FQ4 2021","Currency=USD","Period=FQ","BEST_FPERIOD_OVERRIDE=FQ","FILING_STATUS=MR","SCALING_FORMAT=MLN","Sort=A","Dates=H","DateFormat=P","Fill=—","Direction=H","UseDPDF=Y")</f>
        <v>87531</v>
      </c>
      <c r="Y76" s="16">
        <f>_xll.BDH("WMT US Equity","TOTAL_EQUITY","FQ1 2022","FQ1 2022","Currency=USD","Period=FQ","BEST_FPERIOD_OVERRIDE=FQ","FILING_STATUS=MR","SCALING_FORMAT=MLN","Sort=A","Dates=H","DateFormat=P","Fill=—","Direction=H","UseDPDF=Y")</f>
        <v>84592</v>
      </c>
      <c r="Z76" s="16">
        <f>_xll.BDH("WMT US Equity","TOTAL_EQUITY","FQ2 2022","FQ2 2022","Currency=USD","Period=FQ","BEST_FPERIOD_OVERRIDE=FQ","FILING_STATUS=MR","SCALING_FORMAT=MLN","Sort=A","Dates=H","DateFormat=P","Fill=—","Direction=H","UseDPDF=Y")</f>
        <v>87127</v>
      </c>
      <c r="AA76" s="16">
        <f>_xll.BDH("WMT US Equity","TOTAL_EQUITY","FQ3 2022","FQ3 2022","Currency=USD","Period=FQ","BEST_FPERIOD_OVERRIDE=FQ","FILING_STATUS=MR","SCALING_FORMAT=MLN","Sort=A","Dates=H","DateFormat=P","Fill=—","Direction=H","UseDPDF=Y")</f>
        <v>90757</v>
      </c>
      <c r="AB76" s="16">
        <f>_xll.BDH("WMT US Equity","TOTAL_EQUITY","FQ4 2022","FQ4 2022","Currency=USD","Period=FQ","BEST_FPERIOD_OVERRIDE=FQ","FILING_STATUS=MR","SCALING_FORMAT=MLN","Sort=A","Dates=H","DateFormat=P","Fill=—","Direction=H","UseDPDF=Y")</f>
        <v>91891</v>
      </c>
      <c r="AC76" s="16">
        <f>_xll.BDH("WMT US Equity","TOTAL_EQUITY","FQ1 2023","FQ1 2023","Currency=USD","Period=FQ","BEST_FPERIOD_OVERRIDE=FQ","FILING_STATUS=MR","SCALING_FORMAT=MLN","Sort=A","Dates=H","DateFormat=P","Fill=—","Direction=H","UseDPDF=Y")</f>
        <v>85860</v>
      </c>
      <c r="AD76" s="16">
        <f>_xll.BDH("WMT US Equity","TOTAL_EQUITY","FQ2 2023","FQ2 2023","Currency=USD","Period=FQ","BEST_FPERIOD_OVERRIDE=FQ","FILING_STATUS=MR","SCALING_FORMAT=MLN","Sort=A","Dates=H","DateFormat=P","Fill=—","Direction=H","UseDPDF=Y")</f>
        <v>85847</v>
      </c>
      <c r="AE76" s="16">
        <f>_xll.BDH("WMT US Equity","TOTAL_EQUITY","FQ3 2023","FQ3 2023","Currency=USD","Period=FQ","BEST_FPERIOD_OVERRIDE=FQ","FILING_STATUS=MR","SCALING_FORMAT=MLN","Sort=A","Dates=H","DateFormat=P","Fill=—","Direction=H","UseDPDF=Y")</f>
        <v>80383</v>
      </c>
      <c r="AF76" s="16">
        <f>_xll.BDH("WMT US Equity","TOTAL_EQUITY","FQ4 2023","FQ4 2023","Currency=USD","Period=FQ","BEST_FPERIOD_OVERRIDE=FQ","FILING_STATUS=MR","SCALING_FORMAT=MLN","Sort=A","Dates=H","DateFormat=P","Fill=—","Direction=H","UseDPDF=Y")</f>
        <v>83991</v>
      </c>
      <c r="AG76" s="16">
        <f>_xll.BDH("WMT US Equity","TOTAL_EQUITY","FQ1 2024","FQ1 2024","Currency=USD","Period=FQ","BEST_FPERIOD_OVERRIDE=FQ","FILING_STATUS=MR","SCALING_FORMAT=MLN","Sort=A","Dates=H","DateFormat=P","Fill=—","Direction=H","UseDPDF=Y")</f>
        <v>79465</v>
      </c>
      <c r="AH76" s="16">
        <f>_xll.BDH("WMT US Equity","TOTAL_EQUITY","FQ2 2024","FQ2 2024","Currency=USD","Period=FQ","BEST_FPERIOD_OVERRIDE=FQ","FILING_STATUS=MR","SCALING_FORMAT=MLN","Sort=A","Dates=H","DateFormat=P","Fill=—","Direction=H","UseDPDF=Y")</f>
        <v>85559</v>
      </c>
      <c r="AI76" s="16">
        <f>_xll.BDH("WMT US Equity","TOTAL_EQUITY","FQ3 2024","FQ3 2024","Currency=USD","Period=FQ","BEST_FPERIOD_OVERRIDE=FQ","FILING_STATUS=MR","SCALING_FORMAT=MLN","Sort=A","Dates=H","DateFormat=P","Fill=—","Direction=H","UseDPDF=Y")</f>
        <v>85811</v>
      </c>
      <c r="AJ76" s="16">
        <f>_xll.BDH("WMT US Equity","TOTAL_EQUITY","FQ4 2024","FQ4 2024","Currency=USD","Period=FQ","BEST_FPERIOD_OVERRIDE=FQ","FILING_STATUS=MR","SCALING_FORMAT=MLN","Sort=A","Dates=H","DateFormat=P","Fill=—","Direction=H","UseDPDF=Y")</f>
        <v>90571</v>
      </c>
      <c r="AK76" s="16">
        <f>_xll.BDH("WMT US Equity","TOTAL_EQUITY","FQ1 2025","FQ1 2025","Currency=USD","Period=FQ","BEST_FPERIOD_OVERRIDE=FQ","FILING_STATUS=MR","SCALING_FORMAT=MLN","Sort=A","Dates=H","DateFormat=P","Fill=—","Direction=H","UseDPDF=Y")</f>
        <v>88290</v>
      </c>
      <c r="AL76" s="16">
        <f>_xll.BDH("WMT US Equity","TOTAL_EQUITY","FQ2 2025","FQ2 2025","Currency=USD","Period=FQ","BEST_FPERIOD_OVERRIDE=FQ","FILING_STATUS=MR","SCALING_FORMAT=MLN","Sort=A","Dates=H","DateFormat=P","Fill=—","Direction=H","UseDPDF=Y")</f>
        <v>90772</v>
      </c>
      <c r="AM76" s="16">
        <f>_xll.BDH("WMT US Equity","TOTAL_EQUITY","FQ3 2025","FQ3 2025","Currency=USD","Period=FQ","BEST_FPERIOD_OVERRIDE=FQ","FILING_STATUS=MR","SCALING_FORMAT=MLN","Sort=A","Dates=H","DateFormat=P","Fill=—","Direction=H","UseDPDF=Y")</f>
        <v>94465</v>
      </c>
      <c r="AN76" s="16">
        <f>_xll.BDH("WMT US Equity","TOTAL_EQUITY","FQ4 2025","FQ4 2025","Currency=USD","Period=FQ","BEST_FPERIOD_OVERRIDE=FQ","FILING_STATUS=MR","SCALING_FORMAT=MLN","Sort=A","Dates=H","DateFormat=P","Fill=—","Direction=H","UseDPDF=Y")</f>
        <v>97692</v>
      </c>
      <c r="AO76" s="16">
        <f>_xll.BDH("WMT US Equity","TOTAL_EQUITY","FQ1 2026","FQ1 2026","Currency=USD","Period=FQ","BEST_FPERIOD_OVERRIDE=FQ","FILING_STATUS=MR","SCALING_FORMAT=MLN","Sort=A","Dates=H","DateFormat=P","Fill=—","Direction=H","UseDPDF=Y")</f>
        <v>90648</v>
      </c>
      <c r="AP76" s="16">
        <f>_xll.BDH("WMT US Equity","TOTAL_EQUITY","FQ2 2026","FQ2 2026","Currency=USD","Period=FQ","BEST_FPERIOD_OVERRIDE=FQ","FILING_STATUS=MR","SCALING_FORMAT=MLN","Sort=A","Dates=H","DateFormat=P","Fill=—","Direction=H","UseDPDF=Y")</f>
        <v>96857</v>
      </c>
    </row>
    <row r="77" spans="1:42" x14ac:dyDescent="0.3">
      <c r="A77" s="6" t="s">
        <v>161</v>
      </c>
      <c r="B77" s="6" t="s">
        <v>162</v>
      </c>
      <c r="C77" s="16">
        <f>_xll.BDH("WMT US Equity","TOT_LIAB_AND_EQY","FQ3 2016","FQ3 2016","Currency=USD","Period=FQ","BEST_FPERIOD_OVERRIDE=FQ","FILING_STATUS=MR","SCALING_FORMAT=MLN","Sort=A","Dates=H","DateFormat=P","Fill=—","Direction=H","UseDPDF=Y")</f>
        <v>205144</v>
      </c>
      <c r="D77" s="16">
        <f>_xll.BDH("WMT US Equity","TOT_LIAB_AND_EQY","FQ4 2016","FQ4 2016","Currency=USD","Period=FQ","BEST_FPERIOD_OVERRIDE=FQ","FILING_STATUS=MR","SCALING_FORMAT=MLN","Sort=A","Dates=H","DateFormat=P","Fill=—","Direction=H","UseDPDF=Y")</f>
        <v>199581</v>
      </c>
      <c r="E77" s="16">
        <f>_xll.BDH("WMT US Equity","TOT_LIAB_AND_EQY","FQ1 2017","FQ1 2017","Currency=USD","Period=FQ","BEST_FPERIOD_OVERRIDE=FQ","FILING_STATUS=MR","SCALING_FORMAT=MLN","Sort=A","Dates=H","DateFormat=P","Fill=—","Direction=H","UseDPDF=Y")</f>
        <v>198705</v>
      </c>
      <c r="F77" s="16">
        <f>_xll.BDH("WMT US Equity","TOT_LIAB_AND_EQY","FQ2 2017","FQ2 2017","Currency=USD","Period=FQ","BEST_FPERIOD_OVERRIDE=FQ","FILING_STATUS=MR","SCALING_FORMAT=MLN","Sort=A","Dates=H","DateFormat=P","Fill=—","Direction=H","UseDPDF=Y")</f>
        <v>197886</v>
      </c>
      <c r="G77" s="16">
        <f>_xll.BDH("WMT US Equity","TOT_LIAB_AND_EQY","FQ3 2017","FQ3 2017","Currency=USD","Period=FQ","BEST_FPERIOD_OVERRIDE=FQ","FILING_STATUS=MR","SCALING_FORMAT=MLN","Sort=A","Dates=H","DateFormat=P","Fill=—","Direction=H","UseDPDF=Y")</f>
        <v>206857</v>
      </c>
      <c r="H77" s="16">
        <f>_xll.BDH("WMT US Equity","TOT_LIAB_AND_EQY","FQ4 2017","FQ4 2017","Currency=USD","Period=FQ","BEST_FPERIOD_OVERRIDE=FQ","FILING_STATUS=MR","SCALING_FORMAT=MLN","Sort=A","Dates=H","DateFormat=P","Fill=—","Direction=H","UseDPDF=Y")</f>
        <v>198825</v>
      </c>
      <c r="I77" s="16">
        <f>_xll.BDH("WMT US Equity","TOT_LIAB_AND_EQY","FQ1 2018","FQ1 2018","Currency=USD","Period=FQ","BEST_FPERIOD_OVERRIDE=FQ","FILING_STATUS=MR","SCALING_FORMAT=MLN","Sort=A","Dates=H","DateFormat=P","Fill=—","Direction=H","UseDPDF=Y")</f>
        <v>199718</v>
      </c>
      <c r="J77" s="16">
        <f>_xll.BDH("WMT US Equity","TOT_LIAB_AND_EQY","FQ2 2018","FQ2 2018","Currency=USD","Period=FQ","BEST_FPERIOD_OVERRIDE=FQ","FILING_STATUS=MR","SCALING_FORMAT=MLN","Sort=A","Dates=H","DateFormat=P","Fill=—","Direction=H","UseDPDF=Y")</f>
        <v>201566</v>
      </c>
      <c r="K77" s="16">
        <f>_xll.BDH("WMT US Equity","TOT_LIAB_AND_EQY","FQ3 2018","FQ3 2018","Currency=USD","Period=FQ","BEST_FPERIOD_OVERRIDE=FQ","FILING_STATUS=MR","SCALING_FORMAT=MLN","Sort=A","Dates=H","DateFormat=P","Fill=—","Direction=H","UseDPDF=Y")</f>
        <v>209414</v>
      </c>
      <c r="L77" s="16">
        <f>_xll.BDH("WMT US Equity","TOT_LIAB_AND_EQY","FQ4 2018","FQ4 2018","Currency=USD","Period=FQ","BEST_FPERIOD_OVERRIDE=FQ","FILING_STATUS=MR","SCALING_FORMAT=MLN","Sort=A","Dates=H","DateFormat=P","Fill=—","Direction=H","UseDPDF=Y")</f>
        <v>204522</v>
      </c>
      <c r="M77" s="16">
        <f>_xll.BDH("WMT US Equity","TOT_LIAB_AND_EQY","FQ1 2019","FQ1 2019","Currency=USD","Period=FQ","BEST_FPERIOD_OVERRIDE=FQ","FILING_STATUS=MR","SCALING_FORMAT=MLN","Sort=A","Dates=H","DateFormat=P","Fill=—","Direction=H","UseDPDF=Y")</f>
        <v>204927</v>
      </c>
      <c r="N77" s="16">
        <f>_xll.BDH("WMT US Equity","TOT_LIAB_AND_EQY","FQ2 2019","FQ2 2019","Currency=USD","Period=FQ","BEST_FPERIOD_OVERRIDE=FQ","FILING_STATUS=MR","SCALING_FORMAT=MLN","Sort=A","Dates=H","DateFormat=P","Fill=—","Direction=H","UseDPDF=Y")</f>
        <v>206062</v>
      </c>
      <c r="O77" s="16">
        <f>_xll.BDH("WMT US Equity","TOT_LIAB_AND_EQY","FQ3 2019","FQ3 2019","Currency=USD","Period=FQ","BEST_FPERIOD_OVERRIDE=FQ","FILING_STATUS=MR","SCALING_FORMAT=MLN","Sort=A","Dates=H","DateFormat=P","Fill=—","Direction=H","UseDPDF=Y")</f>
        <v>226583</v>
      </c>
      <c r="P77" s="16">
        <f>_xll.BDH("WMT US Equity","TOT_LIAB_AND_EQY","FQ4 2019","FQ4 2019","Currency=USD","Period=FQ","BEST_FPERIOD_OVERRIDE=FQ","FILING_STATUS=MR","SCALING_FORMAT=MLN","Sort=A","Dates=H","DateFormat=P","Fill=—","Direction=H","UseDPDF=Y")</f>
        <v>219295</v>
      </c>
      <c r="Q77" s="16">
        <f>_xll.BDH("WMT US Equity","TOT_LIAB_AND_EQY","FQ1 2020","FQ1 2020","Currency=USD","Period=FQ","BEST_FPERIOD_OVERRIDE=FQ","FILING_STATUS=MR","SCALING_FORMAT=MLN","Sort=A","Dates=H","DateFormat=P","Fill=—","Direction=H","UseDPDF=Y")</f>
        <v>234544</v>
      </c>
      <c r="R77" s="16">
        <f>_xll.BDH("WMT US Equity","TOT_LIAB_AND_EQY","FQ2 2020","FQ2 2020","Currency=USD","Period=FQ","BEST_FPERIOD_OVERRIDE=FQ","FILING_STATUS=MR","SCALING_FORMAT=MLN","Sort=A","Dates=H","DateFormat=P","Fill=—","Direction=H","UseDPDF=Y")</f>
        <v>234861</v>
      </c>
      <c r="S77" s="16">
        <f>_xll.BDH("WMT US Equity","TOT_LIAB_AND_EQY","FQ3 2020","FQ3 2020","Currency=USD","Period=FQ","BEST_FPERIOD_OVERRIDE=FQ","FILING_STATUS=MR","SCALING_FORMAT=MLN","Sort=A","Dates=H","DateFormat=P","Fill=—","Direction=H","UseDPDF=Y")</f>
        <v>239830</v>
      </c>
      <c r="T77" s="16">
        <f>_xll.BDH("WMT US Equity","TOT_LIAB_AND_EQY","FQ4 2020","FQ4 2020","Currency=USD","Period=FQ","BEST_FPERIOD_OVERRIDE=FQ","FILING_STATUS=MR","SCALING_FORMAT=MLN","Sort=A","Dates=H","DateFormat=P","Fill=—","Direction=H","UseDPDF=Y")</f>
        <v>236495</v>
      </c>
      <c r="U77" s="16">
        <f>_xll.BDH("WMT US Equity","TOT_LIAB_AND_EQY","FQ1 2021","FQ1 2021","Currency=USD","Period=FQ","BEST_FPERIOD_OVERRIDE=FQ","FILING_STATUS=MR","SCALING_FORMAT=MLN","Sort=A","Dates=H","DateFormat=P","Fill=—","Direction=H","UseDPDF=Y")</f>
        <v>232892</v>
      </c>
      <c r="V77" s="16">
        <f>_xll.BDH("WMT US Equity","TOT_LIAB_AND_EQY","FQ2 2021","FQ2 2021","Currency=USD","Period=FQ","BEST_FPERIOD_OVERRIDE=FQ","FILING_STATUS=MR","SCALING_FORMAT=MLN","Sort=A","Dates=H","DateFormat=P","Fill=—","Direction=H","UseDPDF=Y")</f>
        <v>237382</v>
      </c>
      <c r="W77" s="16">
        <f>_xll.BDH("WMT US Equity","TOT_LIAB_AND_EQY","FQ3 2021","FQ3 2021","Currency=USD","Period=FQ","BEST_FPERIOD_OVERRIDE=FQ","FILING_STATUS=MR","SCALING_FORMAT=MLN","Sort=A","Dates=H","DateFormat=P","Fill=—","Direction=H","UseDPDF=Y")</f>
        <v>250863</v>
      </c>
      <c r="X77" s="16">
        <f>_xll.BDH("WMT US Equity","TOT_LIAB_AND_EQY","FQ4 2021","FQ4 2021","Currency=USD","Period=FQ","BEST_FPERIOD_OVERRIDE=FQ","FILING_STATUS=MR","SCALING_FORMAT=MLN","Sort=A","Dates=H","DateFormat=P","Fill=—","Direction=H","UseDPDF=Y")</f>
        <v>252496</v>
      </c>
      <c r="Y77" s="16">
        <f>_xll.BDH("WMT US Equity","TOT_LIAB_AND_EQY","FQ1 2022","FQ1 2022","Currency=USD","Period=FQ","BEST_FPERIOD_OVERRIDE=FQ","FILING_STATUS=MR","SCALING_FORMAT=MLN","Sort=A","Dates=H","DateFormat=P","Fill=—","Direction=H","UseDPDF=Y")</f>
        <v>236581</v>
      </c>
      <c r="Z77" s="16">
        <f>_xll.BDH("WMT US Equity","TOT_LIAB_AND_EQY","FQ2 2022","FQ2 2022","Currency=USD","Period=FQ","BEST_FPERIOD_OVERRIDE=FQ","FILING_STATUS=MR","SCALING_FORMAT=MLN","Sort=A","Dates=H","DateFormat=P","Fill=—","Direction=H","UseDPDF=Y")</f>
        <v>238552</v>
      </c>
      <c r="AA77" s="16">
        <f>_xll.BDH("WMT US Equity","TOT_LIAB_AND_EQY","FQ3 2022","FQ3 2022","Currency=USD","Period=FQ","BEST_FPERIOD_OVERRIDE=FQ","FILING_STATUS=MR","SCALING_FORMAT=MLN","Sort=A","Dates=H","DateFormat=P","Fill=—","Direction=H","UseDPDF=Y")</f>
        <v>244851</v>
      </c>
      <c r="AB77" s="16">
        <f>_xll.BDH("WMT US Equity","TOT_LIAB_AND_EQY","FQ4 2022","FQ4 2022","Currency=USD","Period=FQ","BEST_FPERIOD_OVERRIDE=FQ","FILING_STATUS=MR","SCALING_FORMAT=MLN","Sort=A","Dates=H","DateFormat=P","Fill=—","Direction=H","UseDPDF=Y")</f>
        <v>244860</v>
      </c>
      <c r="AC77" s="16">
        <f>_xll.BDH("WMT US Equity","TOT_LIAB_AND_EQY","FQ1 2023","FQ1 2023","Currency=USD","Period=FQ","BEST_FPERIOD_OVERRIDE=FQ","FILING_STATUS=MR","SCALING_FORMAT=MLN","Sort=A","Dates=H","DateFormat=P","Fill=—","Direction=H","UseDPDF=Y")</f>
        <v>246142</v>
      </c>
      <c r="AD77" s="16">
        <f>_xll.BDH("WMT US Equity","TOT_LIAB_AND_EQY","FQ2 2023","FQ2 2023","Currency=USD","Period=FQ","BEST_FPERIOD_OVERRIDE=FQ","FILING_STATUS=MR","SCALING_FORMAT=MLN","Sort=A","Dates=H","DateFormat=P","Fill=—","Direction=H","UseDPDF=Y")</f>
        <v>247199</v>
      </c>
      <c r="AE77" s="16">
        <f>_xll.BDH("WMT US Equity","TOT_LIAB_AND_EQY","FQ3 2023","FQ3 2023","Currency=USD","Period=FQ","BEST_FPERIOD_OVERRIDE=FQ","FILING_STATUS=MR","SCALING_FORMAT=MLN","Sort=A","Dates=H","DateFormat=P","Fill=—","Direction=H","UseDPDF=Y")</f>
        <v>247656</v>
      </c>
      <c r="AF77" s="16">
        <f>_xll.BDH("WMT US Equity","TOT_LIAB_AND_EQY","FQ4 2023","FQ4 2023","Currency=USD","Period=FQ","BEST_FPERIOD_OVERRIDE=FQ","FILING_STATUS=MR","SCALING_FORMAT=MLN","Sort=A","Dates=H","DateFormat=P","Fill=—","Direction=H","UseDPDF=Y")</f>
        <v>243197</v>
      </c>
      <c r="AG77" s="16">
        <f>_xll.BDH("WMT US Equity","TOT_LIAB_AND_EQY","FQ1 2024","FQ1 2024","Currency=USD","Period=FQ","BEST_FPERIOD_OVERRIDE=FQ","FILING_STATUS=MR","SCALING_FORMAT=MLN","Sort=A","Dates=H","DateFormat=P","Fill=—","Direction=H","UseDPDF=Y")</f>
        <v>245053</v>
      </c>
      <c r="AH77" s="16">
        <f>_xll.BDH("WMT US Equity","TOT_LIAB_AND_EQY","FQ2 2024","FQ2 2024","Currency=USD","Period=FQ","BEST_FPERIOD_OVERRIDE=FQ","FILING_STATUS=MR","SCALING_FORMAT=MLN","Sort=A","Dates=H","DateFormat=P","Fill=—","Direction=H","UseDPDF=Y")</f>
        <v>255121</v>
      </c>
      <c r="AI77" s="16">
        <f>_xll.BDH("WMT US Equity","TOT_LIAB_AND_EQY","FQ3 2024","FQ3 2024","Currency=USD","Period=FQ","BEST_FPERIOD_OVERRIDE=FQ","FILING_STATUS=MR","SCALING_FORMAT=MLN","Sort=A","Dates=H","DateFormat=P","Fill=—","Direction=H","UseDPDF=Y")</f>
        <v>259174</v>
      </c>
      <c r="AJ77" s="16">
        <f>_xll.BDH("WMT US Equity","TOT_LIAB_AND_EQY","FQ4 2024","FQ4 2024","Currency=USD","Period=FQ","BEST_FPERIOD_OVERRIDE=FQ","FILING_STATUS=MR","SCALING_FORMAT=MLN","Sort=A","Dates=H","DateFormat=P","Fill=—","Direction=H","UseDPDF=Y")</f>
        <v>252399</v>
      </c>
      <c r="AK77" s="16">
        <f>_xll.BDH("WMT US Equity","TOT_LIAB_AND_EQY","FQ1 2025","FQ1 2025","Currency=USD","Period=FQ","BEST_FPERIOD_OVERRIDE=FQ","FILING_STATUS=MR","SCALING_FORMAT=MLN","Sort=A","Dates=H","DateFormat=P","Fill=—","Direction=H","UseDPDF=Y")</f>
        <v>254054</v>
      </c>
      <c r="AL77" s="16">
        <f>_xll.BDH("WMT US Equity","TOT_LIAB_AND_EQY","FQ2 2025","FQ2 2025","Currency=USD","Period=FQ","BEST_FPERIOD_OVERRIDE=FQ","FILING_STATUS=MR","SCALING_FORMAT=MLN","Sort=A","Dates=H","DateFormat=P","Fill=—","Direction=H","UseDPDF=Y")</f>
        <v>254440</v>
      </c>
      <c r="AM77" s="16">
        <f>_xll.BDH("WMT US Equity","TOT_LIAB_AND_EQY","FQ3 2025","FQ3 2025","Currency=USD","Period=FQ","BEST_FPERIOD_OVERRIDE=FQ","FILING_STATUS=MR","SCALING_FORMAT=MLN","Sort=A","Dates=H","DateFormat=P","Fill=—","Direction=H","UseDPDF=Y")</f>
        <v>263399</v>
      </c>
      <c r="AN77" s="16">
        <f>_xll.BDH("WMT US Equity","TOT_LIAB_AND_EQY","FQ4 2025","FQ4 2025","Currency=USD","Period=FQ","BEST_FPERIOD_OVERRIDE=FQ","FILING_STATUS=MR","SCALING_FORMAT=MLN","Sort=A","Dates=H","DateFormat=P","Fill=—","Direction=H","UseDPDF=Y")</f>
        <v>260823</v>
      </c>
      <c r="AO77" s="16">
        <f>_xll.BDH("WMT US Equity","TOT_LIAB_AND_EQY","FQ1 2026","FQ1 2026","Currency=USD","Period=FQ","BEST_FPERIOD_OVERRIDE=FQ","FILING_STATUS=MR","SCALING_FORMAT=MLN","Sort=A","Dates=H","DateFormat=P","Fill=—","Direction=H","UseDPDF=Y")</f>
        <v>262372</v>
      </c>
      <c r="AP77" s="16">
        <f>_xll.BDH("WMT US Equity","TOT_LIAB_AND_EQY","FQ2 2026","FQ2 2026","Currency=USD","Period=FQ","BEST_FPERIOD_OVERRIDE=FQ","FILING_STATUS=MR","SCALING_FORMAT=MLN","Sort=A","Dates=H","DateFormat=P","Fill=—","Direction=H","UseDPDF=Y")</f>
        <v>270837</v>
      </c>
    </row>
    <row r="78" spans="1:42" x14ac:dyDescent="0.3">
      <c r="A78" s="6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</row>
    <row r="79" spans="1:42" x14ac:dyDescent="0.3">
      <c r="A79" s="6" t="s"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</row>
    <row r="80" spans="1:42" x14ac:dyDescent="0.3">
      <c r="A80" s="10" t="s">
        <v>163</v>
      </c>
      <c r="B80" s="10" t="s">
        <v>164</v>
      </c>
      <c r="C80" s="12" t="s">
        <v>165</v>
      </c>
      <c r="D80" s="12" t="s">
        <v>165</v>
      </c>
      <c r="E80" s="12" t="s">
        <v>165</v>
      </c>
      <c r="F80" s="12" t="s">
        <v>165</v>
      </c>
      <c r="G80" s="12" t="s">
        <v>165</v>
      </c>
      <c r="H80" s="12" t="s">
        <v>165</v>
      </c>
      <c r="I80" s="12" t="s">
        <v>165</v>
      </c>
      <c r="J80" s="12" t="s">
        <v>165</v>
      </c>
      <c r="K80" s="12" t="s">
        <v>165</v>
      </c>
      <c r="L80" s="12" t="s">
        <v>165</v>
      </c>
      <c r="M80" s="12" t="s">
        <v>165</v>
      </c>
      <c r="N80" s="12" t="s">
        <v>165</v>
      </c>
      <c r="O80" s="12" t="s">
        <v>165</v>
      </c>
      <c r="P80" s="12" t="s">
        <v>165</v>
      </c>
      <c r="Q80" s="12" t="s">
        <v>165</v>
      </c>
      <c r="R80" s="12" t="s">
        <v>165</v>
      </c>
      <c r="S80" s="12" t="s">
        <v>165</v>
      </c>
      <c r="T80" s="12" t="s">
        <v>165</v>
      </c>
      <c r="U80" s="12" t="s">
        <v>165</v>
      </c>
      <c r="V80" s="12" t="s">
        <v>165</v>
      </c>
      <c r="W80" s="12" t="s">
        <v>165</v>
      </c>
      <c r="X80" s="12" t="s">
        <v>165</v>
      </c>
      <c r="Y80" s="12" t="s">
        <v>165</v>
      </c>
      <c r="Z80" s="12" t="s">
        <v>165</v>
      </c>
      <c r="AA80" s="12" t="s">
        <v>165</v>
      </c>
      <c r="AB80" s="12" t="s">
        <v>165</v>
      </c>
      <c r="AC80" s="12" t="s">
        <v>165</v>
      </c>
      <c r="AD80" s="12" t="s">
        <v>165</v>
      </c>
      <c r="AE80" s="12" t="s">
        <v>165</v>
      </c>
      <c r="AF80" s="12" t="s">
        <v>165</v>
      </c>
      <c r="AG80" s="12" t="s">
        <v>165</v>
      </c>
      <c r="AH80" s="12" t="s">
        <v>165</v>
      </c>
      <c r="AI80" s="12" t="s">
        <v>165</v>
      </c>
      <c r="AJ80" s="12" t="s">
        <v>165</v>
      </c>
      <c r="AK80" s="12" t="s">
        <v>165</v>
      </c>
      <c r="AL80" s="12" t="s">
        <v>165</v>
      </c>
      <c r="AM80" s="12" t="s">
        <v>165</v>
      </c>
      <c r="AN80" s="12" t="s">
        <v>165</v>
      </c>
      <c r="AO80" s="12" t="s">
        <v>165</v>
      </c>
      <c r="AP80" s="12" t="s">
        <v>165</v>
      </c>
    </row>
    <row r="81" spans="1:42" x14ac:dyDescent="0.3">
      <c r="A81" s="10" t="s">
        <v>166</v>
      </c>
      <c r="B81" s="10" t="s">
        <v>167</v>
      </c>
      <c r="C81" s="13">
        <f>_xll.BDH("WMT US Equity","BS_SH_OUT","FQ3 2016","FQ3 2016","Currency=USD","Period=FQ","BEST_FPERIOD_OVERRIDE=FQ","FILING_STATUS=MR","Sort=A","Dates=H","DateFormat=P","Fill=—","Direction=H","UseDPDF=Y")</f>
        <v>9630</v>
      </c>
      <c r="D81" s="13">
        <f>_xll.BDH("WMT US Equity","BS_SH_OUT","FQ4 2016","FQ4 2016","Currency=USD","Period=FQ","BEST_FPERIOD_OVERRIDE=FQ","FILING_STATUS=MR","Sort=A","Dates=H","DateFormat=P","Fill=—","Direction=H","UseDPDF=Y")</f>
        <v>9486</v>
      </c>
      <c r="E81" s="13">
        <f>_xll.BDH("WMT US Equity","BS_SH_OUT","FQ1 2017","FQ1 2017","Currency=USD","Period=FQ","BEST_FPERIOD_OVERRIDE=FQ","FILING_STATUS=MR","Sort=A","Dates=H","DateFormat=P","Fill=—","Direction=H","UseDPDF=Y")</f>
        <v>9375</v>
      </c>
      <c r="F81" s="13">
        <f>_xll.BDH("WMT US Equity","BS_SH_OUT","FQ2 2017","FQ2 2017","Currency=USD","Period=FQ","BEST_FPERIOD_OVERRIDE=FQ","FILING_STATUS=MR","Sort=A","Dates=H","DateFormat=P","Fill=—","Direction=H","UseDPDF=Y")</f>
        <v>9291</v>
      </c>
      <c r="G81" s="13">
        <f>_xll.BDH("WMT US Equity","BS_SH_OUT","FQ3 2017","FQ3 2017","Currency=USD","Period=FQ","BEST_FPERIOD_OVERRIDE=FQ","FILING_STATUS=MR","Sort=A","Dates=H","DateFormat=P","Fill=—","Direction=H","UseDPDF=Y")</f>
        <v>9237</v>
      </c>
      <c r="H81" s="13">
        <f>_xll.BDH("WMT US Equity","BS_SH_OUT","FQ4 2017","FQ4 2017","Currency=USD","Period=FQ","BEST_FPERIOD_OVERRIDE=FQ","FILING_STATUS=MR","Sort=A","Dates=H","DateFormat=P","Fill=—","Direction=H","UseDPDF=Y")</f>
        <v>9144</v>
      </c>
      <c r="I81" s="13">
        <f>_xll.BDH("WMT US Equity","BS_SH_OUT","FQ1 2018","FQ1 2018","Currency=USD","Period=FQ","BEST_FPERIOD_OVERRIDE=FQ","FILING_STATUS=MR","Sort=A","Dates=H","DateFormat=P","Fill=—","Direction=H","UseDPDF=Y")</f>
        <v>9069</v>
      </c>
      <c r="J81" s="13">
        <f>_xll.BDH("WMT US Equity","BS_SH_OUT","FQ2 2018","FQ2 2018","Currency=USD","Period=FQ","BEST_FPERIOD_OVERRIDE=FQ","FILING_STATUS=MR","Sort=A","Dates=H","DateFormat=P","Fill=—","Direction=H","UseDPDF=Y")</f>
        <v>8979</v>
      </c>
      <c r="K81" s="13">
        <f>_xll.BDH("WMT US Equity","BS_SH_OUT","FQ3 2018","FQ3 2018","Currency=USD","Period=FQ","BEST_FPERIOD_OVERRIDE=FQ","FILING_STATUS=MR","Sort=A","Dates=H","DateFormat=P","Fill=—","Direction=H","UseDPDF=Y")</f>
        <v>8904</v>
      </c>
      <c r="L81" s="13">
        <f>_xll.BDH("WMT US Equity","BS_SH_OUT","FQ4 2018","FQ4 2018","Currency=USD","Period=FQ","BEST_FPERIOD_OVERRIDE=FQ","FILING_STATUS=MR","Sort=A","Dates=H","DateFormat=P","Fill=—","Direction=H","UseDPDF=Y")</f>
        <v>8856</v>
      </c>
      <c r="M81" s="13">
        <f>_xll.BDH("WMT US Equity","BS_SH_OUT","FQ1 2019","FQ1 2019","Currency=USD","Period=FQ","BEST_FPERIOD_OVERRIDE=FQ","FILING_STATUS=MR","Sort=A","Dates=H","DateFormat=P","Fill=—","Direction=H","UseDPDF=Y")</f>
        <v>8853</v>
      </c>
      <c r="N81" s="13">
        <f>_xll.BDH("WMT US Equity","BS_SH_OUT","FQ2 2019","FQ2 2019","Currency=USD","Period=FQ","BEST_FPERIOD_OVERRIDE=FQ","FILING_STATUS=MR","Sort=A","Dates=H","DateFormat=P","Fill=—","Direction=H","UseDPDF=Y")</f>
        <v>8805</v>
      </c>
      <c r="O81" s="13">
        <f>_xll.BDH("WMT US Equity","BS_SH_OUT","FQ3 2019","FQ3 2019","Currency=USD","Period=FQ","BEST_FPERIOD_OVERRIDE=FQ","FILING_STATUS=MR","Sort=A","Dates=H","DateFormat=P","Fill=—","Direction=H","UseDPDF=Y")</f>
        <v>8736</v>
      </c>
      <c r="P81" s="13">
        <f>_xll.BDH("WMT US Equity","BS_SH_OUT","FQ4 2019","FQ4 2019","Currency=USD","Period=FQ","BEST_FPERIOD_OVERRIDE=FQ","FILING_STATUS=MR","Sort=A","Dates=H","DateFormat=P","Fill=—","Direction=H","UseDPDF=Y")</f>
        <v>8634</v>
      </c>
      <c r="Q81" s="13">
        <f>_xll.BDH("WMT US Equity","BS_SH_OUT","FQ1 2020","FQ1 2020","Currency=USD","Period=FQ","BEST_FPERIOD_OVERRIDE=FQ","FILING_STATUS=MR","Sort=A","Dates=H","DateFormat=P","Fill=—","Direction=H","UseDPDF=Y")</f>
        <v>8586</v>
      </c>
      <c r="R81" s="13">
        <f>_xll.BDH("WMT US Equity","BS_SH_OUT","FQ2 2020","FQ2 2020","Currency=USD","Period=FQ","BEST_FPERIOD_OVERRIDE=FQ","FILING_STATUS=MR","Sort=A","Dates=H","DateFormat=P","Fill=—","Direction=H","UseDPDF=Y")</f>
        <v>8541</v>
      </c>
      <c r="S81" s="13">
        <f>_xll.BDH("WMT US Equity","BS_SH_OUT","FQ3 2020","FQ3 2020","Currency=USD","Period=FQ","BEST_FPERIOD_OVERRIDE=FQ","FILING_STATUS=MR","Sort=A","Dates=H","DateFormat=P","Fill=—","Direction=H","UseDPDF=Y")</f>
        <v>8517</v>
      </c>
      <c r="T81" s="13">
        <f>_xll.BDH("WMT US Equity","BS_SH_OUT","FQ4 2020","FQ4 2020","Currency=USD","Period=FQ","BEST_FPERIOD_OVERRIDE=FQ","FILING_STATUS=MR","Sort=A","Dates=H","DateFormat=P","Fill=—","Direction=H","UseDPDF=Y")</f>
        <v>8496</v>
      </c>
      <c r="U81" s="13">
        <f>_xll.BDH("WMT US Equity","BS_SH_OUT","FQ1 2021","FQ1 2021","Currency=USD","Period=FQ","BEST_FPERIOD_OVERRIDE=FQ","FILING_STATUS=MR","Sort=A","Dates=H","DateFormat=P","Fill=—","Direction=H","UseDPDF=Y")</f>
        <v>8496</v>
      </c>
      <c r="V81" s="13">
        <f>_xll.BDH("WMT US Equity","BS_SH_OUT","FQ2 2021","FQ2 2021","Currency=USD","Period=FQ","BEST_FPERIOD_OVERRIDE=FQ","FILING_STATUS=MR","Sort=A","Dates=H","DateFormat=P","Fill=—","Direction=H","UseDPDF=Y")</f>
        <v>8502</v>
      </c>
      <c r="W81" s="13">
        <f>_xll.BDH("WMT US Equity","BS_SH_OUT","FQ3 2021","FQ3 2021","Currency=USD","Period=FQ","BEST_FPERIOD_OVERRIDE=FQ","FILING_STATUS=MR","Sort=A","Dates=H","DateFormat=P","Fill=—","Direction=H","UseDPDF=Y")</f>
        <v>8493</v>
      </c>
      <c r="X81" s="13">
        <f>_xll.BDH("WMT US Equity","BS_SH_OUT","FQ4 2021","FQ4 2021","Currency=USD","Period=FQ","BEST_FPERIOD_OVERRIDE=FQ","FILING_STATUS=MR","Sort=A","Dates=H","DateFormat=P","Fill=—","Direction=H","UseDPDF=Y")</f>
        <v>8463</v>
      </c>
      <c r="Y81" s="13">
        <f>_xll.BDH("WMT US Equity","BS_SH_OUT","FQ1 2022","FQ1 2022","Currency=USD","Period=FQ","BEST_FPERIOD_OVERRIDE=FQ","FILING_STATUS=MR","Sort=A","Dates=H","DateFormat=P","Fill=—","Direction=H","UseDPDF=Y")</f>
        <v>8415</v>
      </c>
      <c r="Z81" s="13">
        <f>_xll.BDH("WMT US Equity","BS_SH_OUT","FQ2 2022","FQ2 2022","Currency=USD","Period=FQ","BEST_FPERIOD_OVERRIDE=FQ","FILING_STATUS=MR","Sort=A","Dates=H","DateFormat=P","Fill=—","Direction=H","UseDPDF=Y")</f>
        <v>8373</v>
      </c>
      <c r="AA81" s="13">
        <f>_xll.BDH("WMT US Equity","BS_SH_OUT","FQ3 2022","FQ3 2022","Currency=USD","Period=FQ","BEST_FPERIOD_OVERRIDE=FQ","FILING_STATUS=MR","Sort=A","Dates=H","DateFormat=P","Fill=—","Direction=H","UseDPDF=Y")</f>
        <v>8334</v>
      </c>
      <c r="AB81" s="13">
        <f>_xll.BDH("WMT US Equity","BS_SH_OUT","FQ4 2022","FQ4 2022","Currency=USD","Period=FQ","BEST_FPERIOD_OVERRIDE=FQ","FILING_STATUS=MR","Sort=A","Dates=H","DateFormat=P","Fill=—","Direction=H","UseDPDF=Y")</f>
        <v>8283</v>
      </c>
      <c r="AC81" s="13">
        <f>_xll.BDH("WMT US Equity","BS_SH_OUT","FQ1 2023","FQ1 2023","Currency=USD","Period=FQ","BEST_FPERIOD_OVERRIDE=FQ","FILING_STATUS=MR","Sort=A","Dates=H","DateFormat=P","Fill=—","Direction=H","UseDPDF=Y")</f>
        <v>8244</v>
      </c>
      <c r="AD81" s="13">
        <f>_xll.BDH("WMT US Equity","BS_SH_OUT","FQ2 2023","FQ2 2023","Currency=USD","Period=FQ","BEST_FPERIOD_OVERRIDE=FQ","FILING_STATUS=MR","Sort=A","Dates=H","DateFormat=P","Fill=—","Direction=H","UseDPDF=Y")</f>
        <v>8166</v>
      </c>
      <c r="AE81" s="13">
        <f>_xll.BDH("WMT US Equity","BS_SH_OUT","FQ3 2023","FQ3 2023","Currency=USD","Period=FQ","BEST_FPERIOD_OVERRIDE=FQ","FILING_STATUS=MR","Sort=A","Dates=H","DateFormat=P","Fill=—","Direction=H","UseDPDF=Y")</f>
        <v>8103</v>
      </c>
      <c r="AF81" s="13">
        <f>_xll.BDH("WMT US Equity","BS_SH_OUT","FQ4 2023","FQ4 2023","Currency=USD","Period=FQ","BEST_FPERIOD_OVERRIDE=FQ","FILING_STATUS=MR","Sort=A","Dates=H","DateFormat=P","Fill=—","Direction=H","UseDPDF=Y")</f>
        <v>8079</v>
      </c>
      <c r="AG81" s="13">
        <f>_xll.BDH("WMT US Equity","BS_SH_OUT","FQ1 2024","FQ1 2024","Currency=USD","Period=FQ","BEST_FPERIOD_OVERRIDE=FQ","FILING_STATUS=MR","Sort=A","Dates=H","DateFormat=P","Fill=—","Direction=H","UseDPDF=Y")</f>
        <v>8082</v>
      </c>
      <c r="AH81" s="13">
        <f>_xll.BDH("WMT US Equity","BS_SH_OUT","FQ2 2024","FQ2 2024","Currency=USD","Period=FQ","BEST_FPERIOD_OVERRIDE=FQ","FILING_STATUS=MR","Sort=A","Dates=H","DateFormat=P","Fill=—","Direction=H","UseDPDF=Y")</f>
        <v>8076</v>
      </c>
      <c r="AI81" s="13">
        <f>_xll.BDH("WMT US Equity","BS_SH_OUT","FQ3 2024","FQ3 2024","Currency=USD","Period=FQ","BEST_FPERIOD_OVERRIDE=FQ","FILING_STATUS=MR","Sort=A","Dates=H","DateFormat=P","Fill=—","Direction=H","UseDPDF=Y")</f>
        <v>8079</v>
      </c>
      <c r="AJ81" s="13">
        <f>_xll.BDH("WMT US Equity","BS_SH_OUT","FQ4 2024","FQ4 2024","Currency=USD","Period=FQ","BEST_FPERIOD_OVERRIDE=FQ","FILING_STATUS=MR","Sort=A","Dates=H","DateFormat=P","Fill=—","Direction=H","UseDPDF=Y")</f>
        <v>8054</v>
      </c>
      <c r="AK81" s="13">
        <f>_xll.BDH("WMT US Equity","BS_SH_OUT","FQ1 2025","FQ1 2025","Currency=USD","Period=FQ","BEST_FPERIOD_OVERRIDE=FQ","FILING_STATUS=MR","Sort=A","Dates=H","DateFormat=P","Fill=—","Direction=H","UseDPDF=Y")</f>
        <v>8049</v>
      </c>
      <c r="AL81" s="13">
        <f>_xll.BDH("WMT US Equity","BS_SH_OUT","FQ2 2025","FQ2 2025","Currency=USD","Period=FQ","BEST_FPERIOD_OVERRIDE=FQ","FILING_STATUS=MR","Sort=A","Dates=H","DateFormat=P","Fill=—","Direction=H","UseDPDF=Y")</f>
        <v>8035</v>
      </c>
      <c r="AM81" s="13">
        <f>_xll.BDH("WMT US Equity","BS_SH_OUT","FQ3 2025","FQ3 2025","Currency=USD","Period=FQ","BEST_FPERIOD_OVERRIDE=FQ","FILING_STATUS=MR","Sort=A","Dates=H","DateFormat=P","Fill=—","Direction=H","UseDPDF=Y")</f>
        <v>8034</v>
      </c>
      <c r="AN81" s="13">
        <f>_xll.BDH("WMT US Equity","BS_SH_OUT","FQ4 2025","FQ4 2025","Currency=USD","Period=FQ","BEST_FPERIOD_OVERRIDE=FQ","FILING_STATUS=MR","Sort=A","Dates=H","DateFormat=P","Fill=—","Direction=H","UseDPDF=Y")</f>
        <v>8024</v>
      </c>
      <c r="AO81" s="13">
        <f>_xll.BDH("WMT US Equity","BS_SH_OUT","FQ1 2026","FQ1 2026","Currency=USD","Period=FQ","BEST_FPERIOD_OVERRIDE=FQ","FILING_STATUS=MR","Sort=A","Dates=H","DateFormat=P","Fill=—","Direction=H","UseDPDF=Y")</f>
        <v>7986</v>
      </c>
      <c r="AP81" s="13">
        <f>_xll.BDH("WMT US Equity","BS_SH_OUT","FQ2 2026","FQ2 2026","Currency=USD","Period=FQ","BEST_FPERIOD_OVERRIDE=FQ","FILING_STATUS=MR","Sort=A","Dates=H","DateFormat=P","Fill=—","Direction=H","UseDPDF=Y")</f>
        <v>7975</v>
      </c>
    </row>
    <row r="82" spans="1:42" x14ac:dyDescent="0.3">
      <c r="A82" s="10" t="s">
        <v>168</v>
      </c>
      <c r="B82" s="10" t="s">
        <v>169</v>
      </c>
      <c r="C82" s="13">
        <f>_xll.BDH("WMT US Equity","BS_NUM_OF_TSY_SH","FQ3 2016","FQ3 2016","Currency=USD","Period=FQ","BEST_FPERIOD_OVERRIDE=FQ","FILING_STATUS=MR","Sort=A","Dates=H","DateFormat=P","Fill=—","Direction=H","UseDPDF=Y")</f>
        <v>0</v>
      </c>
      <c r="D82" s="13">
        <f>_xll.BDH("WMT US Equity","BS_NUM_OF_TSY_SH","FQ4 2016","FQ4 2016","Currency=USD","Period=FQ","BEST_FPERIOD_OVERRIDE=FQ","FILING_STATUS=MR","Sort=A","Dates=H","DateFormat=P","Fill=—","Direction=H","UseDPDF=Y")</f>
        <v>0</v>
      </c>
      <c r="E82" s="13">
        <f>_xll.BDH("WMT US Equity","BS_NUM_OF_TSY_SH","FQ1 2017","FQ1 2017","Currency=USD","Period=FQ","BEST_FPERIOD_OVERRIDE=FQ","FILING_STATUS=MR","Sort=A","Dates=H","DateFormat=P","Fill=—","Direction=H","UseDPDF=Y")</f>
        <v>0</v>
      </c>
      <c r="F82" s="13">
        <f>_xll.BDH("WMT US Equity","BS_NUM_OF_TSY_SH","FQ2 2017","FQ2 2017","Currency=USD","Period=FQ","BEST_FPERIOD_OVERRIDE=FQ","FILING_STATUS=MR","Sort=A","Dates=H","DateFormat=P","Fill=—","Direction=H","UseDPDF=Y")</f>
        <v>0</v>
      </c>
      <c r="G82" s="13">
        <f>_xll.BDH("WMT US Equity","BS_NUM_OF_TSY_SH","FQ3 2017","FQ3 2017","Currency=USD","Period=FQ","BEST_FPERIOD_OVERRIDE=FQ","FILING_STATUS=MR","Sort=A","Dates=H","DateFormat=P","Fill=—","Direction=H","UseDPDF=Y")</f>
        <v>0</v>
      </c>
      <c r="H82" s="13">
        <f>_xll.BDH("WMT US Equity","BS_NUM_OF_TSY_SH","FQ4 2017","FQ4 2017","Currency=USD","Period=FQ","BEST_FPERIOD_OVERRIDE=FQ","FILING_STATUS=MR","Sort=A","Dates=H","DateFormat=P","Fill=—","Direction=H","UseDPDF=Y")</f>
        <v>0</v>
      </c>
      <c r="I82" s="13">
        <f>_xll.BDH("WMT US Equity","BS_NUM_OF_TSY_SH","FQ1 2018","FQ1 2018","Currency=USD","Period=FQ","BEST_FPERIOD_OVERRIDE=FQ","FILING_STATUS=MR","Sort=A","Dates=H","DateFormat=P","Fill=—","Direction=H","UseDPDF=Y")</f>
        <v>0</v>
      </c>
      <c r="J82" s="13">
        <f>_xll.BDH("WMT US Equity","BS_NUM_OF_TSY_SH","FQ2 2018","FQ2 2018","Currency=USD","Period=FQ","BEST_FPERIOD_OVERRIDE=FQ","FILING_STATUS=MR","Sort=A","Dates=H","DateFormat=P","Fill=—","Direction=H","UseDPDF=Y")</f>
        <v>0</v>
      </c>
      <c r="K82" s="13">
        <f>_xll.BDH("WMT US Equity","BS_NUM_OF_TSY_SH","FQ3 2018","FQ3 2018","Currency=USD","Period=FQ","BEST_FPERIOD_OVERRIDE=FQ","FILING_STATUS=MR","Sort=A","Dates=H","DateFormat=P","Fill=—","Direction=H","UseDPDF=Y")</f>
        <v>0</v>
      </c>
      <c r="L82" s="13">
        <f>_xll.BDH("WMT US Equity","BS_NUM_OF_TSY_SH","FQ4 2018","FQ4 2018","Currency=USD","Period=FQ","BEST_FPERIOD_OVERRIDE=FQ","FILING_STATUS=MR","Sort=A","Dates=H","DateFormat=P","Fill=—","Direction=H","UseDPDF=Y")</f>
        <v>0</v>
      </c>
      <c r="M82" s="13">
        <f>_xll.BDH("WMT US Equity","BS_NUM_OF_TSY_SH","FQ1 2019","FQ1 2019","Currency=USD","Period=FQ","BEST_FPERIOD_OVERRIDE=FQ","FILING_STATUS=MR","Sort=A","Dates=H","DateFormat=P","Fill=—","Direction=H","UseDPDF=Y")</f>
        <v>0</v>
      </c>
      <c r="N82" s="13">
        <f>_xll.BDH("WMT US Equity","BS_NUM_OF_TSY_SH","FQ2 2019","FQ2 2019","Currency=USD","Period=FQ","BEST_FPERIOD_OVERRIDE=FQ","FILING_STATUS=MR","Sort=A","Dates=H","DateFormat=P","Fill=—","Direction=H","UseDPDF=Y")</f>
        <v>0</v>
      </c>
      <c r="O82" s="13">
        <f>_xll.BDH("WMT US Equity","BS_NUM_OF_TSY_SH","FQ3 2019","FQ3 2019","Currency=USD","Period=FQ","BEST_FPERIOD_OVERRIDE=FQ","FILING_STATUS=MR","Sort=A","Dates=H","DateFormat=P","Fill=—","Direction=H","UseDPDF=Y")</f>
        <v>0</v>
      </c>
      <c r="P82" s="13">
        <f>_xll.BDH("WMT US Equity","BS_NUM_OF_TSY_SH","FQ4 2019","FQ4 2019","Currency=USD","Period=FQ","BEST_FPERIOD_OVERRIDE=FQ","FILING_STATUS=MR","Sort=A","Dates=H","DateFormat=P","Fill=—","Direction=H","UseDPDF=Y")</f>
        <v>0</v>
      </c>
      <c r="Q82" s="13">
        <f>_xll.BDH("WMT US Equity","BS_NUM_OF_TSY_SH","FQ1 2020","FQ1 2020","Currency=USD","Period=FQ","BEST_FPERIOD_OVERRIDE=FQ","FILING_STATUS=MR","Sort=A","Dates=H","DateFormat=P","Fill=—","Direction=H","UseDPDF=Y")</f>
        <v>0</v>
      </c>
      <c r="R82" s="13">
        <f>_xll.BDH("WMT US Equity","BS_NUM_OF_TSY_SH","FQ2 2020","FQ2 2020","Currency=USD","Period=FQ","BEST_FPERIOD_OVERRIDE=FQ","FILING_STATUS=MR","Sort=A","Dates=H","DateFormat=P","Fill=—","Direction=H","UseDPDF=Y")</f>
        <v>0</v>
      </c>
      <c r="S82" s="13">
        <f>_xll.BDH("WMT US Equity","BS_NUM_OF_TSY_SH","FQ3 2020","FQ3 2020","Currency=USD","Period=FQ","BEST_FPERIOD_OVERRIDE=FQ","FILING_STATUS=MR","Sort=A","Dates=H","DateFormat=P","Fill=—","Direction=H","UseDPDF=Y")</f>
        <v>0</v>
      </c>
      <c r="T82" s="13">
        <f>_xll.BDH("WMT US Equity","BS_NUM_OF_TSY_SH","FQ4 2020","FQ4 2020","Currency=USD","Period=FQ","BEST_FPERIOD_OVERRIDE=FQ","FILING_STATUS=MR","Sort=A","Dates=H","DateFormat=P","Fill=—","Direction=H","UseDPDF=Y")</f>
        <v>0</v>
      </c>
      <c r="U82" s="13">
        <f>_xll.BDH("WMT US Equity","BS_NUM_OF_TSY_SH","FQ1 2021","FQ1 2021","Currency=USD","Period=FQ","BEST_FPERIOD_OVERRIDE=FQ","FILING_STATUS=MR","Sort=A","Dates=H","DateFormat=P","Fill=—","Direction=H","UseDPDF=Y")</f>
        <v>0</v>
      </c>
      <c r="V82" s="13">
        <f>_xll.BDH("WMT US Equity","BS_NUM_OF_TSY_SH","FQ2 2021","FQ2 2021","Currency=USD","Period=FQ","BEST_FPERIOD_OVERRIDE=FQ","FILING_STATUS=MR","Sort=A","Dates=H","DateFormat=P","Fill=—","Direction=H","UseDPDF=Y")</f>
        <v>0</v>
      </c>
      <c r="W82" s="13">
        <f>_xll.BDH("WMT US Equity","BS_NUM_OF_TSY_SH","FQ3 2021","FQ3 2021","Currency=USD","Period=FQ","BEST_FPERIOD_OVERRIDE=FQ","FILING_STATUS=MR","Sort=A","Dates=H","DateFormat=P","Fill=—","Direction=H","UseDPDF=Y")</f>
        <v>0</v>
      </c>
      <c r="X82" s="13">
        <f>_xll.BDH("WMT US Equity","BS_NUM_OF_TSY_SH","FQ4 2021","FQ4 2021","Currency=USD","Period=FQ","BEST_FPERIOD_OVERRIDE=FQ","FILING_STATUS=MR","Sort=A","Dates=H","DateFormat=P","Fill=—","Direction=H","UseDPDF=Y")</f>
        <v>0</v>
      </c>
      <c r="Y82" s="13">
        <f>_xll.BDH("WMT US Equity","BS_NUM_OF_TSY_SH","FQ1 2022","FQ1 2022","Currency=USD","Period=FQ","BEST_FPERIOD_OVERRIDE=FQ","FILING_STATUS=MR","Sort=A","Dates=H","DateFormat=P","Fill=—","Direction=H","UseDPDF=Y")</f>
        <v>0</v>
      </c>
      <c r="Z82" s="13">
        <f>_xll.BDH("WMT US Equity","BS_NUM_OF_TSY_SH","FQ2 2022","FQ2 2022","Currency=USD","Period=FQ","BEST_FPERIOD_OVERRIDE=FQ","FILING_STATUS=MR","Sort=A","Dates=H","DateFormat=P","Fill=—","Direction=H","UseDPDF=Y")</f>
        <v>0</v>
      </c>
      <c r="AA82" s="13">
        <f>_xll.BDH("WMT US Equity","BS_NUM_OF_TSY_SH","FQ3 2022","FQ3 2022","Currency=USD","Period=FQ","BEST_FPERIOD_OVERRIDE=FQ","FILING_STATUS=MR","Sort=A","Dates=H","DateFormat=P","Fill=—","Direction=H","UseDPDF=Y")</f>
        <v>0</v>
      </c>
      <c r="AB82" s="13">
        <f>_xll.BDH("WMT US Equity","BS_NUM_OF_TSY_SH","FQ4 2022","FQ4 2022","Currency=USD","Period=FQ","BEST_FPERIOD_OVERRIDE=FQ","FILING_STATUS=MR","Sort=A","Dates=H","DateFormat=P","Fill=—","Direction=H","UseDPDF=Y")</f>
        <v>0</v>
      </c>
      <c r="AC82" s="13">
        <f>_xll.BDH("WMT US Equity","BS_NUM_OF_TSY_SH","FQ1 2023","FQ1 2023","Currency=USD","Period=FQ","BEST_FPERIOD_OVERRIDE=FQ","FILING_STATUS=MR","Sort=A","Dates=H","DateFormat=P","Fill=—","Direction=H","UseDPDF=Y")</f>
        <v>0</v>
      </c>
      <c r="AD82" s="13">
        <f>_xll.BDH("WMT US Equity","BS_NUM_OF_TSY_SH","FQ2 2023","FQ2 2023","Currency=USD","Period=FQ","BEST_FPERIOD_OVERRIDE=FQ","FILING_STATUS=MR","Sort=A","Dates=H","DateFormat=P","Fill=—","Direction=H","UseDPDF=Y")</f>
        <v>0</v>
      </c>
      <c r="AE82" s="13">
        <f>_xll.BDH("WMT US Equity","BS_NUM_OF_TSY_SH","FQ3 2023","FQ3 2023","Currency=USD","Period=FQ","BEST_FPERIOD_OVERRIDE=FQ","FILING_STATUS=MR","Sort=A","Dates=H","DateFormat=P","Fill=—","Direction=H","UseDPDF=Y")</f>
        <v>0</v>
      </c>
      <c r="AF82" s="13">
        <f>_xll.BDH("WMT US Equity","BS_NUM_OF_TSY_SH","FQ4 2023","FQ4 2023","Currency=USD","Period=FQ","BEST_FPERIOD_OVERRIDE=FQ","FILING_STATUS=MR","Sort=A","Dates=H","DateFormat=P","Fill=—","Direction=H","UseDPDF=Y")</f>
        <v>0</v>
      </c>
      <c r="AG82" s="13">
        <f>_xll.BDH("WMT US Equity","BS_NUM_OF_TSY_SH","FQ1 2024","FQ1 2024","Currency=USD","Period=FQ","BEST_FPERIOD_OVERRIDE=FQ","FILING_STATUS=MR","Sort=A","Dates=H","DateFormat=P","Fill=—","Direction=H","UseDPDF=Y")</f>
        <v>0</v>
      </c>
      <c r="AH82" s="13">
        <f>_xll.BDH("WMT US Equity","BS_NUM_OF_TSY_SH","FQ2 2024","FQ2 2024","Currency=USD","Period=FQ","BEST_FPERIOD_OVERRIDE=FQ","FILING_STATUS=MR","Sort=A","Dates=H","DateFormat=P","Fill=—","Direction=H","UseDPDF=Y")</f>
        <v>0</v>
      </c>
      <c r="AI82" s="13">
        <f>_xll.BDH("WMT US Equity","BS_NUM_OF_TSY_SH","FQ3 2024","FQ3 2024","Currency=USD","Period=FQ","BEST_FPERIOD_OVERRIDE=FQ","FILING_STATUS=MR","Sort=A","Dates=H","DateFormat=P","Fill=—","Direction=H","UseDPDF=Y")</f>
        <v>0</v>
      </c>
      <c r="AJ82" s="13">
        <f>_xll.BDH("WMT US Equity","BS_NUM_OF_TSY_SH","FQ4 2024","FQ4 2024","Currency=USD","Period=FQ","BEST_FPERIOD_OVERRIDE=FQ","FILING_STATUS=MR","Sort=A","Dates=H","DateFormat=P","Fill=—","Direction=H","UseDPDF=Y")</f>
        <v>0</v>
      </c>
      <c r="AK82" s="13">
        <f>_xll.BDH("WMT US Equity","BS_NUM_OF_TSY_SH","FQ1 2025","FQ1 2025","Currency=USD","Period=FQ","BEST_FPERIOD_OVERRIDE=FQ","FILING_STATUS=MR","Sort=A","Dates=H","DateFormat=P","Fill=—","Direction=H","UseDPDF=Y")</f>
        <v>0</v>
      </c>
      <c r="AL82" s="13">
        <f>_xll.BDH("WMT US Equity","BS_NUM_OF_TSY_SH","FQ2 2025","FQ2 2025","Currency=USD","Period=FQ","BEST_FPERIOD_OVERRIDE=FQ","FILING_STATUS=MR","Sort=A","Dates=H","DateFormat=P","Fill=—","Direction=H","UseDPDF=Y")</f>
        <v>0</v>
      </c>
      <c r="AM82" s="13">
        <f>_xll.BDH("WMT US Equity","BS_NUM_OF_TSY_SH","FQ3 2025","FQ3 2025","Currency=USD","Period=FQ","BEST_FPERIOD_OVERRIDE=FQ","FILING_STATUS=MR","Sort=A","Dates=H","DateFormat=P","Fill=—","Direction=H","UseDPDF=Y")</f>
        <v>0</v>
      </c>
      <c r="AN82" s="13">
        <f>_xll.BDH("WMT US Equity","BS_NUM_OF_TSY_SH","FQ4 2025","FQ4 2025","Currency=USD","Period=FQ","BEST_FPERIOD_OVERRIDE=FQ","FILING_STATUS=MR","Sort=A","Dates=H","DateFormat=P","Fill=—","Direction=H","UseDPDF=Y")</f>
        <v>0</v>
      </c>
      <c r="AO82" s="13">
        <f>_xll.BDH("WMT US Equity","BS_NUM_OF_TSY_SH","FQ1 2026","FQ1 2026","Currency=USD","Period=FQ","BEST_FPERIOD_OVERRIDE=FQ","FILING_STATUS=MR","Sort=A","Dates=H","DateFormat=P","Fill=—","Direction=H","UseDPDF=Y")</f>
        <v>0</v>
      </c>
      <c r="AP82" s="13">
        <f>_xll.BDH("WMT US Equity","BS_NUM_OF_TSY_SH","FQ2 2026","FQ2 2026","Currency=USD","Period=FQ","BEST_FPERIOD_OVERRIDE=FQ","FILING_STATUS=MR","Sort=A","Dates=H","DateFormat=P","Fill=—","Direction=H","UseDPDF=Y")</f>
        <v>0</v>
      </c>
    </row>
    <row r="83" spans="1:42" x14ac:dyDescent="0.3">
      <c r="A83" s="10" t="s">
        <v>170</v>
      </c>
      <c r="B83" s="10" t="s">
        <v>171</v>
      </c>
      <c r="C83" s="13">
        <f>_xll.BDH("WMT US Equity","BS_PENSION_RSRV","FQ3 2016","FQ3 2016","Currency=USD","Period=FQ","BEST_FPERIOD_OVERRIDE=FQ","FILING_STATUS=MR","SCALING_FORMAT=MLN","Sort=A","Dates=H","DateFormat=P","Fill=—","Direction=H","UseDPDF=Y")</f>
        <v>0</v>
      </c>
      <c r="D83" s="13">
        <f>_xll.BDH("WMT US Equity","BS_PENSION_RSRV","FQ4 2016","FQ4 2016","Currency=USD","Period=FQ","BEST_FPERIOD_OVERRIDE=FQ","FILING_STATUS=MR","SCALING_FORMAT=MLN","Sort=A","Dates=H","DateFormat=P","Fill=—","Direction=H","UseDPDF=Y")</f>
        <v>0</v>
      </c>
      <c r="E83" s="13">
        <f>_xll.BDH("WMT US Equity","BS_PENSION_RSRV","FQ1 2017","FQ1 2017","Currency=USD","Period=FQ","BEST_FPERIOD_OVERRIDE=FQ","FILING_STATUS=MR","SCALING_FORMAT=MLN","Sort=A","Dates=H","DateFormat=P","Fill=—","Direction=H","UseDPDF=Y")</f>
        <v>0</v>
      </c>
      <c r="F83" s="13">
        <f>_xll.BDH("WMT US Equity","BS_PENSION_RSRV","FQ2 2017","FQ2 2017","Currency=USD","Period=FQ","BEST_FPERIOD_OVERRIDE=FQ","FILING_STATUS=MR","SCALING_FORMAT=MLN","Sort=A","Dates=H","DateFormat=P","Fill=—","Direction=H","UseDPDF=Y")</f>
        <v>0</v>
      </c>
      <c r="G83" s="13">
        <f>_xll.BDH("WMT US Equity","BS_PENSION_RSRV","FQ3 2017","FQ3 2017","Currency=USD","Period=FQ","BEST_FPERIOD_OVERRIDE=FQ","FILING_STATUS=MR","SCALING_FORMAT=MLN","Sort=A","Dates=H","DateFormat=P","Fill=—","Direction=H","UseDPDF=Y")</f>
        <v>0</v>
      </c>
      <c r="H83" s="13">
        <f>_xll.BDH("WMT US Equity","BS_PENSION_RSRV","FQ4 2017","FQ4 2017","Currency=USD","Period=FQ","BEST_FPERIOD_OVERRIDE=FQ","FILING_STATUS=MR","SCALING_FORMAT=MLN","Sort=A","Dates=H","DateFormat=P","Fill=—","Direction=H","UseDPDF=Y")</f>
        <v>0</v>
      </c>
      <c r="I83" s="13">
        <f>_xll.BDH("WMT US Equity","BS_PENSION_RSRV","FQ1 2018","FQ1 2018","Currency=USD","Period=FQ","BEST_FPERIOD_OVERRIDE=FQ","FILING_STATUS=MR","SCALING_FORMAT=MLN","Sort=A","Dates=H","DateFormat=P","Fill=—","Direction=H","UseDPDF=Y")</f>
        <v>0</v>
      </c>
      <c r="J83" s="13">
        <f>_xll.BDH("WMT US Equity","BS_PENSION_RSRV","FQ2 2018","FQ2 2018","Currency=USD","Period=FQ","BEST_FPERIOD_OVERRIDE=FQ","FILING_STATUS=MR","SCALING_FORMAT=MLN","Sort=A","Dates=H","DateFormat=P","Fill=—","Direction=H","UseDPDF=Y")</f>
        <v>0</v>
      </c>
      <c r="K83" s="13">
        <f>_xll.BDH("WMT US Equity","BS_PENSION_RSRV","FQ3 2018","FQ3 2018","Currency=USD","Period=FQ","BEST_FPERIOD_OVERRIDE=FQ","FILING_STATUS=MR","SCALING_FORMAT=MLN","Sort=A","Dates=H","DateFormat=P","Fill=—","Direction=H","UseDPDF=Y")</f>
        <v>0</v>
      </c>
      <c r="L83" s="13">
        <f>_xll.BDH("WMT US Equity","BS_PENSION_RSRV","FQ4 2018","FQ4 2018","Currency=USD","Period=FQ","BEST_FPERIOD_OVERRIDE=FQ","FILING_STATUS=MR","SCALING_FORMAT=MLN","Sort=A","Dates=H","DateFormat=P","Fill=—","Direction=H","UseDPDF=Y")</f>
        <v>0</v>
      </c>
      <c r="M83" s="13">
        <f>_xll.BDH("WMT US Equity","BS_PENSION_RSRV","FQ1 2019","FQ1 2019","Currency=USD","Period=FQ","BEST_FPERIOD_OVERRIDE=FQ","FILING_STATUS=MR","SCALING_FORMAT=MLN","Sort=A","Dates=H","DateFormat=P","Fill=—","Direction=H","UseDPDF=Y")</f>
        <v>0</v>
      </c>
      <c r="N83" s="13">
        <f>_xll.BDH("WMT US Equity","BS_PENSION_RSRV","FQ2 2019","FQ2 2019","Currency=USD","Period=FQ","BEST_FPERIOD_OVERRIDE=FQ","FILING_STATUS=MR","SCALING_FORMAT=MLN","Sort=A","Dates=H","DateFormat=P","Fill=—","Direction=H","UseDPDF=Y")</f>
        <v>0</v>
      </c>
      <c r="O83" s="13">
        <f>_xll.BDH("WMT US Equity","BS_PENSION_RSRV","FQ3 2019","FQ3 2019","Currency=USD","Period=FQ","BEST_FPERIOD_OVERRIDE=FQ","FILING_STATUS=MR","SCALING_FORMAT=MLN","Sort=A","Dates=H","DateFormat=P","Fill=—","Direction=H","UseDPDF=Y")</f>
        <v>0</v>
      </c>
      <c r="P83" s="13">
        <f>_xll.BDH("WMT US Equity","BS_PENSION_RSRV","FQ4 2019","FQ4 2019","Currency=USD","Period=FQ","BEST_FPERIOD_OVERRIDE=FQ","FILING_STATUS=MR","SCALING_FORMAT=MLN","Sort=A","Dates=H","DateFormat=P","Fill=—","Direction=H","UseDPDF=Y")</f>
        <v>0</v>
      </c>
      <c r="Q83" s="13">
        <f>_xll.BDH("WMT US Equity","BS_PENSION_RSRV","FQ1 2020","FQ1 2020","Currency=USD","Period=FQ","BEST_FPERIOD_OVERRIDE=FQ","FILING_STATUS=MR","SCALING_FORMAT=MLN","Sort=A","Dates=H","DateFormat=P","Fill=—","Direction=H","UseDPDF=Y")</f>
        <v>0</v>
      </c>
      <c r="R83" s="13">
        <f>_xll.BDH("WMT US Equity","BS_PENSION_RSRV","FQ2 2020","FQ2 2020","Currency=USD","Period=FQ","BEST_FPERIOD_OVERRIDE=FQ","FILING_STATUS=MR","SCALING_FORMAT=MLN","Sort=A","Dates=H","DateFormat=P","Fill=—","Direction=H","UseDPDF=Y")</f>
        <v>0</v>
      </c>
      <c r="S83" s="13">
        <f>_xll.BDH("WMT US Equity","BS_PENSION_RSRV","FQ3 2020","FQ3 2020","Currency=USD","Period=FQ","BEST_FPERIOD_OVERRIDE=FQ","FILING_STATUS=MR","SCALING_FORMAT=MLN","Sort=A","Dates=H","DateFormat=P","Fill=—","Direction=H","UseDPDF=Y")</f>
        <v>0</v>
      </c>
      <c r="T83" s="13">
        <f>_xll.BDH("WMT US Equity","BS_PENSION_RSRV","FQ4 2020","FQ4 2020","Currency=USD","Period=FQ","BEST_FPERIOD_OVERRIDE=FQ","FILING_STATUS=MR","SCALING_FORMAT=MLN","Sort=A","Dates=H","DateFormat=P","Fill=—","Direction=H","UseDPDF=Y")</f>
        <v>0</v>
      </c>
      <c r="U83" s="13">
        <f>_xll.BDH("WMT US Equity","BS_PENSION_RSRV","FQ1 2021","FQ1 2021","Currency=USD","Period=FQ","BEST_FPERIOD_OVERRIDE=FQ","FILING_STATUS=MR","SCALING_FORMAT=MLN","Sort=A","Dates=H","DateFormat=P","Fill=—","Direction=H","UseDPDF=Y")</f>
        <v>0</v>
      </c>
      <c r="V83" s="13">
        <f>_xll.BDH("WMT US Equity","BS_PENSION_RSRV","FQ2 2021","FQ2 2021","Currency=USD","Period=FQ","BEST_FPERIOD_OVERRIDE=FQ","FILING_STATUS=MR","SCALING_FORMAT=MLN","Sort=A","Dates=H","DateFormat=P","Fill=—","Direction=H","UseDPDF=Y")</f>
        <v>0</v>
      </c>
      <c r="W83" s="13">
        <f>_xll.BDH("WMT US Equity","BS_PENSION_RSRV","FQ3 2021","FQ3 2021","Currency=USD","Period=FQ","BEST_FPERIOD_OVERRIDE=FQ","FILING_STATUS=MR","SCALING_FORMAT=MLN","Sort=A","Dates=H","DateFormat=P","Fill=—","Direction=H","UseDPDF=Y")</f>
        <v>0</v>
      </c>
      <c r="X83" s="13">
        <f>_xll.BDH("WMT US Equity","BS_PENSION_RSRV","FQ4 2021","FQ4 2021","Currency=USD","Period=FQ","BEST_FPERIOD_OVERRIDE=FQ","FILING_STATUS=MR","SCALING_FORMAT=MLN","Sort=A","Dates=H","DateFormat=P","Fill=—","Direction=H","UseDPDF=Y")</f>
        <v>0</v>
      </c>
      <c r="Y83" s="13">
        <f>_xll.BDH("WMT US Equity","BS_PENSION_RSRV","FQ1 2022","FQ1 2022","Currency=USD","Period=FQ","BEST_FPERIOD_OVERRIDE=FQ","FILING_STATUS=MR","SCALING_FORMAT=MLN","Sort=A","Dates=H","DateFormat=P","Fill=—","Direction=H","UseDPDF=Y")</f>
        <v>0</v>
      </c>
      <c r="Z83" s="13">
        <f>_xll.BDH("WMT US Equity","BS_PENSION_RSRV","FQ2 2022","FQ2 2022","Currency=USD","Period=FQ","BEST_FPERIOD_OVERRIDE=FQ","FILING_STATUS=MR","SCALING_FORMAT=MLN","Sort=A","Dates=H","DateFormat=P","Fill=—","Direction=H","UseDPDF=Y")</f>
        <v>0</v>
      </c>
      <c r="AA83" s="13">
        <f>_xll.BDH("WMT US Equity","BS_PENSION_RSRV","FQ3 2022","FQ3 2022","Currency=USD","Period=FQ","BEST_FPERIOD_OVERRIDE=FQ","FILING_STATUS=MR","SCALING_FORMAT=MLN","Sort=A","Dates=H","DateFormat=P","Fill=—","Direction=H","UseDPDF=Y")</f>
        <v>0</v>
      </c>
      <c r="AB83" s="13">
        <f>_xll.BDH("WMT US Equity","BS_PENSION_RSRV","FQ4 2022","FQ4 2022","Currency=USD","Period=FQ","BEST_FPERIOD_OVERRIDE=FQ","FILING_STATUS=MR","SCALING_FORMAT=MLN","Sort=A","Dates=H","DateFormat=P","Fill=—","Direction=H","UseDPDF=Y")</f>
        <v>0</v>
      </c>
      <c r="AC83" s="13">
        <f>_xll.BDH("WMT US Equity","BS_PENSION_RSRV","FQ1 2023","FQ1 2023","Currency=USD","Period=FQ","BEST_FPERIOD_OVERRIDE=FQ","FILING_STATUS=MR","SCALING_FORMAT=MLN","Sort=A","Dates=H","DateFormat=P","Fill=—","Direction=H","UseDPDF=Y")</f>
        <v>0</v>
      </c>
      <c r="AD83" s="13">
        <f>_xll.BDH("WMT US Equity","BS_PENSION_RSRV","FQ2 2023","FQ2 2023","Currency=USD","Period=FQ","BEST_FPERIOD_OVERRIDE=FQ","FILING_STATUS=MR","SCALING_FORMAT=MLN","Sort=A","Dates=H","DateFormat=P","Fill=—","Direction=H","UseDPDF=Y")</f>
        <v>0</v>
      </c>
      <c r="AE83" s="13">
        <f>_xll.BDH("WMT US Equity","BS_PENSION_RSRV","FQ3 2023","FQ3 2023","Currency=USD","Period=FQ","BEST_FPERIOD_OVERRIDE=FQ","FILING_STATUS=MR","SCALING_FORMAT=MLN","Sort=A","Dates=H","DateFormat=P","Fill=—","Direction=H","UseDPDF=Y")</f>
        <v>0</v>
      </c>
      <c r="AF83" s="13">
        <f>_xll.BDH("WMT US Equity","BS_PENSION_RSRV","FQ4 2023","FQ4 2023","Currency=USD","Period=FQ","BEST_FPERIOD_OVERRIDE=FQ","FILING_STATUS=MR","SCALING_FORMAT=MLN","Sort=A","Dates=H","DateFormat=P","Fill=—","Direction=H","UseDPDF=Y")</f>
        <v>0</v>
      </c>
      <c r="AG83" s="13">
        <f>_xll.BDH("WMT US Equity","BS_PENSION_RSRV","FQ1 2024","FQ1 2024","Currency=USD","Period=FQ","BEST_FPERIOD_OVERRIDE=FQ","FILING_STATUS=MR","SCALING_FORMAT=MLN","Sort=A","Dates=H","DateFormat=P","Fill=—","Direction=H","UseDPDF=Y")</f>
        <v>0</v>
      </c>
      <c r="AH83" s="13">
        <f>_xll.BDH("WMT US Equity","BS_PENSION_RSRV","FQ2 2024","FQ2 2024","Currency=USD","Period=FQ","BEST_FPERIOD_OVERRIDE=FQ","FILING_STATUS=MR","SCALING_FORMAT=MLN","Sort=A","Dates=H","DateFormat=P","Fill=—","Direction=H","UseDPDF=Y")</f>
        <v>0</v>
      </c>
      <c r="AI83" s="13">
        <f>_xll.BDH("WMT US Equity","BS_PENSION_RSRV","FQ3 2024","FQ3 2024","Currency=USD","Period=FQ","BEST_FPERIOD_OVERRIDE=FQ","FILING_STATUS=MR","SCALING_FORMAT=MLN","Sort=A","Dates=H","DateFormat=P","Fill=—","Direction=H","UseDPDF=Y")</f>
        <v>0</v>
      </c>
      <c r="AJ83" s="13">
        <f>_xll.BDH("WMT US Equity","BS_PENSION_RSRV","FQ4 2024","FQ4 2024","Currency=USD","Period=FQ","BEST_FPERIOD_OVERRIDE=FQ","FILING_STATUS=MR","SCALING_FORMAT=MLN","Sort=A","Dates=H","DateFormat=P","Fill=—","Direction=H","UseDPDF=Y")</f>
        <v>0</v>
      </c>
      <c r="AK83" s="13">
        <f>_xll.BDH("WMT US Equity","BS_PENSION_RSRV","FQ1 2025","FQ1 2025","Currency=USD","Period=FQ","BEST_FPERIOD_OVERRIDE=FQ","FILING_STATUS=MR","SCALING_FORMAT=MLN","Sort=A","Dates=H","DateFormat=P","Fill=—","Direction=H","UseDPDF=Y")</f>
        <v>0</v>
      </c>
      <c r="AL83" s="13">
        <f>_xll.BDH("WMT US Equity","BS_PENSION_RSRV","FQ2 2025","FQ2 2025","Currency=USD","Period=FQ","BEST_FPERIOD_OVERRIDE=FQ","FILING_STATUS=MR","SCALING_FORMAT=MLN","Sort=A","Dates=H","DateFormat=P","Fill=—","Direction=H","UseDPDF=Y")</f>
        <v>0</v>
      </c>
      <c r="AM83" s="13">
        <f>_xll.BDH("WMT US Equity","BS_PENSION_RSRV","FQ3 2025","FQ3 2025","Currency=USD","Period=FQ","BEST_FPERIOD_OVERRIDE=FQ","FILING_STATUS=MR","SCALING_FORMAT=MLN","Sort=A","Dates=H","DateFormat=P","Fill=—","Direction=H","UseDPDF=Y")</f>
        <v>0</v>
      </c>
      <c r="AN83" s="13">
        <f>_xll.BDH("WMT US Equity","BS_PENSION_RSRV","FQ4 2025","FQ4 2025","Currency=USD","Period=FQ","BEST_FPERIOD_OVERRIDE=FQ","FILING_STATUS=MR","SCALING_FORMAT=MLN","Sort=A","Dates=H","DateFormat=P","Fill=—","Direction=H","UseDPDF=Y")</f>
        <v>0</v>
      </c>
      <c r="AO83" s="13">
        <f>_xll.BDH("WMT US Equity","BS_PENSION_RSRV","FQ1 2026","FQ1 2026","Currency=USD","Period=FQ","BEST_FPERIOD_OVERRIDE=FQ","FILING_STATUS=MR","SCALING_FORMAT=MLN","Sort=A","Dates=H","DateFormat=P","Fill=—","Direction=H","UseDPDF=Y")</f>
        <v>0</v>
      </c>
      <c r="AP83" s="13">
        <f>_xll.BDH("WMT US Equity","BS_PENSION_RSRV","FQ2 2026","FQ2 2026","Currency=USD","Period=FQ","BEST_FPERIOD_OVERRIDE=FQ","FILING_STATUS=MR","SCALING_FORMAT=MLN","Sort=A","Dates=H","DateFormat=P","Fill=—","Direction=H","UseDPDF=Y")</f>
        <v>0</v>
      </c>
    </row>
    <row r="84" spans="1:42" x14ac:dyDescent="0.3">
      <c r="A84" s="10" t="s">
        <v>172</v>
      </c>
      <c r="B84" s="10" t="s">
        <v>173</v>
      </c>
      <c r="C84" s="13" t="str">
        <f>_xll.BDH("WMT US Equity","BS_FUTURE_MIN_OPER_LEASE_OBLIG","FQ3 2016","FQ3 2016","Currency=USD","Period=FQ","BEST_FPERIOD_OVERRIDE=FQ","FILING_STATUS=MR","SCALING_FORMAT=MLN","Sort=A","Dates=H","DateFormat=P","Fill=—","Direction=H","UseDPDF=Y")</f>
        <v>—</v>
      </c>
      <c r="D84" s="13">
        <f>_xll.BDH("WMT US Equity","BS_FUTURE_MIN_OPER_LEASE_OBLIG","FQ4 2016","FQ4 2016","Currency=USD","Period=FQ","BEST_FPERIOD_OVERRIDE=FQ","FILING_STATUS=MR","SCALING_FORMAT=MLN","Sort=A","Dates=H","DateFormat=P","Fill=—","Direction=H","UseDPDF=Y")</f>
        <v>21505</v>
      </c>
      <c r="E84" s="13" t="str">
        <f>_xll.BDH("WMT US Equity","BS_FUTURE_MIN_OPER_LEASE_OBLIG","FQ1 2017","FQ1 2017","Currency=USD","Period=FQ","BEST_FPERIOD_OVERRIDE=FQ","FILING_STATUS=MR","SCALING_FORMAT=MLN","Sort=A","Dates=H","DateFormat=P","Fill=—","Direction=H","UseDPDF=Y")</f>
        <v>—</v>
      </c>
      <c r="F84" s="13" t="str">
        <f>_xll.BDH("WMT US Equity","BS_FUTURE_MIN_OPER_LEASE_OBLIG","FQ2 2017","FQ2 2017","Currency=USD","Period=FQ","BEST_FPERIOD_OVERRIDE=FQ","FILING_STATUS=MR","SCALING_FORMAT=MLN","Sort=A","Dates=H","DateFormat=P","Fill=—","Direction=H","UseDPDF=Y")</f>
        <v>—</v>
      </c>
      <c r="G84" s="13" t="str">
        <f>_xll.BDH("WMT US Equity","BS_FUTURE_MIN_OPER_LEASE_OBLIG","FQ3 2017","FQ3 2017","Currency=USD","Period=FQ","BEST_FPERIOD_OVERRIDE=FQ","FILING_STATUS=MR","SCALING_FORMAT=MLN","Sort=A","Dates=H","DateFormat=P","Fill=—","Direction=H","UseDPDF=Y")</f>
        <v>—</v>
      </c>
      <c r="H84" s="13">
        <f>_xll.BDH("WMT US Equity","BS_FUTURE_MIN_OPER_LEASE_OBLIG","FQ4 2017","FQ4 2017","Currency=USD","Period=FQ","BEST_FPERIOD_OVERRIDE=FQ","FILING_STATUS=MR","SCALING_FORMAT=MLN","Sort=A","Dates=H","DateFormat=P","Fill=—","Direction=H","UseDPDF=Y")</f>
        <v>18139</v>
      </c>
      <c r="I84" s="13" t="str">
        <f>_xll.BDH("WMT US Equity","BS_FUTURE_MIN_OPER_LEASE_OBLIG","FQ1 2018","FQ1 2018","Currency=USD","Period=FQ","BEST_FPERIOD_OVERRIDE=FQ","FILING_STATUS=MR","SCALING_FORMAT=MLN","Sort=A","Dates=H","DateFormat=P","Fill=—","Direction=H","UseDPDF=Y")</f>
        <v>—</v>
      </c>
      <c r="J84" s="13" t="str">
        <f>_xll.BDH("WMT US Equity","BS_FUTURE_MIN_OPER_LEASE_OBLIG","FQ2 2018","FQ2 2018","Currency=USD","Period=FQ","BEST_FPERIOD_OVERRIDE=FQ","FILING_STATUS=MR","SCALING_FORMAT=MLN","Sort=A","Dates=H","DateFormat=P","Fill=—","Direction=H","UseDPDF=Y")</f>
        <v>—</v>
      </c>
      <c r="K84" s="13" t="str">
        <f>_xll.BDH("WMT US Equity","BS_FUTURE_MIN_OPER_LEASE_OBLIG","FQ3 2018","FQ3 2018","Currency=USD","Period=FQ","BEST_FPERIOD_OVERRIDE=FQ","FILING_STATUS=MR","SCALING_FORMAT=MLN","Sort=A","Dates=H","DateFormat=P","Fill=—","Direction=H","UseDPDF=Y")</f>
        <v>—</v>
      </c>
      <c r="L84" s="13">
        <f>_xll.BDH("WMT US Equity","BS_FUTURE_MIN_OPER_LEASE_OBLIG","FQ4 2018","FQ4 2018","Currency=USD","Period=FQ","BEST_FPERIOD_OVERRIDE=FQ","FILING_STATUS=MR","SCALING_FORMAT=MLN","Sort=A","Dates=H","DateFormat=P","Fill=—","Direction=H","UseDPDF=Y")</f>
        <v>15366</v>
      </c>
      <c r="M84" s="13" t="str">
        <f>_xll.BDH("WMT US Equity","BS_FUTURE_MIN_OPER_LEASE_OBLIG","FQ1 2019","FQ1 2019","Currency=USD","Period=FQ","BEST_FPERIOD_OVERRIDE=FQ","FILING_STATUS=MR","SCALING_FORMAT=MLN","Sort=A","Dates=H","DateFormat=P","Fill=—","Direction=H","UseDPDF=Y")</f>
        <v>—</v>
      </c>
      <c r="N84" s="13" t="str">
        <f>_xll.BDH("WMT US Equity","BS_FUTURE_MIN_OPER_LEASE_OBLIG","FQ2 2019","FQ2 2019","Currency=USD","Period=FQ","BEST_FPERIOD_OVERRIDE=FQ","FILING_STATUS=MR","SCALING_FORMAT=MLN","Sort=A","Dates=H","DateFormat=P","Fill=—","Direction=H","UseDPDF=Y")</f>
        <v>—</v>
      </c>
      <c r="O84" s="13" t="str">
        <f>_xll.BDH("WMT US Equity","BS_FUTURE_MIN_OPER_LEASE_OBLIG","FQ3 2019","FQ3 2019","Currency=USD","Period=FQ","BEST_FPERIOD_OVERRIDE=FQ","FILING_STATUS=MR","SCALING_FORMAT=MLN","Sort=A","Dates=H","DateFormat=P","Fill=—","Direction=H","UseDPDF=Y")</f>
        <v>—</v>
      </c>
      <c r="P84" s="13">
        <f>_xll.BDH("WMT US Equity","BS_FUTURE_MIN_OPER_LEASE_OBLIG","FQ4 2019","FQ4 2019","Currency=USD","Period=FQ","BEST_FPERIOD_OVERRIDE=FQ","FILING_STATUS=MR","SCALING_FORMAT=MLN","Sort=A","Dates=H","DateFormat=P","Fill=—","Direction=H","UseDPDF=Y")</f>
        <v>14118</v>
      </c>
      <c r="Q84" s="13">
        <f>_xll.BDH("WMT US Equity","BS_FUTURE_MIN_OPER_LEASE_OBLIG","FQ1 2020","FQ1 2020","Currency=USD","Period=FQ","BEST_FPERIOD_OVERRIDE=FQ","FILING_STATUS=MR","SCALING_FORMAT=MLN","Sort=A","Dates=H","DateFormat=P","Fill=—","Direction=H","UseDPDF=Y")</f>
        <v>25590</v>
      </c>
      <c r="R84" s="13">
        <f>_xll.BDH("WMT US Equity","BS_FUTURE_MIN_OPER_LEASE_OBLIG","FQ2 2020","FQ2 2020","Currency=USD","Period=FQ","BEST_FPERIOD_OVERRIDE=FQ","FILING_STATUS=MR","SCALING_FORMAT=MLN","Sort=A","Dates=H","DateFormat=P","Fill=—","Direction=H","UseDPDF=Y")</f>
        <v>26076</v>
      </c>
      <c r="S84" s="13">
        <f>_xll.BDH("WMT US Equity","BS_FUTURE_MIN_OPER_LEASE_OBLIG","FQ3 2020","FQ3 2020","Currency=USD","Period=FQ","BEST_FPERIOD_OVERRIDE=FQ","FILING_STATUS=MR","SCALING_FORMAT=MLN","Sort=A","Dates=H","DateFormat=P","Fill=—","Direction=H","UseDPDF=Y")</f>
        <v>25562</v>
      </c>
      <c r="T84" s="13">
        <f>_xll.BDH("WMT US Equity","BS_FUTURE_MIN_OPER_LEASE_OBLIG","FQ4 2020","FQ4 2020","Currency=USD","Period=FQ","BEST_FPERIOD_OVERRIDE=FQ","FILING_STATUS=MR","SCALING_FORMAT=MLN","Sort=A","Dates=H","DateFormat=P","Fill=—","Direction=H","UseDPDF=Y")</f>
        <v>26257</v>
      </c>
      <c r="U84" s="13" t="str">
        <f>_xll.BDH("WMT US Equity","BS_FUTURE_MIN_OPER_LEASE_OBLIG","FQ1 2021","FQ1 2021","Currency=USD","Period=FQ","BEST_FPERIOD_OVERRIDE=FQ","FILING_STATUS=MR","SCALING_FORMAT=MLN","Sort=A","Dates=H","DateFormat=P","Fill=—","Direction=H","UseDPDF=Y")</f>
        <v>—</v>
      </c>
      <c r="V84" s="13" t="str">
        <f>_xll.BDH("WMT US Equity","BS_FUTURE_MIN_OPER_LEASE_OBLIG","FQ2 2021","FQ2 2021","Currency=USD","Period=FQ","BEST_FPERIOD_OVERRIDE=FQ","FILING_STATUS=MR","SCALING_FORMAT=MLN","Sort=A","Dates=H","DateFormat=P","Fill=—","Direction=H","UseDPDF=Y")</f>
        <v>—</v>
      </c>
      <c r="W84" s="13" t="str">
        <f>_xll.BDH("WMT US Equity","BS_FUTURE_MIN_OPER_LEASE_OBLIG","FQ3 2021","FQ3 2021","Currency=USD","Period=FQ","BEST_FPERIOD_OVERRIDE=FQ","FILING_STATUS=MR","SCALING_FORMAT=MLN","Sort=A","Dates=H","DateFormat=P","Fill=—","Direction=H","UseDPDF=Y")</f>
        <v>—</v>
      </c>
      <c r="X84" s="13">
        <f>_xll.BDH("WMT US Equity","BS_FUTURE_MIN_OPER_LEASE_OBLIG","FQ4 2021","FQ4 2021","Currency=USD","Period=FQ","BEST_FPERIOD_OVERRIDE=FQ","FILING_STATUS=MR","SCALING_FORMAT=MLN","Sort=A","Dates=H","DateFormat=P","Fill=—","Direction=H","UseDPDF=Y")</f>
        <v>20949</v>
      </c>
      <c r="Y84" s="13" t="str">
        <f>_xll.BDH("WMT US Equity","BS_FUTURE_MIN_OPER_LEASE_OBLIG","FQ1 2022","FQ1 2022","Currency=USD","Period=FQ","BEST_FPERIOD_OVERRIDE=FQ","FILING_STATUS=MR","SCALING_FORMAT=MLN","Sort=A","Dates=H","DateFormat=P","Fill=—","Direction=H","UseDPDF=Y")</f>
        <v>—</v>
      </c>
      <c r="Z84" s="13" t="str">
        <f>_xll.BDH("WMT US Equity","BS_FUTURE_MIN_OPER_LEASE_OBLIG","FQ2 2022","FQ2 2022","Currency=USD","Period=FQ","BEST_FPERIOD_OVERRIDE=FQ","FILING_STATUS=MR","SCALING_FORMAT=MLN","Sort=A","Dates=H","DateFormat=P","Fill=—","Direction=H","UseDPDF=Y")</f>
        <v>—</v>
      </c>
      <c r="AA84" s="13" t="str">
        <f>_xll.BDH("WMT US Equity","BS_FUTURE_MIN_OPER_LEASE_OBLIG","FQ3 2022","FQ3 2022","Currency=USD","Period=FQ","BEST_FPERIOD_OVERRIDE=FQ","FILING_STATUS=MR","SCALING_FORMAT=MLN","Sort=A","Dates=H","DateFormat=P","Fill=—","Direction=H","UseDPDF=Y")</f>
        <v>—</v>
      </c>
      <c r="AB84" s="13">
        <f>_xll.BDH("WMT US Equity","BS_FUTURE_MIN_OPER_LEASE_OBLIG","FQ4 2022","FQ4 2022","Currency=USD","Period=FQ","BEST_FPERIOD_OVERRIDE=FQ","FILING_STATUS=MR","SCALING_FORMAT=MLN","Sort=A","Dates=H","DateFormat=P","Fill=—","Direction=H","UseDPDF=Y")</f>
        <v>20666</v>
      </c>
      <c r="AC84" s="13" t="str">
        <f>_xll.BDH("WMT US Equity","BS_FUTURE_MIN_OPER_LEASE_OBLIG","FQ1 2023","FQ1 2023","Currency=USD","Period=FQ","BEST_FPERIOD_OVERRIDE=FQ","FILING_STATUS=MR","SCALING_FORMAT=MLN","Sort=A","Dates=H","DateFormat=P","Fill=—","Direction=H","UseDPDF=Y")</f>
        <v>—</v>
      </c>
      <c r="AD84" s="13" t="str">
        <f>_xll.BDH("WMT US Equity","BS_FUTURE_MIN_OPER_LEASE_OBLIG","FQ2 2023","FQ2 2023","Currency=USD","Period=FQ","BEST_FPERIOD_OVERRIDE=FQ","FILING_STATUS=MR","SCALING_FORMAT=MLN","Sort=A","Dates=H","DateFormat=P","Fill=—","Direction=H","UseDPDF=Y")</f>
        <v>—</v>
      </c>
      <c r="AE84" s="13" t="str">
        <f>_xll.BDH("WMT US Equity","BS_FUTURE_MIN_OPER_LEASE_OBLIG","FQ3 2023","FQ3 2023","Currency=USD","Period=FQ","BEST_FPERIOD_OVERRIDE=FQ","FILING_STATUS=MR","SCALING_FORMAT=MLN","Sort=A","Dates=H","DateFormat=P","Fill=—","Direction=H","UseDPDF=Y")</f>
        <v>—</v>
      </c>
      <c r="AF84" s="13">
        <f>_xll.BDH("WMT US Equity","BS_FUTURE_MIN_OPER_LEASE_OBLIG","FQ4 2023","FQ4 2023","Currency=USD","Period=FQ","BEST_FPERIOD_OVERRIDE=FQ","FILING_STATUS=MR","SCALING_FORMAT=MLN","Sort=A","Dates=H","DateFormat=P","Fill=—","Direction=H","UseDPDF=Y")</f>
        <v>20469</v>
      </c>
      <c r="AG84" s="13" t="str">
        <f>_xll.BDH("WMT US Equity","BS_FUTURE_MIN_OPER_LEASE_OBLIG","FQ1 2024","FQ1 2024","Currency=USD","Period=FQ","BEST_FPERIOD_OVERRIDE=FQ","FILING_STATUS=MR","SCALING_FORMAT=MLN","Sort=A","Dates=H","DateFormat=P","Fill=—","Direction=H","UseDPDF=Y")</f>
        <v>—</v>
      </c>
      <c r="AH84" s="13" t="str">
        <f>_xll.BDH("WMT US Equity","BS_FUTURE_MIN_OPER_LEASE_OBLIG","FQ2 2024","FQ2 2024","Currency=USD","Period=FQ","BEST_FPERIOD_OVERRIDE=FQ","FILING_STATUS=MR","SCALING_FORMAT=MLN","Sort=A","Dates=H","DateFormat=P","Fill=—","Direction=H","UseDPDF=Y")</f>
        <v>—</v>
      </c>
      <c r="AI84" s="13" t="str">
        <f>_xll.BDH("WMT US Equity","BS_FUTURE_MIN_OPER_LEASE_OBLIG","FQ3 2024","FQ3 2024","Currency=USD","Period=FQ","BEST_FPERIOD_OVERRIDE=FQ","FILING_STATUS=MR","SCALING_FORMAT=MLN","Sort=A","Dates=H","DateFormat=P","Fill=—","Direction=H","UseDPDF=Y")</f>
        <v>—</v>
      </c>
      <c r="AJ84" s="13">
        <f>_xll.BDH("WMT US Equity","BS_FUTURE_MIN_OPER_LEASE_OBLIG","FQ4 2024","FQ4 2024","Currency=USD","Period=FQ","BEST_FPERIOD_OVERRIDE=FQ","FILING_STATUS=MR","SCALING_FORMAT=MLN","Sort=A","Dates=H","DateFormat=P","Fill=—","Direction=H","UseDPDF=Y")</f>
        <v>21013</v>
      </c>
      <c r="AK84" s="13" t="str">
        <f>_xll.BDH("WMT US Equity","BS_FUTURE_MIN_OPER_LEASE_OBLIG","FQ1 2025","FQ1 2025","Currency=USD","Period=FQ","BEST_FPERIOD_OVERRIDE=FQ","FILING_STATUS=MR","SCALING_FORMAT=MLN","Sort=A","Dates=H","DateFormat=P","Fill=—","Direction=H","UseDPDF=Y")</f>
        <v>—</v>
      </c>
      <c r="AL84" s="13" t="str">
        <f>_xll.BDH("WMT US Equity","BS_FUTURE_MIN_OPER_LEASE_OBLIG","FQ2 2025","FQ2 2025","Currency=USD","Period=FQ","BEST_FPERIOD_OVERRIDE=FQ","FILING_STATUS=MR","SCALING_FORMAT=MLN","Sort=A","Dates=H","DateFormat=P","Fill=—","Direction=H","UseDPDF=Y")</f>
        <v>—</v>
      </c>
      <c r="AM84" s="13" t="str">
        <f>_xll.BDH("WMT US Equity","BS_FUTURE_MIN_OPER_LEASE_OBLIG","FQ3 2025","FQ3 2025","Currency=USD","Period=FQ","BEST_FPERIOD_OVERRIDE=FQ","FILING_STATUS=MR","SCALING_FORMAT=MLN","Sort=A","Dates=H","DateFormat=P","Fill=—","Direction=H","UseDPDF=Y")</f>
        <v>—</v>
      </c>
      <c r="AN84" s="13">
        <f>_xll.BDH("WMT US Equity","BS_FUTURE_MIN_OPER_LEASE_OBLIG","FQ4 2025","FQ4 2025","Currency=USD","Period=FQ","BEST_FPERIOD_OVERRIDE=FQ","FILING_STATUS=MR","SCALING_FORMAT=MLN","Sort=A","Dates=H","DateFormat=P","Fill=—","Direction=H","UseDPDF=Y")</f>
        <v>20603</v>
      </c>
      <c r="AO84" s="13" t="str">
        <f>_xll.BDH("WMT US Equity","BS_FUTURE_MIN_OPER_LEASE_OBLIG","FQ1 2026","FQ1 2026","Currency=USD","Period=FQ","BEST_FPERIOD_OVERRIDE=FQ","FILING_STATUS=MR","SCALING_FORMAT=MLN","Sort=A","Dates=H","DateFormat=P","Fill=—","Direction=H","UseDPDF=Y")</f>
        <v>—</v>
      </c>
      <c r="AP84" s="13" t="str">
        <f>_xll.BDH("WMT US Equity","BS_FUTURE_MIN_OPER_LEASE_OBLIG","FQ2 2026","FQ2 2026","Currency=USD","Period=FQ","BEST_FPERIOD_OVERRIDE=FQ","FILING_STATUS=MR","SCALING_FORMAT=MLN","Sort=A","Dates=H","DateFormat=P","Fill=—","Direction=H","UseDPDF=Y")</f>
        <v>—</v>
      </c>
    </row>
    <row r="85" spans="1:42" x14ac:dyDescent="0.3">
      <c r="A85" s="10" t="s">
        <v>246</v>
      </c>
      <c r="B85" s="10" t="s">
        <v>174</v>
      </c>
      <c r="C85" s="13">
        <f>_xll.BDH("WMT US Equity","BS_TOTAL_CAPITAL_LEASES","FQ3 2016","FQ3 2016","Currency=USD","Period=FQ","BEST_FPERIOD_OVERRIDE=FQ","FILING_STATUS=MR","SCALING_FORMAT=MLN","Sort=A","Dates=H","DateFormat=P","Fill=—","Direction=H","UseDPDF=Y")</f>
        <v>6139</v>
      </c>
      <c r="D85" s="13">
        <f>_xll.BDH("WMT US Equity","BS_TOTAL_CAPITAL_LEASES","FQ4 2016","FQ4 2016","Currency=USD","Period=FQ","BEST_FPERIOD_OVERRIDE=FQ","FILING_STATUS=MR","SCALING_FORMAT=MLN","Sort=A","Dates=H","DateFormat=P","Fill=—","Direction=H","UseDPDF=Y")</f>
        <v>6367</v>
      </c>
      <c r="E85" s="13">
        <f>_xll.BDH("WMT US Equity","BS_TOTAL_CAPITAL_LEASES","FQ1 2017","FQ1 2017","Currency=USD","Period=FQ","BEST_FPERIOD_OVERRIDE=FQ","FILING_STATUS=MR","SCALING_FORMAT=MLN","Sort=A","Dates=H","DateFormat=P","Fill=—","Direction=H","UseDPDF=Y")</f>
        <v>6801</v>
      </c>
      <c r="F85" s="13">
        <f>_xll.BDH("WMT US Equity","BS_TOTAL_CAPITAL_LEASES","FQ2 2017","FQ2 2017","Currency=USD","Period=FQ","BEST_FPERIOD_OVERRIDE=FQ","FILING_STATUS=MR","SCALING_FORMAT=MLN","Sort=A","Dates=H","DateFormat=P","Fill=—","Direction=H","UseDPDF=Y")</f>
        <v>6621</v>
      </c>
      <c r="G85" s="13">
        <f>_xll.BDH("WMT US Equity","BS_TOTAL_CAPITAL_LEASES","FQ3 2017","FQ3 2017","Currency=USD","Period=FQ","BEST_FPERIOD_OVERRIDE=FQ","FILING_STATUS=MR","SCALING_FORMAT=MLN","Sort=A","Dates=H","DateFormat=P","Fill=—","Direction=H","UseDPDF=Y")</f>
        <v>6479</v>
      </c>
      <c r="H85" s="13">
        <f>_xll.BDH("WMT US Equity","BS_TOTAL_CAPITAL_LEASES","FQ4 2017","FQ4 2017","Currency=USD","Period=FQ","BEST_FPERIOD_OVERRIDE=FQ","FILING_STATUS=MR","SCALING_FORMAT=MLN","Sort=A","Dates=H","DateFormat=P","Fill=—","Direction=H","UseDPDF=Y")</f>
        <v>6568</v>
      </c>
      <c r="I85" s="13">
        <f>_xll.BDH("WMT US Equity","BS_TOTAL_CAPITAL_LEASES","FQ1 2018","FQ1 2018","Currency=USD","Period=FQ","BEST_FPERIOD_OVERRIDE=FQ","FILING_STATUS=MR","SCALING_FORMAT=MLN","Sort=A","Dates=H","DateFormat=P","Fill=—","Direction=H","UseDPDF=Y")</f>
        <v>6850</v>
      </c>
      <c r="J85" s="13">
        <f>_xll.BDH("WMT US Equity","BS_TOTAL_CAPITAL_LEASES","FQ2 2018","FQ2 2018","Currency=USD","Period=FQ","BEST_FPERIOD_OVERRIDE=FQ","FILING_STATUS=MR","SCALING_FORMAT=MLN","Sort=A","Dates=H","DateFormat=P","Fill=—","Direction=H","UseDPDF=Y")</f>
        <v>7421</v>
      </c>
      <c r="K85" s="13">
        <f>_xll.BDH("WMT US Equity","BS_TOTAL_CAPITAL_LEASES","FQ3 2018","FQ3 2018","Currency=USD","Period=FQ","BEST_FPERIOD_OVERRIDE=FQ","FILING_STATUS=MR","SCALING_FORMAT=MLN","Sort=A","Dates=H","DateFormat=P","Fill=—","Direction=H","UseDPDF=Y")</f>
        <v>7350</v>
      </c>
      <c r="L85" s="13">
        <f>_xll.BDH("WMT US Equity","BS_TOTAL_CAPITAL_LEASES","FQ4 2018","FQ4 2018","Currency=USD","Period=FQ","BEST_FPERIOD_OVERRIDE=FQ","FILING_STATUS=MR","SCALING_FORMAT=MLN","Sort=A","Dates=H","DateFormat=P","Fill=—","Direction=H","UseDPDF=Y")</f>
        <v>7447</v>
      </c>
      <c r="M85" s="13">
        <f>_xll.BDH("WMT US Equity","BS_TOTAL_CAPITAL_LEASES","FQ1 2019","FQ1 2019","Currency=USD","Period=FQ","BEST_FPERIOD_OVERRIDE=FQ","FILING_STATUS=MR","SCALING_FORMAT=MLN","Sort=A","Dates=H","DateFormat=P","Fill=—","Direction=H","UseDPDF=Y")</f>
        <v>7528</v>
      </c>
      <c r="N85" s="13">
        <f>_xll.BDH("WMT US Equity","BS_TOTAL_CAPITAL_LEASES","FQ2 2019","FQ2 2019","Currency=USD","Period=FQ","BEST_FPERIOD_OVERRIDE=FQ","FILING_STATUS=MR","SCALING_FORMAT=MLN","Sort=A","Dates=H","DateFormat=P","Fill=—","Direction=H","UseDPDF=Y")</f>
        <v>7304</v>
      </c>
      <c r="O85" s="13">
        <f>_xll.BDH("WMT US Equity","BS_TOTAL_CAPITAL_LEASES","FQ3 2019","FQ3 2019","Currency=USD","Period=FQ","BEST_FPERIOD_OVERRIDE=FQ","FILING_STATUS=MR","SCALING_FORMAT=MLN","Sort=A","Dates=H","DateFormat=P","Fill=—","Direction=H","UseDPDF=Y")</f>
        <v>7330</v>
      </c>
      <c r="P85" s="13">
        <f>_xll.BDH("WMT US Equity","BS_TOTAL_CAPITAL_LEASES","FQ4 2019","FQ4 2019","Currency=USD","Period=FQ","BEST_FPERIOD_OVERRIDE=FQ","FILING_STATUS=MR","SCALING_FORMAT=MLN","Sort=A","Dates=H","DateFormat=P","Fill=—","Direction=H","UseDPDF=Y")</f>
        <v>7412</v>
      </c>
      <c r="Q85" s="13">
        <f>_xll.BDH("WMT US Equity","BS_TOTAL_CAPITAL_LEASES","FQ1 2020","FQ1 2020","Currency=USD","Period=FQ","BEST_FPERIOD_OVERRIDE=FQ","FILING_STATUS=MR","SCALING_FORMAT=MLN","Sort=A","Dates=H","DateFormat=P","Fill=—","Direction=H","UseDPDF=Y")</f>
        <v>4245</v>
      </c>
      <c r="R85" s="13">
        <f>_xll.BDH("WMT US Equity","BS_TOTAL_CAPITAL_LEASES","FQ2 2020","FQ2 2020","Currency=USD","Period=FQ","BEST_FPERIOD_OVERRIDE=FQ","FILING_STATUS=MR","SCALING_FORMAT=MLN","Sort=A","Dates=H","DateFormat=P","Fill=—","Direction=H","UseDPDF=Y")</f>
        <v>4354</v>
      </c>
      <c r="S85" s="13">
        <f>_xll.BDH("WMT US Equity","BS_TOTAL_CAPITAL_LEASES","FQ3 2020","FQ3 2020","Currency=USD","Period=FQ","BEST_FPERIOD_OVERRIDE=FQ","FILING_STATUS=MR","SCALING_FORMAT=MLN","Sort=A","Dates=H","DateFormat=P","Fill=—","Direction=H","UseDPDF=Y")</f>
        <v>4536</v>
      </c>
      <c r="T85" s="13">
        <f>_xll.BDH("WMT US Equity","BS_TOTAL_CAPITAL_LEASES","FQ4 2020","FQ4 2020","Currency=USD","Period=FQ","BEST_FPERIOD_OVERRIDE=FQ","FILING_STATUS=MR","SCALING_FORMAT=MLN","Sort=A","Dates=H","DateFormat=P","Fill=—","Direction=H","UseDPDF=Y")</f>
        <v>4818</v>
      </c>
      <c r="U85" s="13">
        <f>_xll.BDH("WMT US Equity","BS_TOTAL_CAPITAL_LEASES","FQ1 2021","FQ1 2021","Currency=USD","Period=FQ","BEST_FPERIOD_OVERRIDE=FQ","FILING_STATUS=MR","SCALING_FORMAT=MLN","Sort=A","Dates=H","DateFormat=P","Fill=—","Direction=H","UseDPDF=Y")</f>
        <v>4997</v>
      </c>
      <c r="V85" s="13">
        <f>_xll.BDH("WMT US Equity","BS_TOTAL_CAPITAL_LEASES","FQ2 2021","FQ2 2021","Currency=USD","Period=FQ","BEST_FPERIOD_OVERRIDE=FQ","FILING_STATUS=MR","SCALING_FORMAT=MLN","Sort=A","Dates=H","DateFormat=P","Fill=—","Direction=H","UseDPDF=Y")</f>
        <v>5222</v>
      </c>
      <c r="W85" s="13">
        <f>_xll.BDH("WMT US Equity","BS_TOTAL_CAPITAL_LEASES","FQ3 2021","FQ3 2021","Currency=USD","Period=FQ","BEST_FPERIOD_OVERRIDE=FQ","FILING_STATUS=MR","SCALING_FORMAT=MLN","Sort=A","Dates=H","DateFormat=P","Fill=—","Direction=H","UseDPDF=Y")</f>
        <v>5324</v>
      </c>
      <c r="X85" s="13">
        <f>_xll.BDH("WMT US Equity","BS_TOTAL_CAPITAL_LEASES","FQ4 2021","FQ4 2021","Currency=USD","Period=FQ","BEST_FPERIOD_OVERRIDE=FQ","FILING_STATUS=MR","SCALING_FORMAT=MLN","Sort=A","Dates=H","DateFormat=P","Fill=—","Direction=H","UseDPDF=Y")</f>
        <v>4338</v>
      </c>
      <c r="Y85" s="13">
        <f>_xll.BDH("WMT US Equity","BS_TOTAL_CAPITAL_LEASES","FQ1 2022","FQ1 2022","Currency=USD","Period=FQ","BEST_FPERIOD_OVERRIDE=FQ","FILING_STATUS=MR","SCALING_FORMAT=MLN","Sort=A","Dates=H","DateFormat=P","Fill=—","Direction=H","UseDPDF=Y")</f>
        <v>4309</v>
      </c>
      <c r="Z85" s="13">
        <f>_xll.BDH("WMT US Equity","BS_TOTAL_CAPITAL_LEASES","FQ2 2022","FQ2 2022","Currency=USD","Period=FQ","BEST_FPERIOD_OVERRIDE=FQ","FILING_STATUS=MR","SCALING_FORMAT=MLN","Sort=A","Dates=H","DateFormat=P","Fill=—","Direction=H","UseDPDF=Y")</f>
        <v>4453</v>
      </c>
      <c r="AA85" s="13">
        <f>_xll.BDH("WMT US Equity","BS_TOTAL_CAPITAL_LEASES","FQ3 2022","FQ3 2022","Currency=USD","Period=FQ","BEST_FPERIOD_OVERRIDE=FQ","FILING_STATUS=MR","SCALING_FORMAT=MLN","Sort=A","Dates=H","DateFormat=P","Fill=—","Direction=H","UseDPDF=Y")</f>
        <v>4569</v>
      </c>
      <c r="AB85" s="13">
        <f>_xll.BDH("WMT US Equity","BS_TOTAL_CAPITAL_LEASES","FQ4 2022","FQ4 2022","Currency=USD","Period=FQ","BEST_FPERIOD_OVERRIDE=FQ","FILING_STATUS=MR","SCALING_FORMAT=MLN","Sort=A","Dates=H","DateFormat=P","Fill=—","Direction=H","UseDPDF=Y")</f>
        <v>4754</v>
      </c>
      <c r="AC85" s="13">
        <f>_xll.BDH("WMT US Equity","BS_TOTAL_CAPITAL_LEASES","FQ1 2023","FQ1 2023","Currency=USD","Period=FQ","BEST_FPERIOD_OVERRIDE=FQ","FILING_STATUS=MR","SCALING_FORMAT=MLN","Sort=A","Dates=H","DateFormat=P","Fill=—","Direction=H","UseDPDF=Y")</f>
        <v>4920</v>
      </c>
      <c r="AD85" s="13">
        <f>_xll.BDH("WMT US Equity","BS_TOTAL_CAPITAL_LEASES","FQ2 2023","FQ2 2023","Currency=USD","Period=FQ","BEST_FPERIOD_OVERRIDE=FQ","FILING_STATUS=MR","SCALING_FORMAT=MLN","Sort=A","Dates=H","DateFormat=P","Fill=—","Direction=H","UseDPDF=Y")</f>
        <v>4954</v>
      </c>
      <c r="AE85" s="13">
        <f>_xll.BDH("WMT US Equity","BS_TOTAL_CAPITAL_LEASES","FQ3 2023","FQ3 2023","Currency=USD","Period=FQ","BEST_FPERIOD_OVERRIDE=FQ","FILING_STATUS=MR","SCALING_FORMAT=MLN","Sort=A","Dates=H","DateFormat=P","Fill=—","Direction=H","UseDPDF=Y")</f>
        <v>5061</v>
      </c>
      <c r="AF85" s="13">
        <f>_xll.BDH("WMT US Equity","BS_TOTAL_CAPITAL_LEASES","FQ4 2023","FQ4 2023","Currency=USD","Period=FQ","BEST_FPERIOD_OVERRIDE=FQ","FILING_STATUS=MR","SCALING_FORMAT=MLN","Sort=A","Dates=H","DateFormat=P","Fill=—","Direction=H","UseDPDF=Y")</f>
        <v>5410</v>
      </c>
      <c r="AG85" s="13">
        <f>_xll.BDH("WMT US Equity","BS_TOTAL_CAPITAL_LEASES","FQ1 2024","FQ1 2024","Currency=USD","Period=FQ","BEST_FPERIOD_OVERRIDE=FQ","FILING_STATUS=MR","SCALING_FORMAT=MLN","Sort=A","Dates=H","DateFormat=P","Fill=—","Direction=H","UseDPDF=Y")</f>
        <v>5646</v>
      </c>
      <c r="AH85" s="13">
        <f>_xll.BDH("WMT US Equity","BS_TOTAL_CAPITAL_LEASES","FQ2 2024","FQ2 2024","Currency=USD","Period=FQ","BEST_FPERIOD_OVERRIDE=FQ","FILING_STATUS=MR","SCALING_FORMAT=MLN","Sort=A","Dates=H","DateFormat=P","Fill=—","Direction=H","UseDPDF=Y")</f>
        <v>6102</v>
      </c>
      <c r="AI85" s="13">
        <f>_xll.BDH("WMT US Equity","BS_TOTAL_CAPITAL_LEASES","FQ3 2024","FQ3 2024","Currency=USD","Period=FQ","BEST_FPERIOD_OVERRIDE=FQ","FILING_STATUS=MR","SCALING_FORMAT=MLN","Sort=A","Dates=H","DateFormat=P","Fill=—","Direction=H","UseDPDF=Y")</f>
        <v>6358</v>
      </c>
      <c r="AJ85" s="13">
        <f>_xll.BDH("WMT US Equity","BS_TOTAL_CAPITAL_LEASES","FQ4 2024","FQ4 2024","Currency=USD","Period=FQ","BEST_FPERIOD_OVERRIDE=FQ","FILING_STATUS=MR","SCALING_FORMAT=MLN","Sort=A","Dates=H","DateFormat=P","Fill=—","Direction=H","UseDPDF=Y")</f>
        <v>6434</v>
      </c>
      <c r="AK85" s="13">
        <f>_xll.BDH("WMT US Equity","BS_TOTAL_CAPITAL_LEASES","FQ1 2025","FQ1 2025","Currency=USD","Period=FQ","BEST_FPERIOD_OVERRIDE=FQ","FILING_STATUS=MR","SCALING_FORMAT=MLN","Sort=A","Dates=H","DateFormat=P","Fill=—","Direction=H","UseDPDF=Y")</f>
        <v>6891</v>
      </c>
      <c r="AL85" s="13">
        <f>_xll.BDH("WMT US Equity","BS_TOTAL_CAPITAL_LEASES","FQ2 2025","FQ2 2025","Currency=USD","Period=FQ","BEST_FPERIOD_OVERRIDE=FQ","FILING_STATUS=MR","SCALING_FORMAT=MLN","Sort=A","Dates=H","DateFormat=P","Fill=—","Direction=H","UseDPDF=Y")</f>
        <v>6947</v>
      </c>
      <c r="AM85" s="13">
        <f>_xll.BDH("WMT US Equity","BS_TOTAL_CAPITAL_LEASES","FQ3 2025","FQ3 2025","Currency=USD","Period=FQ","BEST_FPERIOD_OVERRIDE=FQ","FILING_STATUS=MR","SCALING_FORMAT=MLN","Sort=A","Dates=H","DateFormat=P","Fill=—","Direction=H","UseDPDF=Y")</f>
        <v>6845</v>
      </c>
      <c r="AN85" s="13">
        <f>_xll.BDH("WMT US Equity","BS_TOTAL_CAPITAL_LEASES","FQ4 2025","FQ4 2025","Currency=USD","Period=FQ","BEST_FPERIOD_OVERRIDE=FQ","FILING_STATUS=MR","SCALING_FORMAT=MLN","Sort=A","Dates=H","DateFormat=P","Fill=—","Direction=H","UseDPDF=Y")</f>
        <v>6723</v>
      </c>
      <c r="AO85" s="13">
        <f>_xll.BDH("WMT US Equity","BS_TOTAL_CAPITAL_LEASES","FQ1 2026","FQ1 2026","Currency=USD","Period=FQ","BEST_FPERIOD_OVERRIDE=FQ","FILING_STATUS=MR","SCALING_FORMAT=MLN","Sort=A","Dates=H","DateFormat=P","Fill=—","Direction=H","UseDPDF=Y")</f>
        <v>6669</v>
      </c>
      <c r="AP85" s="13">
        <f>_xll.BDH("WMT US Equity","BS_TOTAL_CAPITAL_LEASES","FQ2 2026","FQ2 2026","Currency=USD","Period=FQ","BEST_FPERIOD_OVERRIDE=FQ","FILING_STATUS=MR","SCALING_FORMAT=MLN","Sort=A","Dates=H","DateFormat=P","Fill=—","Direction=H","UseDPDF=Y")</f>
        <v>6775</v>
      </c>
    </row>
    <row r="86" spans="1:42" x14ac:dyDescent="0.3">
      <c r="A86" s="10" t="s">
        <v>175</v>
      </c>
      <c r="B86" s="10" t="s">
        <v>176</v>
      </c>
      <c r="C86" s="13">
        <f>_xll.BDH("WMT US Equity","NET_DEBT","FQ3 2016","FQ3 2016","Currency=USD","Period=FQ","BEST_FPERIOD_OVERRIDE=FQ","FILING_STATUS=MR","SCALING_FORMAT=MLN","Sort=A","Dates=H","DateFormat=P","Fill=—","Direction=H","UseDPDF=Y")</f>
        <v>41532</v>
      </c>
      <c r="D86" s="13">
        <f>_xll.BDH("WMT US Equity","NET_DEBT","FQ4 2016","FQ4 2016","Currency=USD","Period=FQ","BEST_FPERIOD_OVERRIDE=FQ","FILING_STATUS=MR","SCALING_FORMAT=MLN","Sort=A","Dates=H","DateFormat=P","Fill=—","Direction=H","UseDPDF=Y")</f>
        <v>37685</v>
      </c>
      <c r="E86" s="13">
        <f>_xll.BDH("WMT US Equity","NET_DEBT","FQ1 2017","FQ1 2017","Currency=USD","Period=FQ","BEST_FPERIOD_OVERRIDE=FQ","FILING_STATUS=MR","SCALING_FORMAT=MLN","Sort=A","Dates=H","DateFormat=P","Fill=—","Direction=H","UseDPDF=Y")</f>
        <v>38678</v>
      </c>
      <c r="F86" s="13">
        <f>_xll.BDH("WMT US Equity","NET_DEBT","FQ2 2017","FQ2 2017","Currency=USD","Period=FQ","BEST_FPERIOD_OVERRIDE=FQ","FILING_STATUS=MR","SCALING_FORMAT=MLN","Sort=A","Dates=H","DateFormat=P","Fill=—","Direction=H","UseDPDF=Y")</f>
        <v>36410</v>
      </c>
      <c r="G86" s="13">
        <f>_xll.BDH("WMT US Equity","NET_DEBT","FQ3 2017","FQ3 2017","Currency=USD","Period=FQ","BEST_FPERIOD_OVERRIDE=FQ","FILING_STATUS=MR","SCALING_FORMAT=MLN","Sort=A","Dates=H","DateFormat=P","Fill=—","Direction=H","UseDPDF=Y")</f>
        <v>40924</v>
      </c>
      <c r="H86" s="13">
        <f>_xll.BDH("WMT US Equity","NET_DEBT","FQ4 2017","FQ4 2017","Currency=USD","Period=FQ","BEST_FPERIOD_OVERRIDE=FQ","FILING_STATUS=MR","SCALING_FORMAT=MLN","Sort=A","Dates=H","DateFormat=P","Fill=—","Direction=H","UseDPDF=Y")</f>
        <v>35862</v>
      </c>
      <c r="I86" s="13">
        <f>_xll.BDH("WMT US Equity","NET_DEBT","FQ1 2018","FQ1 2018","Currency=USD","Period=FQ","BEST_FPERIOD_OVERRIDE=FQ","FILING_STATUS=MR","SCALING_FORMAT=MLN","Sort=A","Dates=H","DateFormat=P","Fill=—","Direction=H","UseDPDF=Y")</f>
        <v>36624</v>
      </c>
      <c r="J86" s="13">
        <f>_xll.BDH("WMT US Equity","NET_DEBT","FQ2 2018","FQ2 2018","Currency=USD","Period=FQ","BEST_FPERIOD_OVERRIDE=FQ","FILING_STATUS=MR","SCALING_FORMAT=MLN","Sort=A","Dates=H","DateFormat=P","Fill=—","Direction=H","UseDPDF=Y")</f>
        <v>36730</v>
      </c>
      <c r="K86" s="13">
        <f>_xll.BDH("WMT US Equity","NET_DEBT","FQ3 2018","FQ3 2018","Currency=USD","Period=FQ","BEST_FPERIOD_OVERRIDE=FQ","FILING_STATUS=MR","SCALING_FORMAT=MLN","Sort=A","Dates=H","DateFormat=P","Fill=—","Direction=H","UseDPDF=Y")</f>
        <v>38478</v>
      </c>
      <c r="L86" s="13">
        <f>_xll.BDH("WMT US Equity","NET_DEBT","FQ4 2018","FQ4 2018","Currency=USD","Period=FQ","BEST_FPERIOD_OVERRIDE=FQ","FILING_STATUS=MR","SCALING_FORMAT=MLN","Sort=A","Dates=H","DateFormat=P","Fill=—","Direction=H","UseDPDF=Y")</f>
        <v>35690</v>
      </c>
      <c r="M86" s="13">
        <f>_xll.BDH("WMT US Equity","NET_DEBT","FQ1 2019","FQ1 2019","Currency=USD","Period=FQ","BEST_FPERIOD_OVERRIDE=FQ","FILING_STATUS=MR","SCALING_FORMAT=MLN","Sort=A","Dates=H","DateFormat=P","Fill=—","Direction=H","UseDPDF=Y")</f>
        <v>34483</v>
      </c>
      <c r="N86" s="13">
        <f>_xll.BDH("WMT US Equity","NET_DEBT","FQ2 2019","FQ2 2019","Currency=USD","Period=FQ","BEST_FPERIOD_OVERRIDE=FQ","FILING_STATUS=MR","SCALING_FORMAT=MLN","Sort=A","Dates=H","DateFormat=P","Fill=—","Direction=H","UseDPDF=Y")</f>
        <v>34120</v>
      </c>
      <c r="O86" s="13">
        <f>_xll.BDH("WMT US Equity","NET_DEBT","FQ3 2019","FQ3 2019","Currency=USD","Period=FQ","BEST_FPERIOD_OVERRIDE=FQ","FILING_STATUS=MR","SCALING_FORMAT=MLN","Sort=A","Dates=H","DateFormat=P","Fill=—","Direction=H","UseDPDF=Y")</f>
        <v>48082</v>
      </c>
      <c r="P86" s="13">
        <f>_xll.BDH("WMT US Equity","NET_DEBT","FQ4 2019","FQ4 2019","Currency=USD","Period=FQ","BEST_FPERIOD_OVERRIDE=FQ","FILING_STATUS=MR","SCALING_FORMAT=MLN","Sort=A","Dates=H","DateFormat=P","Fill=—","Direction=H","UseDPDF=Y")</f>
        <v>46448</v>
      </c>
      <c r="Q86" s="13">
        <f>_xll.BDH("WMT US Equity","NET_DEBT","FQ1 2020","FQ1 2020","Currency=USD","Period=FQ","BEST_FPERIOD_OVERRIDE=FQ","FILING_STATUS=MR","SCALING_FORMAT=MLN","Sort=A","Dates=H","DateFormat=P","Fill=—","Direction=H","UseDPDF=Y")</f>
        <v>62380</v>
      </c>
      <c r="R86" s="13">
        <f>_xll.BDH("WMT US Equity","NET_DEBT","FQ2 2020","FQ2 2020","Currency=USD","Period=FQ","BEST_FPERIOD_OVERRIDE=FQ","FILING_STATUS=MR","SCALING_FORMAT=MLN","Sort=A","Dates=H","DateFormat=P","Fill=—","Direction=H","UseDPDF=Y")</f>
        <v>61719</v>
      </c>
      <c r="S86" s="13">
        <f>_xll.BDH("WMT US Equity","NET_DEBT","FQ3 2020","FQ3 2020","Currency=USD","Period=FQ","BEST_FPERIOD_OVERRIDE=FQ","FILING_STATUS=MR","SCALING_FORMAT=MLN","Sort=A","Dates=H","DateFormat=P","Fill=—","Direction=H","UseDPDF=Y")</f>
        <v>63512</v>
      </c>
      <c r="T86" s="13">
        <f>_xll.BDH("WMT US Equity","NET_DEBT","FQ4 2020","FQ4 2020","Currency=USD","Period=FQ","BEST_FPERIOD_OVERRIDE=FQ","FILING_STATUS=MR","SCALING_FORMAT=MLN","Sort=A","Dates=H","DateFormat=P","Fill=—","Direction=H","UseDPDF=Y")</f>
        <v>62968</v>
      </c>
      <c r="U86" s="13">
        <f>_xll.BDH("WMT US Equity","NET_DEBT","FQ1 2021","FQ1 2021","Currency=USD","Period=FQ","BEST_FPERIOD_OVERRIDE=FQ","FILING_STATUS=MR","SCALING_FORMAT=MLN","Sort=A","Dates=H","DateFormat=P","Fill=—","Direction=H","UseDPDF=Y")</f>
        <v>60502</v>
      </c>
      <c r="V86" s="13">
        <f>_xll.BDH("WMT US Equity","NET_DEBT","FQ2 2021","FQ2 2021","Currency=USD","Period=FQ","BEST_FPERIOD_OVERRIDE=FQ","FILING_STATUS=MR","SCALING_FORMAT=MLN","Sort=A","Dates=H","DateFormat=P","Fill=—","Direction=H","UseDPDF=Y")</f>
        <v>52588</v>
      </c>
      <c r="W86" s="13">
        <f>_xll.BDH("WMT US Equity","NET_DEBT","FQ3 2021","FQ3 2021","Currency=USD","Period=FQ","BEST_FPERIOD_OVERRIDE=FQ","FILING_STATUS=MR","SCALING_FORMAT=MLN","Sort=A","Dates=H","DateFormat=P","Fill=—","Direction=H","UseDPDF=Y")</f>
        <v>54153</v>
      </c>
      <c r="X86" s="13">
        <f>_xll.BDH("WMT US Equity","NET_DEBT","FQ4 2021","FQ4 2021","Currency=USD","Period=FQ","BEST_FPERIOD_OVERRIDE=FQ","FILING_STATUS=MR","SCALING_FORMAT=MLN","Sort=A","Dates=H","DateFormat=P","Fill=—","Direction=H","UseDPDF=Y")</f>
        <v>45505</v>
      </c>
      <c r="Y86" s="13">
        <f>_xll.BDH("WMT US Equity","NET_DEBT","FQ1 2022","FQ1 2022","Currency=USD","Period=FQ","BEST_FPERIOD_OVERRIDE=FQ","FILING_STATUS=MR","SCALING_FORMAT=MLN","Sort=A","Dates=H","DateFormat=P","Fill=—","Direction=H","UseDPDF=Y")</f>
        <v>39976</v>
      </c>
      <c r="Z86" s="13">
        <f>_xll.BDH("WMT US Equity","NET_DEBT","FQ2 2022","FQ2 2022","Currency=USD","Period=FQ","BEST_FPERIOD_OVERRIDE=FQ","FILING_STATUS=MR","SCALING_FORMAT=MLN","Sort=A","Dates=H","DateFormat=P","Fill=—","Direction=H","UseDPDF=Y")</f>
        <v>38048</v>
      </c>
      <c r="AA86" s="13">
        <f>_xll.BDH("WMT US Equity","NET_DEBT","FQ3 2022","FQ3 2022","Currency=USD","Period=FQ","BEST_FPERIOD_OVERRIDE=FQ","FILING_STATUS=MR","SCALING_FORMAT=MLN","Sort=A","Dates=H","DateFormat=P","Fill=—","Direction=H","UseDPDF=Y")</f>
        <v>41486</v>
      </c>
      <c r="AB86" s="13">
        <f>_xll.BDH("WMT US Equity","NET_DEBT","FQ4 2022","FQ4 2022","Currency=USD","Period=FQ","BEST_FPERIOD_OVERRIDE=FQ","FILING_STATUS=MR","SCALING_FORMAT=MLN","Sort=A","Dates=H","DateFormat=P","Fill=—","Direction=H","UseDPDF=Y")</f>
        <v>42563</v>
      </c>
      <c r="AC86" s="13">
        <f>_xll.BDH("WMT US Equity","NET_DEBT","FQ1 2023","FQ1 2023","Currency=USD","Period=FQ","BEST_FPERIOD_OVERRIDE=FQ","FILING_STATUS=MR","SCALING_FORMAT=MLN","Sort=A","Dates=H","DateFormat=P","Fill=—","Direction=H","UseDPDF=Y")</f>
        <v>55000</v>
      </c>
      <c r="AD86" s="13">
        <f>_xll.BDH("WMT US Equity","NET_DEBT","FQ2 2023","FQ2 2023","Currency=USD","Period=FQ","BEST_FPERIOD_OVERRIDE=FQ","FILING_STATUS=MR","SCALING_FORMAT=MLN","Sort=A","Dates=H","DateFormat=P","Fill=—","Direction=H","UseDPDF=Y")</f>
        <v>51386</v>
      </c>
      <c r="AE86" s="13">
        <f>_xll.BDH("WMT US Equity","NET_DEBT","FQ3 2023","FQ3 2023","Currency=USD","Period=FQ","BEST_FPERIOD_OVERRIDE=FQ","FILING_STATUS=MR","SCALING_FORMAT=MLN","Sort=A","Dates=H","DateFormat=P","Fill=—","Direction=H","UseDPDF=Y")</f>
        <v>53793</v>
      </c>
      <c r="AF86" s="13">
        <f>_xll.BDH("WMT US Equity","NET_DEBT","FQ4 2023","FQ4 2023","Currency=USD","Period=FQ","BEST_FPERIOD_OVERRIDE=FQ","FILING_STATUS=MR","SCALING_FORMAT=MLN","Sort=A","Dates=H","DateFormat=P","Fill=—","Direction=H","UseDPDF=Y")</f>
        <v>50298</v>
      </c>
      <c r="AG86" s="13">
        <f>_xll.BDH("WMT US Equity","NET_DEBT","FQ1 2024","FQ1 2024","Currency=USD","Period=FQ","BEST_FPERIOD_OVERRIDE=FQ","FILING_STATUS=MR","SCALING_FORMAT=MLN","Sort=A","Dates=H","DateFormat=P","Fill=—","Direction=H","UseDPDF=Y")</f>
        <v>53292</v>
      </c>
      <c r="AH86" s="13">
        <f>_xll.BDH("WMT US Equity","NET_DEBT","FQ2 2024","FQ2 2024","Currency=USD","Period=FQ","BEST_FPERIOD_OVERRIDE=FQ","FILING_STATUS=MR","SCALING_FORMAT=MLN","Sort=A","Dates=H","DateFormat=P","Fill=—","Direction=H","UseDPDF=Y")</f>
        <v>50913</v>
      </c>
      <c r="AI86" s="13">
        <f>_xll.BDH("WMT US Equity","NET_DEBT","FQ3 2024","FQ3 2024","Currency=USD","Period=FQ","BEST_FPERIOD_OVERRIDE=FQ","FILING_STATUS=MR","SCALING_FORMAT=MLN","Sort=A","Dates=H","DateFormat=P","Fill=—","Direction=H","UseDPDF=Y")</f>
        <v>57585</v>
      </c>
      <c r="AJ86" s="13">
        <f>_xll.BDH("WMT US Equity","NET_DEBT","FQ4 2024","FQ4 2024","Currency=USD","Period=FQ","BEST_FPERIOD_OVERRIDE=FQ","FILING_STATUS=MR","SCALING_FORMAT=MLN","Sort=A","Dates=H","DateFormat=P","Fill=—","Direction=H","UseDPDF=Y")</f>
        <v>51454</v>
      </c>
      <c r="AK86" s="13">
        <f>_xll.BDH("WMT US Equity","NET_DEBT","FQ1 2025","FQ1 2025","Currency=USD","Period=FQ","BEST_FPERIOD_OVERRIDE=FQ","FILING_STATUS=MR","SCALING_FORMAT=MLN","Sort=A","Dates=H","DateFormat=P","Fill=—","Direction=H","UseDPDF=Y")</f>
        <v>55058</v>
      </c>
      <c r="AL86" s="13">
        <f>_xll.BDH("WMT US Equity","NET_DEBT","FQ2 2025","FQ2 2025","Currency=USD","Period=FQ","BEST_FPERIOD_OVERRIDE=FQ","FILING_STATUS=MR","SCALING_FORMAT=MLN","Sort=A","Dates=H","DateFormat=P","Fill=—","Direction=H","UseDPDF=Y")</f>
        <v>52494</v>
      </c>
      <c r="AM86" s="13">
        <f>_xll.BDH("WMT US Equity","NET_DEBT","FQ3 2025","FQ3 2025","Currency=USD","Period=FQ","BEST_FPERIOD_OVERRIDE=FQ","FILING_STATUS=MR","SCALING_FORMAT=MLN","Sort=A","Dates=H","DateFormat=P","Fill=—","Direction=H","UseDPDF=Y")</f>
        <v>51700</v>
      </c>
      <c r="AN86" s="13">
        <f>_xll.BDH("WMT US Equity","NET_DEBT","FQ4 2025","FQ4 2025","Currency=USD","Period=FQ","BEST_FPERIOD_OVERRIDE=FQ","FILING_STATUS=MR","SCALING_FORMAT=MLN","Sort=A","Dates=H","DateFormat=P","Fill=—","Direction=H","UseDPDF=Y")</f>
        <v>51077</v>
      </c>
      <c r="AO86" s="13">
        <f>_xll.BDH("WMT US Equity","NET_DEBT","FQ1 2026","FQ1 2026","Currency=USD","Period=FQ","BEST_FPERIOD_OVERRIDE=FQ","FILING_STATUS=MR","SCALING_FORMAT=MLN","Sort=A","Dates=H","DateFormat=P","Fill=—","Direction=H","UseDPDF=Y")</f>
        <v>57894</v>
      </c>
      <c r="AP86" s="13">
        <f>_xll.BDH("WMT US Equity","NET_DEBT","FQ2 2026","FQ2 2026","Currency=USD","Period=FQ","BEST_FPERIOD_OVERRIDE=FQ","FILING_STATUS=MR","SCALING_FORMAT=MLN","Sort=A","Dates=H","DateFormat=P","Fill=—","Direction=H","UseDPDF=Y")</f>
        <v>55583</v>
      </c>
    </row>
    <row r="87" spans="1:42" x14ac:dyDescent="0.3">
      <c r="A87" s="10" t="s">
        <v>177</v>
      </c>
      <c r="B87" s="10" t="s">
        <v>178</v>
      </c>
      <c r="C87" s="14">
        <f>_xll.BDH("WMT US Equity","NET_DEBT_TO_SHRHLDR_EQTY","FQ3 2016","FQ3 2016","Currency=USD","Period=FQ","BEST_FPERIOD_OVERRIDE=FQ","FILING_STATUS=MR","Sort=A","Dates=H","DateFormat=P","Fill=—","Direction=H","UseDPDF=Y")</f>
        <v>50.262599999999999</v>
      </c>
      <c r="D87" s="14">
        <f>_xll.BDH("WMT US Equity","NET_DEBT_TO_SHRHLDR_EQTY","FQ4 2016","FQ4 2016","Currency=USD","Period=FQ","BEST_FPERIOD_OVERRIDE=FQ","FILING_STATUS=MR","Sort=A","Dates=H","DateFormat=P","Fill=—","Direction=H","UseDPDF=Y")</f>
        <v>45.071800000000003</v>
      </c>
      <c r="E87" s="14">
        <f>_xll.BDH("WMT US Equity","NET_DEBT_TO_SHRHLDR_EQTY","FQ1 2017","FQ1 2017","Currency=USD","Period=FQ","BEST_FPERIOD_OVERRIDE=FQ","FILING_STATUS=MR","Sort=A","Dates=H","DateFormat=P","Fill=—","Direction=H","UseDPDF=Y")</f>
        <v>49.741500000000002</v>
      </c>
      <c r="F87" s="14">
        <f>_xll.BDH("WMT US Equity","NET_DEBT_TO_SHRHLDR_EQTY","FQ2 2017","FQ2 2017","Currency=USD","Period=FQ","BEST_FPERIOD_OVERRIDE=FQ","FILING_STATUS=MR","Sort=A","Dates=H","DateFormat=P","Fill=—","Direction=H","UseDPDF=Y")</f>
        <v>46.004800000000003</v>
      </c>
      <c r="G87" s="14">
        <f>_xll.BDH("WMT US Equity","NET_DEBT_TO_SHRHLDR_EQTY","FQ3 2017","FQ3 2017","Currency=USD","Period=FQ","BEST_FPERIOD_OVERRIDE=FQ","FILING_STATUS=MR","Sort=A","Dates=H","DateFormat=P","Fill=—","Direction=H","UseDPDF=Y")</f>
        <v>50.853099999999998</v>
      </c>
      <c r="H87" s="14">
        <f>_xll.BDH("WMT US Equity","NET_DEBT_TO_SHRHLDR_EQTY","FQ4 2017","FQ4 2017","Currency=USD","Period=FQ","BEST_FPERIOD_OVERRIDE=FQ","FILING_STATUS=MR","Sort=A","Dates=H","DateFormat=P","Fill=—","Direction=H","UseDPDF=Y")</f>
        <v>44.529699999999998</v>
      </c>
      <c r="I87" s="14">
        <f>_xll.BDH("WMT US Equity","NET_DEBT_TO_SHRHLDR_EQTY","FQ1 2018","FQ1 2018","Currency=USD","Period=FQ","BEST_FPERIOD_OVERRIDE=FQ","FILING_STATUS=MR","Sort=A","Dates=H","DateFormat=P","Fill=—","Direction=H","UseDPDF=Y")</f>
        <v>48.1173</v>
      </c>
      <c r="J87" s="14">
        <f>_xll.BDH("WMT US Equity","NET_DEBT_TO_SHRHLDR_EQTY","FQ2 2018","FQ2 2018","Currency=USD","Period=FQ","BEST_FPERIOD_OVERRIDE=FQ","FILING_STATUS=MR","Sort=A","Dates=H","DateFormat=P","Fill=—","Direction=H","UseDPDF=Y")</f>
        <v>46.4666</v>
      </c>
      <c r="K87" s="14">
        <f>_xll.BDH("WMT US Equity","NET_DEBT_TO_SHRHLDR_EQTY","FQ3 2018","FQ3 2018","Currency=USD","Period=FQ","BEST_FPERIOD_OVERRIDE=FQ","FILING_STATUS=MR","Sort=A","Dates=H","DateFormat=P","Fill=—","Direction=H","UseDPDF=Y")</f>
        <v>48.764400000000002</v>
      </c>
      <c r="L87" s="14">
        <f>_xll.BDH("WMT US Equity","NET_DEBT_TO_SHRHLDR_EQTY","FQ4 2018","FQ4 2018","Currency=USD","Period=FQ","BEST_FPERIOD_OVERRIDE=FQ","FILING_STATUS=MR","Sort=A","Dates=H","DateFormat=P","Fill=—","Direction=H","UseDPDF=Y")</f>
        <v>44.158799999999999</v>
      </c>
      <c r="M87" s="14">
        <f>_xll.BDH("WMT US Equity","NET_DEBT_TO_SHRHLDR_EQTY","FQ1 2019","FQ1 2019","Currency=USD","Period=FQ","BEST_FPERIOD_OVERRIDE=FQ","FILING_STATUS=MR","Sort=A","Dates=H","DateFormat=P","Fill=—","Direction=H","UseDPDF=Y")</f>
        <v>44.0261</v>
      </c>
      <c r="N87" s="14">
        <f>_xll.BDH("WMT US Equity","NET_DEBT_TO_SHRHLDR_EQTY","FQ2 2019","FQ2 2019","Currency=USD","Period=FQ","BEST_FPERIOD_OVERRIDE=FQ","FILING_STATUS=MR","Sort=A","Dates=H","DateFormat=P","Fill=—","Direction=H","UseDPDF=Y")</f>
        <v>46.225499999999997</v>
      </c>
      <c r="O87" s="14">
        <f>_xll.BDH("WMT US Equity","NET_DEBT_TO_SHRHLDR_EQTY","FQ3 2019","FQ3 2019","Currency=USD","Period=FQ","BEST_FPERIOD_OVERRIDE=FQ","FILING_STATUS=MR","Sort=A","Dates=H","DateFormat=P","Fill=—","Direction=H","UseDPDF=Y")</f>
        <v>60.504100000000001</v>
      </c>
      <c r="P87" s="14">
        <f>_xll.BDH("WMT US Equity","NET_DEBT_TO_SHRHLDR_EQTY","FQ4 2019","FQ4 2019","Currency=USD","Period=FQ","BEST_FPERIOD_OVERRIDE=FQ","FILING_STATUS=MR","Sort=A","Dates=H","DateFormat=P","Fill=—","Direction=H","UseDPDF=Y")</f>
        <v>58.326799999999999</v>
      </c>
      <c r="Q87" s="14">
        <f>_xll.BDH("WMT US Equity","NET_DEBT_TO_SHRHLDR_EQTY","FQ1 2020","FQ1 2020","Currency=USD","Period=FQ","BEST_FPERIOD_OVERRIDE=FQ","FILING_STATUS=MR","Sort=A","Dates=H","DateFormat=P","Fill=—","Direction=H","UseDPDF=Y")</f>
        <v>83.273300000000006</v>
      </c>
      <c r="R87" s="14">
        <f>_xll.BDH("WMT US Equity","NET_DEBT_TO_SHRHLDR_EQTY","FQ2 2020","FQ2 2020","Currency=USD","Period=FQ","BEST_FPERIOD_OVERRIDE=FQ","FILING_STATUS=MR","Sort=A","Dates=H","DateFormat=P","Fill=—","Direction=H","UseDPDF=Y")</f>
        <v>80.0184</v>
      </c>
      <c r="S87" s="14">
        <f>_xll.BDH("WMT US Equity","NET_DEBT_TO_SHRHLDR_EQTY","FQ3 2020","FQ3 2020","Currency=USD","Period=FQ","BEST_FPERIOD_OVERRIDE=FQ","FILING_STATUS=MR","Sort=A","Dates=H","DateFormat=P","Fill=—","Direction=H","UseDPDF=Y")</f>
        <v>81.106399999999994</v>
      </c>
      <c r="T87" s="14">
        <f>_xll.BDH("WMT US Equity","NET_DEBT_TO_SHRHLDR_EQTY","FQ4 2020","FQ4 2020","Currency=USD","Period=FQ","BEST_FPERIOD_OVERRIDE=FQ","FILING_STATUS=MR","Sort=A","Dates=H","DateFormat=P","Fill=—","Direction=H","UseDPDF=Y")</f>
        <v>77.212100000000007</v>
      </c>
      <c r="U87" s="14">
        <f>_xll.BDH("WMT US Equity","NET_DEBT_TO_SHRHLDR_EQTY","FQ1 2021","FQ1 2021","Currency=USD","Period=FQ","BEST_FPERIOD_OVERRIDE=FQ","FILING_STATUS=MR","Sort=A","Dates=H","DateFormat=P","Fill=—","Direction=H","UseDPDF=Y")</f>
        <v>81.638099999999994</v>
      </c>
      <c r="V87" s="14">
        <f>_xll.BDH("WMT US Equity","NET_DEBT_TO_SHRHLDR_EQTY","FQ2 2021","FQ2 2021","Currency=USD","Period=FQ","BEST_FPERIOD_OVERRIDE=FQ","FILING_STATUS=MR","Sort=A","Dates=H","DateFormat=P","Fill=—","Direction=H","UseDPDF=Y")</f>
        <v>64.765900000000002</v>
      </c>
      <c r="W87" s="14">
        <f>_xll.BDH("WMT US Equity","NET_DEBT_TO_SHRHLDR_EQTY","FQ3 2021","FQ3 2021","Currency=USD","Period=FQ","BEST_FPERIOD_OVERRIDE=FQ","FILING_STATUS=MR","Sort=A","Dates=H","DateFormat=P","Fill=—","Direction=H","UseDPDF=Y")</f>
        <v>61.886299999999999</v>
      </c>
      <c r="X87" s="14">
        <f>_xll.BDH("WMT US Equity","NET_DEBT_TO_SHRHLDR_EQTY","FQ4 2021","FQ4 2021","Currency=USD","Period=FQ","BEST_FPERIOD_OVERRIDE=FQ","FILING_STATUS=MR","Sort=A","Dates=H","DateFormat=P","Fill=—","Direction=H","UseDPDF=Y")</f>
        <v>51.987299999999998</v>
      </c>
      <c r="Y87" s="14">
        <f>_xll.BDH("WMT US Equity","NET_DEBT_TO_SHRHLDR_EQTY","FQ1 2022","FQ1 2022","Currency=USD","Period=FQ","BEST_FPERIOD_OVERRIDE=FQ","FILING_STATUS=MR","Sort=A","Dates=H","DateFormat=P","Fill=—","Direction=H","UseDPDF=Y")</f>
        <v>47.257399999999997</v>
      </c>
      <c r="Z87" s="14">
        <f>_xll.BDH("WMT US Equity","NET_DEBT_TO_SHRHLDR_EQTY","FQ2 2022","FQ2 2022","Currency=USD","Period=FQ","BEST_FPERIOD_OVERRIDE=FQ","FILING_STATUS=MR","Sort=A","Dates=H","DateFormat=P","Fill=—","Direction=H","UseDPDF=Y")</f>
        <v>43.669600000000003</v>
      </c>
      <c r="AA87" s="14">
        <f>_xll.BDH("WMT US Equity","NET_DEBT_TO_SHRHLDR_EQTY","FQ3 2022","FQ3 2022","Currency=USD","Period=FQ","BEST_FPERIOD_OVERRIDE=FQ","FILING_STATUS=MR","Sort=A","Dates=H","DateFormat=P","Fill=—","Direction=H","UseDPDF=Y")</f>
        <v>45.711100000000002</v>
      </c>
      <c r="AB87" s="14">
        <f>_xll.BDH("WMT US Equity","NET_DEBT_TO_SHRHLDR_EQTY","FQ4 2022","FQ4 2022","Currency=USD","Period=FQ","BEST_FPERIOD_OVERRIDE=FQ","FILING_STATUS=MR","Sort=A","Dates=H","DateFormat=P","Fill=—","Direction=H","UseDPDF=Y")</f>
        <v>46.319000000000003</v>
      </c>
      <c r="AC87" s="14">
        <f>_xll.BDH("WMT US Equity","NET_DEBT_TO_SHRHLDR_EQTY","FQ1 2023","FQ1 2023","Currency=USD","Period=FQ","BEST_FPERIOD_OVERRIDE=FQ","FILING_STATUS=MR","Sort=A","Dates=H","DateFormat=P","Fill=—","Direction=H","UseDPDF=Y")</f>
        <v>64.0578</v>
      </c>
      <c r="AD87" s="14">
        <f>_xll.BDH("WMT US Equity","NET_DEBT_TO_SHRHLDR_EQTY","FQ2 2023","FQ2 2023","Currency=USD","Period=FQ","BEST_FPERIOD_OVERRIDE=FQ","FILING_STATUS=MR","Sort=A","Dates=H","DateFormat=P","Fill=—","Direction=H","UseDPDF=Y")</f>
        <v>59.857700000000001</v>
      </c>
      <c r="AE87" s="14">
        <f>_xll.BDH("WMT US Equity","NET_DEBT_TO_SHRHLDR_EQTY","FQ3 2023","FQ3 2023","Currency=USD","Period=FQ","BEST_FPERIOD_OVERRIDE=FQ","FILING_STATUS=MR","Sort=A","Dates=H","DateFormat=P","Fill=—","Direction=H","UseDPDF=Y")</f>
        <v>66.920900000000003</v>
      </c>
      <c r="AF87" s="14">
        <f>_xll.BDH("WMT US Equity","NET_DEBT_TO_SHRHLDR_EQTY","FQ4 2023","FQ4 2023","Currency=USD","Period=FQ","BEST_FPERIOD_OVERRIDE=FQ","FILING_STATUS=MR","Sort=A","Dates=H","DateFormat=P","Fill=—","Direction=H","UseDPDF=Y")</f>
        <v>59.884999999999998</v>
      </c>
      <c r="AG87" s="14">
        <f>_xll.BDH("WMT US Equity","NET_DEBT_TO_SHRHLDR_EQTY","FQ1 2024","FQ1 2024","Currency=USD","Period=FQ","BEST_FPERIOD_OVERRIDE=FQ","FILING_STATUS=MR","Sort=A","Dates=H","DateFormat=P","Fill=—","Direction=H","UseDPDF=Y")</f>
        <v>67.063500000000005</v>
      </c>
      <c r="AH87" s="14">
        <f>_xll.BDH("WMT US Equity","NET_DEBT_TO_SHRHLDR_EQTY","FQ2 2024","FQ2 2024","Currency=USD","Period=FQ","BEST_FPERIOD_OVERRIDE=FQ","FILING_STATUS=MR","Sort=A","Dates=H","DateFormat=P","Fill=—","Direction=H","UseDPDF=Y")</f>
        <v>59.506300000000003</v>
      </c>
      <c r="AI87" s="14">
        <f>_xll.BDH("WMT US Equity","NET_DEBT_TO_SHRHLDR_EQTY","FQ3 2024","FQ3 2024","Currency=USD","Period=FQ","BEST_FPERIOD_OVERRIDE=FQ","FILING_STATUS=MR","Sort=A","Dates=H","DateFormat=P","Fill=—","Direction=H","UseDPDF=Y")</f>
        <v>67.106800000000007</v>
      </c>
      <c r="AJ87" s="14">
        <f>_xll.BDH("WMT US Equity","NET_DEBT_TO_SHRHLDR_EQTY","FQ4 2024","FQ4 2024","Currency=USD","Period=FQ","BEST_FPERIOD_OVERRIDE=FQ","FILING_STATUS=MR","Sort=A","Dates=H","DateFormat=P","Fill=—","Direction=H","UseDPDF=Y")</f>
        <v>56.810699999999997</v>
      </c>
      <c r="AK87" s="14">
        <f>_xll.BDH("WMT US Equity","NET_DEBT_TO_SHRHLDR_EQTY","FQ1 2025","FQ1 2025","Currency=USD","Period=FQ","BEST_FPERIOD_OVERRIDE=FQ","FILING_STATUS=MR","Sort=A","Dates=H","DateFormat=P","Fill=—","Direction=H","UseDPDF=Y")</f>
        <v>62.360399999999998</v>
      </c>
      <c r="AL87" s="14">
        <f>_xll.BDH("WMT US Equity","NET_DEBT_TO_SHRHLDR_EQTY","FQ2 2025","FQ2 2025","Currency=USD","Period=FQ","BEST_FPERIOD_OVERRIDE=FQ","FILING_STATUS=MR","Sort=A","Dates=H","DateFormat=P","Fill=—","Direction=H","UseDPDF=Y")</f>
        <v>57.830599999999997</v>
      </c>
      <c r="AM87" s="14">
        <f>_xll.BDH("WMT US Equity","NET_DEBT_TO_SHRHLDR_EQTY","FQ3 2025","FQ3 2025","Currency=USD","Period=FQ","BEST_FPERIOD_OVERRIDE=FQ","FILING_STATUS=MR","Sort=A","Dates=H","DateFormat=P","Fill=—","Direction=H","UseDPDF=Y")</f>
        <v>54.729300000000002</v>
      </c>
      <c r="AN87" s="14">
        <f>_xll.BDH("WMT US Equity","NET_DEBT_TO_SHRHLDR_EQTY","FQ4 2025","FQ4 2025","Currency=USD","Period=FQ","BEST_FPERIOD_OVERRIDE=FQ","FILING_STATUS=MR","Sort=A","Dates=H","DateFormat=P","Fill=—","Direction=H","UseDPDF=Y")</f>
        <v>52.283700000000003</v>
      </c>
      <c r="AO87" s="14">
        <f>_xll.BDH("WMT US Equity","NET_DEBT_TO_SHRHLDR_EQTY","FQ1 2026","FQ1 2026","Currency=USD","Period=FQ","BEST_FPERIOD_OVERRIDE=FQ","FILING_STATUS=MR","Sort=A","Dates=H","DateFormat=P","Fill=—","Direction=H","UseDPDF=Y")</f>
        <v>63.866799999999998</v>
      </c>
      <c r="AP87" s="14">
        <f>_xll.BDH("WMT US Equity","NET_DEBT_TO_SHRHLDR_EQTY","FQ2 2026","FQ2 2026","Currency=USD","Period=FQ","BEST_FPERIOD_OVERRIDE=FQ","FILING_STATUS=MR","Sort=A","Dates=H","DateFormat=P","Fill=—","Direction=H","UseDPDF=Y")</f>
        <v>57.386699999999998</v>
      </c>
    </row>
    <row r="88" spans="1:42" x14ac:dyDescent="0.3">
      <c r="A88" s="10" t="s">
        <v>179</v>
      </c>
      <c r="B88" s="10" t="s">
        <v>180</v>
      </c>
      <c r="C88" s="14">
        <f>_xll.BDH("WMT US Equity","TCE_RATIO","FQ3 2016","FQ3 2016","Currency=USD","Period=FQ","BEST_FPERIOD_OVERRIDE=FQ","FILING_STATUS=MR","Sort=A","Dates=H","DateFormat=P","Fill=—","Direction=H","UseDPDF=Y")</f>
        <v>33.238900000000001</v>
      </c>
      <c r="D88" s="14">
        <f>_xll.BDH("WMT US Equity","TCE_RATIO","FQ4 2016","FQ4 2016","Currency=USD","Period=FQ","BEST_FPERIOD_OVERRIDE=FQ","FILING_STATUS=MR","Sort=A","Dates=H","DateFormat=P","Fill=—","Direction=H","UseDPDF=Y")</f>
        <v>34.912999999999997</v>
      </c>
      <c r="E88" s="14">
        <f>_xll.BDH("WMT US Equity","TCE_RATIO","FQ1 2017","FQ1 2017","Currency=USD","Period=FQ","BEST_FPERIOD_OVERRIDE=FQ","FILING_STATUS=MR","Sort=A","Dates=H","DateFormat=P","Fill=—","Direction=H","UseDPDF=Y")</f>
        <v>32.113599999999998</v>
      </c>
      <c r="F88" s="14">
        <f>_xll.BDH("WMT US Equity","TCE_RATIO","FQ2 2017","FQ2 2017","Currency=USD","Period=FQ","BEST_FPERIOD_OVERRIDE=FQ","FILING_STATUS=MR","Sort=A","Dates=H","DateFormat=P","Fill=—","Direction=H","UseDPDF=Y")</f>
        <v>33.151699999999998</v>
      </c>
      <c r="G88" s="14">
        <f>_xll.BDH("WMT US Equity","TCE_RATIO","FQ3 2017","FQ3 2017","Currency=USD","Period=FQ","BEST_FPERIOD_OVERRIDE=FQ","FILING_STATUS=MR","Sort=A","Dates=H","DateFormat=P","Fill=—","Direction=H","UseDPDF=Y")</f>
        <v>31.6828</v>
      </c>
      <c r="H88" s="14">
        <f>_xll.BDH("WMT US Equity","TCE_RATIO","FQ4 2017","FQ4 2017","Currency=USD","Period=FQ","BEST_FPERIOD_OVERRIDE=FQ","FILING_STATUS=MR","Sort=A","Dates=H","DateFormat=P","Fill=—","Direction=H","UseDPDF=Y")</f>
        <v>33.424100000000003</v>
      </c>
      <c r="I88" s="14">
        <f>_xll.BDH("WMT US Equity","TCE_RATIO","FQ1 2018","FQ1 2018","Currency=USD","Period=FQ","BEST_FPERIOD_OVERRIDE=FQ","FILING_STATUS=MR","Sort=A","Dates=H","DateFormat=P","Fill=—","Direction=H","UseDPDF=Y")</f>
        <v>30.808800000000002</v>
      </c>
      <c r="J88" s="14">
        <f>_xll.BDH("WMT US Equity","TCE_RATIO","FQ2 2018","FQ2 2018","Currency=USD","Period=FQ","BEST_FPERIOD_OVERRIDE=FQ","FILING_STATUS=MR","Sort=A","Dates=H","DateFormat=P","Fill=—","Direction=H","UseDPDF=Y")</f>
        <v>31.7944</v>
      </c>
      <c r="K88" s="14">
        <f>_xll.BDH("WMT US Equity","TCE_RATIO","FQ3 2018","FQ3 2018","Currency=USD","Period=FQ","BEST_FPERIOD_OVERRIDE=FQ","FILING_STATUS=MR","Sort=A","Dates=H","DateFormat=P","Fill=—","Direction=H","UseDPDF=Y")</f>
        <v>30.302299999999999</v>
      </c>
      <c r="L88" s="14">
        <f>_xll.BDH("WMT US Equity","TCE_RATIO","FQ4 2018","FQ4 2018","Currency=USD","Period=FQ","BEST_FPERIOD_OVERRIDE=FQ","FILING_STATUS=MR","Sort=A","Dates=H","DateFormat=P","Fill=—","Direction=H","UseDPDF=Y")</f>
        <v>32.009300000000003</v>
      </c>
      <c r="M88" s="14">
        <f>_xll.BDH("WMT US Equity","TCE_RATIO","FQ1 2019","FQ1 2019","Currency=USD","Period=FQ","BEST_FPERIOD_OVERRIDE=FQ","FILING_STATUS=MR","Sort=A","Dates=H","DateFormat=P","Fill=—","Direction=H","UseDPDF=Y")</f>
        <v>30.472300000000001</v>
      </c>
      <c r="N88" s="14">
        <f>_xll.BDH("WMT US Equity","TCE_RATIO","FQ2 2019","FQ2 2019","Currency=USD","Period=FQ","BEST_FPERIOD_OVERRIDE=FQ","FILING_STATUS=MR","Sort=A","Dates=H","DateFormat=P","Fill=—","Direction=H","UseDPDF=Y")</f>
        <v>28.3415</v>
      </c>
      <c r="O88" s="14">
        <f>_xll.BDH("WMT US Equity","TCE_RATIO","FQ3 2019","FQ3 2019","Currency=USD","Period=FQ","BEST_FPERIOD_OVERRIDE=FQ","FILING_STATUS=MR","Sort=A","Dates=H","DateFormat=P","Fill=—","Direction=H","UseDPDF=Y")</f>
        <v>20.943100000000001</v>
      </c>
      <c r="P88" s="14">
        <f>_xll.BDH("WMT US Equity","TCE_RATIO","FQ4 2019","FQ4 2019","Currency=USD","Period=FQ","BEST_FPERIOD_OVERRIDE=FQ","FILING_STATUS=MR","Sort=A","Dates=H","DateFormat=P","Fill=—","Direction=H","UseDPDF=Y")</f>
        <v>21.962700000000002</v>
      </c>
      <c r="Q88" s="14">
        <f>_xll.BDH("WMT US Equity","TCE_RATIO","FQ1 2020","FQ1 2020","Currency=USD","Period=FQ","BEST_FPERIOD_OVERRIDE=FQ","FILING_STATUS=MR","Sort=A","Dates=H","DateFormat=P","Fill=—","Direction=H","UseDPDF=Y")</f>
        <v>18.1112</v>
      </c>
      <c r="R88" s="14">
        <f>_xll.BDH("WMT US Equity","TCE_RATIO","FQ2 2020","FQ2 2020","Currency=USD","Period=FQ","BEST_FPERIOD_OVERRIDE=FQ","FILING_STATUS=MR","Sort=A","Dates=H","DateFormat=P","Fill=—","Direction=H","UseDPDF=Y")</f>
        <v>19.110900000000001</v>
      </c>
      <c r="S88" s="14">
        <f>_xll.BDH("WMT US Equity","TCE_RATIO","FQ3 2020","FQ3 2020","Currency=USD","Period=FQ","BEST_FPERIOD_OVERRIDE=FQ","FILING_STATUS=MR","Sort=A","Dates=H","DateFormat=P","Fill=—","Direction=H","UseDPDF=Y")</f>
        <v>19.5745</v>
      </c>
      <c r="T88" s="14">
        <f>_xll.BDH("WMT US Equity","TCE_RATIO","FQ4 2020","FQ4 2020","Currency=USD","Period=FQ","BEST_FPERIOD_OVERRIDE=FQ","FILING_STATUS=MR","Sort=A","Dates=H","DateFormat=P","Fill=—","Direction=H","UseDPDF=Y")</f>
        <v>21.2227</v>
      </c>
      <c r="U88" s="14">
        <f>_xll.BDH("WMT US Equity","TCE_RATIO","FQ1 2021","FQ1 2021","Currency=USD","Period=FQ","BEST_FPERIOD_OVERRIDE=FQ","FILING_STATUS=MR","Sort=A","Dates=H","DateFormat=P","Fill=—","Direction=H","UseDPDF=Y")</f>
        <v>19.080400000000001</v>
      </c>
      <c r="V88" s="14">
        <f>_xll.BDH("WMT US Equity","TCE_RATIO","FQ2 2021","FQ2 2021","Currency=USD","Period=FQ","BEST_FPERIOD_OVERRIDE=FQ","FILING_STATUS=MR","Sort=A","Dates=H","DateFormat=P","Fill=—","Direction=H","UseDPDF=Y")</f>
        <v>22.020800000000001</v>
      </c>
      <c r="W88" s="14">
        <f>_xll.BDH("WMT US Equity","TCE_RATIO","FQ3 2021","FQ3 2021","Currency=USD","Period=FQ","BEST_FPERIOD_OVERRIDE=FQ","FILING_STATUS=MR","Sort=A","Dates=H","DateFormat=P","Fill=—","Direction=H","UseDPDF=Y")</f>
        <v>23.2043</v>
      </c>
      <c r="X88" s="14">
        <f>_xll.BDH("WMT US Equity","TCE_RATIO","FQ4 2021","FQ4 2021","Currency=USD","Period=FQ","BEST_FPERIOD_OVERRIDE=FQ","FILING_STATUS=MR","Sort=A","Dates=H","DateFormat=P","Fill=—","Direction=H","UseDPDF=Y")</f>
        <v>21.5184</v>
      </c>
      <c r="Y88" s="14">
        <f>_xll.BDH("WMT US Equity","TCE_RATIO","FQ1 2022","FQ1 2022","Currency=USD","Period=FQ","BEST_FPERIOD_OVERRIDE=FQ","FILING_STATUS=MR","Sort=A","Dates=H","DateFormat=P","Fill=—","Direction=H","UseDPDF=Y")</f>
        <v>23.813600000000001</v>
      </c>
      <c r="Z88" s="14">
        <f>_xll.BDH("WMT US Equity","TCE_RATIO","FQ2 2022","FQ2 2022","Currency=USD","Period=FQ","BEST_FPERIOD_OVERRIDE=FQ","FILING_STATUS=MR","Sort=A","Dates=H","DateFormat=P","Fill=—","Direction=H","UseDPDF=Y")</f>
        <v>24.532800000000002</v>
      </c>
      <c r="AA88" s="14">
        <f>_xll.BDH("WMT US Equity","TCE_RATIO","FQ3 2022","FQ3 2022","Currency=USD","Period=FQ","BEST_FPERIOD_OVERRIDE=FQ","FILING_STATUS=MR","Sort=A","Dates=H","DateFormat=P","Fill=—","Direction=H","UseDPDF=Y")</f>
        <v>24.707799999999999</v>
      </c>
      <c r="AB88" s="14">
        <f>_xll.BDH("WMT US Equity","TCE_RATIO","FQ4 2022","FQ4 2022","Currency=USD","Period=FQ","BEST_FPERIOD_OVERRIDE=FQ","FILING_STATUS=MR","Sort=A","Dates=H","DateFormat=P","Fill=—","Direction=H","UseDPDF=Y")</f>
        <v>23.425699999999999</v>
      </c>
      <c r="AC88" s="14">
        <f>_xll.BDH("WMT US Equity","TCE_RATIO","FQ1 2023","FQ1 2023","Currency=USD","Period=FQ","BEST_FPERIOD_OVERRIDE=FQ","FILING_STATUS=MR","Sort=A","Dates=H","DateFormat=P","Fill=—","Direction=H","UseDPDF=Y")</f>
        <v>21.899899999999999</v>
      </c>
      <c r="AD88" s="14">
        <f>_xll.BDH("WMT US Equity","TCE_RATIO","FQ2 2023","FQ2 2023","Currency=USD","Period=FQ","BEST_FPERIOD_OVERRIDE=FQ","FILING_STATUS=MR","Sort=A","Dates=H","DateFormat=P","Fill=—","Direction=H","UseDPDF=Y")</f>
        <v>22.378599999999999</v>
      </c>
      <c r="AE88" s="14">
        <f>_xll.BDH("WMT US Equity","TCE_RATIO","FQ3 2023","FQ3 2023","Currency=USD","Period=FQ","BEST_FPERIOD_OVERRIDE=FQ","FILING_STATUS=MR","Sort=A","Dates=H","DateFormat=P","Fill=—","Direction=H","UseDPDF=Y")</f>
        <v>20.096699999999998</v>
      </c>
      <c r="AF88" s="14">
        <f>_xll.BDH("WMT US Equity","TCE_RATIO","FQ4 2023","FQ4 2023","Currency=USD","Period=FQ","BEST_FPERIOD_OVERRIDE=FQ","FILING_STATUS=MR","Sort=A","Dates=H","DateFormat=P","Fill=—","Direction=H","UseDPDF=Y")</f>
        <v>20.984400000000001</v>
      </c>
      <c r="AG88" s="14">
        <f>_xll.BDH("WMT US Equity","TCE_RATIO","FQ1 2024","FQ1 2024","Currency=USD","Period=FQ","BEST_FPERIOD_OVERRIDE=FQ","FILING_STATUS=MR","Sort=A","Dates=H","DateFormat=P","Fill=—","Direction=H","UseDPDF=Y")</f>
        <v>20.345800000000001</v>
      </c>
      <c r="AH88" s="14">
        <f>_xll.BDH("WMT US Equity","TCE_RATIO","FQ2 2024","FQ2 2024","Currency=USD","Period=FQ","BEST_FPERIOD_OVERRIDE=FQ","FILING_STATUS=MR","Sort=A","Dates=H","DateFormat=P","Fill=—","Direction=H","UseDPDF=Y")</f>
        <v>22.608499999999999</v>
      </c>
      <c r="AI88" s="14">
        <f>_xll.BDH("WMT US Equity","TCE_RATIO","FQ3 2024","FQ3 2024","Currency=USD","Period=FQ","BEST_FPERIOD_OVERRIDE=FQ","FILING_STATUS=MR","Sort=A","Dates=H","DateFormat=P","Fill=—","Direction=H","UseDPDF=Y")</f>
        <v>22.253499999999999</v>
      </c>
      <c r="AJ88" s="14">
        <f>_xll.BDH("WMT US Equity","TCE_RATIO","FQ4 2024","FQ4 2024","Currency=USD","Period=FQ","BEST_FPERIOD_OVERRIDE=FQ","FILING_STATUS=MR","Sort=A","Dates=H","DateFormat=P","Fill=—","Direction=H","UseDPDF=Y")</f>
        <v>23.456499999999998</v>
      </c>
      <c r="AK88" s="14">
        <f>_xll.BDH("WMT US Equity","TCE_RATIO","FQ1 2025","FQ1 2025","Currency=USD","Period=FQ","BEST_FPERIOD_OVERRIDE=FQ","FILING_STATUS=MR","Sort=A","Dates=H","DateFormat=P","Fill=—","Direction=H","UseDPDF=Y")</f>
        <v>23.575700000000001</v>
      </c>
      <c r="AL88" s="14">
        <f>_xll.BDH("WMT US Equity","TCE_RATIO","FQ2 2025","FQ2 2025","Currency=USD","Period=FQ","BEST_FPERIOD_OVERRIDE=FQ","FILING_STATUS=MR","Sort=A","Dates=H","DateFormat=P","Fill=—","Direction=H","UseDPDF=Y")</f>
        <v>24.9406</v>
      </c>
      <c r="AM88" s="14">
        <f>_xll.BDH("WMT US Equity","TCE_RATIO","FQ3 2025","FQ3 2025","Currency=USD","Period=FQ","BEST_FPERIOD_OVERRIDE=FQ","FILING_STATUS=MR","Sort=A","Dates=H","DateFormat=P","Fill=—","Direction=H","UseDPDF=Y")</f>
        <v>25.552900000000001</v>
      </c>
      <c r="AN88" s="14">
        <f>_xll.BDH("WMT US Equity","TCE_RATIO","FQ4 2025","FQ4 2025","Currency=USD","Period=FQ","BEST_FPERIOD_OVERRIDE=FQ","FILING_STATUS=MR","Sort=A","Dates=H","DateFormat=P","Fill=—","Direction=H","UseDPDF=Y")</f>
        <v>25.368400000000001</v>
      </c>
      <c r="AO88" s="14">
        <f>_xll.BDH("WMT US Equity","TCE_RATIO","FQ1 2026","FQ1 2026","Currency=USD","Period=FQ","BEST_FPERIOD_OVERRIDE=FQ","FILING_STATUS=MR","Sort=A","Dates=H","DateFormat=P","Fill=—","Direction=H","UseDPDF=Y")</f>
        <v>23.5227</v>
      </c>
      <c r="AP88" s="14">
        <f>_xll.BDH("WMT US Equity","TCE_RATIO","FQ2 2026","FQ2 2026","Currency=USD","Period=FQ","BEST_FPERIOD_OVERRIDE=FQ","FILING_STATUS=MR","Sort=A","Dates=H","DateFormat=P","Fill=—","Direction=H","UseDPDF=Y")</f>
        <v>25.250499999999999</v>
      </c>
    </row>
    <row r="89" spans="1:42" x14ac:dyDescent="0.3">
      <c r="A89" s="10" t="s">
        <v>181</v>
      </c>
      <c r="B89" s="10" t="s">
        <v>182</v>
      </c>
      <c r="C89" s="14">
        <f>_xll.BDH("WMT US Equity","CUR_RATIO","FQ3 2016","FQ3 2016","Currency=USD","Period=FQ","BEST_FPERIOD_OVERRIDE=FQ","FILING_STATUS=MR","Sort=A","Dates=H","DateFormat=P","Fill=—","Direction=H","UseDPDF=Y")</f>
        <v>0.92369999999999997</v>
      </c>
      <c r="D89" s="14">
        <f>_xll.BDH("WMT US Equity","CUR_RATIO","FQ4 2016","FQ4 2016","Currency=USD","Period=FQ","BEST_FPERIOD_OVERRIDE=FQ","FILING_STATUS=MR","Sort=A","Dates=H","DateFormat=P","Fill=—","Direction=H","UseDPDF=Y")</f>
        <v>0.93220000000000003</v>
      </c>
      <c r="E89" s="14">
        <f>_xll.BDH("WMT US Equity","CUR_RATIO","FQ1 2017","FQ1 2017","Currency=USD","Period=FQ","BEST_FPERIOD_OVERRIDE=FQ","FILING_STATUS=MR","Sort=A","Dates=H","DateFormat=P","Fill=—","Direction=H","UseDPDF=Y")</f>
        <v>0.84089999999999998</v>
      </c>
      <c r="F89" s="14">
        <f>_xll.BDH("WMT US Equity","CUR_RATIO","FQ2 2017","FQ2 2017","Currency=USD","Period=FQ","BEST_FPERIOD_OVERRIDE=FQ","FILING_STATUS=MR","Sort=A","Dates=H","DateFormat=P","Fill=—","Direction=H","UseDPDF=Y")</f>
        <v>0.8548</v>
      </c>
      <c r="G89" s="14">
        <f>_xll.BDH("WMT US Equity","CUR_RATIO","FQ3 2017","FQ3 2017","Currency=USD","Period=FQ","BEST_FPERIOD_OVERRIDE=FQ","FILING_STATUS=MR","Sort=A","Dates=H","DateFormat=P","Fill=—","Direction=H","UseDPDF=Y")</f>
        <v>0.85529999999999995</v>
      </c>
      <c r="H89" s="14">
        <f>_xll.BDH("WMT US Equity","CUR_RATIO","FQ4 2017","FQ4 2017","Currency=USD","Period=FQ","BEST_FPERIOD_OVERRIDE=FQ","FILING_STATUS=MR","Sort=A","Dates=H","DateFormat=P","Fill=—","Direction=H","UseDPDF=Y")</f>
        <v>0.86199999999999999</v>
      </c>
      <c r="I89" s="14">
        <f>_xll.BDH("WMT US Equity","CUR_RATIO","FQ1 2018","FQ1 2018","Currency=USD","Period=FQ","BEST_FPERIOD_OVERRIDE=FQ","FILING_STATUS=MR","Sort=A","Dates=H","DateFormat=P","Fill=—","Direction=H","UseDPDF=Y")</f>
        <v>0.77280000000000004</v>
      </c>
      <c r="J89" s="14">
        <f>_xll.BDH("WMT US Equity","CUR_RATIO","FQ2 2018","FQ2 2018","Currency=USD","Period=FQ","BEST_FPERIOD_OVERRIDE=FQ","FILING_STATUS=MR","Sort=A","Dates=H","DateFormat=P","Fill=—","Direction=H","UseDPDF=Y")</f>
        <v>0.77959999999999996</v>
      </c>
      <c r="K89" s="14">
        <f>_xll.BDH("WMT US Equity","CUR_RATIO","FQ3 2018","FQ3 2018","Currency=USD","Period=FQ","BEST_FPERIOD_OVERRIDE=FQ","FILING_STATUS=MR","Sort=A","Dates=H","DateFormat=P","Fill=—","Direction=H","UseDPDF=Y")</f>
        <v>0.81269999999999998</v>
      </c>
      <c r="L89" s="14">
        <f>_xll.BDH("WMT US Equity","CUR_RATIO","FQ4 2018","FQ4 2018","Currency=USD","Period=FQ","BEST_FPERIOD_OVERRIDE=FQ","FILING_STATUS=MR","Sort=A","Dates=H","DateFormat=P","Fill=—","Direction=H","UseDPDF=Y")</f>
        <v>0.75980000000000003</v>
      </c>
      <c r="M89" s="14">
        <f>_xll.BDH("WMT US Equity","CUR_RATIO","FQ1 2019","FQ1 2019","Currency=USD","Period=FQ","BEST_FPERIOD_OVERRIDE=FQ","FILING_STATUS=MR","Sort=A","Dates=H","DateFormat=P","Fill=—","Direction=H","UseDPDF=Y")</f>
        <v>0.73360000000000003</v>
      </c>
      <c r="N89" s="14">
        <f>_xll.BDH("WMT US Equity","CUR_RATIO","FQ2 2019","FQ2 2019","Currency=USD","Period=FQ","BEST_FPERIOD_OVERRIDE=FQ","FILING_STATUS=MR","Sort=A","Dates=H","DateFormat=P","Fill=—","Direction=H","UseDPDF=Y")</f>
        <v>0.92589999999999995</v>
      </c>
      <c r="O89" s="14">
        <f>_xll.BDH("WMT US Equity","CUR_RATIO","FQ3 2019","FQ3 2019","Currency=USD","Period=FQ","BEST_FPERIOD_OVERRIDE=FQ","FILING_STATUS=MR","Sort=A","Dates=H","DateFormat=P","Fill=—","Direction=H","UseDPDF=Y")</f>
        <v>0.80989999999999995</v>
      </c>
      <c r="P89" s="14">
        <f>_xll.BDH("WMT US Equity","CUR_RATIO","FQ4 2019","FQ4 2019","Currency=USD","Period=FQ","BEST_FPERIOD_OVERRIDE=FQ","FILING_STATUS=MR","Sort=A","Dates=H","DateFormat=P","Fill=—","Direction=H","UseDPDF=Y")</f>
        <v>0.79890000000000005</v>
      </c>
      <c r="Q89" s="14">
        <f>_xll.BDH("WMT US Equity","CUR_RATIO","FQ1 2020","FQ1 2020","Currency=USD","Period=FQ","BEST_FPERIOD_OVERRIDE=FQ","FILING_STATUS=MR","Sort=A","Dates=H","DateFormat=P","Fill=—","Direction=H","UseDPDF=Y")</f>
        <v>0.77280000000000004</v>
      </c>
      <c r="R89" s="14">
        <f>_xll.BDH("WMT US Equity","CUR_RATIO","FQ2 2020","FQ2 2020","Currency=USD","Period=FQ","BEST_FPERIOD_OVERRIDE=FQ","FILING_STATUS=MR","Sort=A","Dates=H","DateFormat=P","Fill=—","Direction=H","UseDPDF=Y")</f>
        <v>0.76439999999999997</v>
      </c>
      <c r="S89" s="14">
        <f>_xll.BDH("WMT US Equity","CUR_RATIO","FQ3 2020","FQ3 2020","Currency=USD","Period=FQ","BEST_FPERIOD_OVERRIDE=FQ","FILING_STATUS=MR","Sort=A","Dates=H","DateFormat=P","Fill=—","Direction=H","UseDPDF=Y")</f>
        <v>0.81059999999999999</v>
      </c>
      <c r="T89" s="14">
        <f>_xll.BDH("WMT US Equity","CUR_RATIO","FQ4 2020","FQ4 2020","Currency=USD","Period=FQ","BEST_FPERIOD_OVERRIDE=FQ","FILING_STATUS=MR","Sort=A","Dates=H","DateFormat=P","Fill=—","Direction=H","UseDPDF=Y")</f>
        <v>0.79449999999999998</v>
      </c>
      <c r="U89" s="14">
        <f>_xll.BDH("WMT US Equity","CUR_RATIO","FQ1 2021","FQ1 2021","Currency=USD","Period=FQ","BEST_FPERIOD_OVERRIDE=FQ","FILING_STATUS=MR","Sort=A","Dates=H","DateFormat=P","Fill=—","Direction=H","UseDPDF=Y")</f>
        <v>0.76619999999999999</v>
      </c>
      <c r="V89" s="14">
        <f>_xll.BDH("WMT US Equity","CUR_RATIO","FQ2 2021","FQ2 2021","Currency=USD","Period=FQ","BEST_FPERIOD_OVERRIDE=FQ","FILING_STATUS=MR","Sort=A","Dates=H","DateFormat=P","Fill=—","Direction=H","UseDPDF=Y")</f>
        <v>0.79310000000000003</v>
      </c>
      <c r="W89" s="14">
        <f>_xll.BDH("WMT US Equity","CUR_RATIO","FQ3 2021","FQ3 2021","Currency=USD","Period=FQ","BEST_FPERIOD_OVERRIDE=FQ","FILING_STATUS=MR","Sort=A","Dates=H","DateFormat=P","Fill=—","Direction=H","UseDPDF=Y")</f>
        <v>0.83520000000000005</v>
      </c>
      <c r="X89" s="14">
        <f>_xll.BDH("WMT US Equity","CUR_RATIO","FQ4 2021","FQ4 2021","Currency=USD","Period=FQ","BEST_FPERIOD_OVERRIDE=FQ","FILING_STATUS=MR","Sort=A","Dates=H","DateFormat=P","Fill=—","Direction=H","UseDPDF=Y")</f>
        <v>0.97219999999999995</v>
      </c>
      <c r="Y89" s="14">
        <f>_xll.BDH("WMT US Equity","CUR_RATIO","FQ1 2022","FQ1 2022","Currency=USD","Period=FQ","BEST_FPERIOD_OVERRIDE=FQ","FILING_STATUS=MR","Sort=A","Dates=H","DateFormat=P","Fill=—","Direction=H","UseDPDF=Y")</f>
        <v>0.94740000000000002</v>
      </c>
      <c r="Z89" s="14">
        <f>_xll.BDH("WMT US Equity","CUR_RATIO","FQ2 2022","FQ2 2022","Currency=USD","Period=FQ","BEST_FPERIOD_OVERRIDE=FQ","FILING_STATUS=MR","Sort=A","Dates=H","DateFormat=P","Fill=—","Direction=H","UseDPDF=Y")</f>
        <v>0.96450000000000002</v>
      </c>
      <c r="AA89" s="14">
        <f>_xll.BDH("WMT US Equity","CUR_RATIO","FQ3 2022","FQ3 2022","Currency=USD","Period=FQ","BEST_FPERIOD_OVERRIDE=FQ","FILING_STATUS=MR","Sort=A","Dates=H","DateFormat=P","Fill=—","Direction=H","UseDPDF=Y")</f>
        <v>0.94689999999999996</v>
      </c>
      <c r="AB89" s="14">
        <f>_xll.BDH("WMT US Equity","CUR_RATIO","FQ4 2022","FQ4 2022","Currency=USD","Period=FQ","BEST_FPERIOD_OVERRIDE=FQ","FILING_STATUS=MR","Sort=A","Dates=H","DateFormat=P","Fill=—","Direction=H","UseDPDF=Y")</f>
        <v>0.92779999999999996</v>
      </c>
      <c r="AC89" s="14">
        <f>_xll.BDH("WMT US Equity","CUR_RATIO","FQ1 2023","FQ1 2023","Currency=USD","Period=FQ","BEST_FPERIOD_OVERRIDE=FQ","FILING_STATUS=MR","Sort=A","Dates=H","DateFormat=P","Fill=—","Direction=H","UseDPDF=Y")</f>
        <v>0.86209999999999998</v>
      </c>
      <c r="AD89" s="14">
        <f>_xll.BDH("WMT US Equity","CUR_RATIO","FQ2 2023","FQ2 2023","Currency=USD","Period=FQ","BEST_FPERIOD_OVERRIDE=FQ","FILING_STATUS=MR","Sort=A","Dates=H","DateFormat=P","Fill=—","Direction=H","UseDPDF=Y")</f>
        <v>0.84250000000000003</v>
      </c>
      <c r="AE89" s="14">
        <f>_xll.BDH("WMT US Equity","CUR_RATIO","FQ3 2023","FQ3 2023","Currency=USD","Period=FQ","BEST_FPERIOD_OVERRIDE=FQ","FILING_STATUS=MR","Sort=A","Dates=H","DateFormat=P","Fill=—","Direction=H","UseDPDF=Y")</f>
        <v>0.86460000000000004</v>
      </c>
      <c r="AF89" s="14">
        <f>_xll.BDH("WMT US Equity","CUR_RATIO","FQ4 2023","FQ4 2023","Currency=USD","Period=FQ","BEST_FPERIOD_OVERRIDE=FQ","FILING_STATUS=MR","Sort=A","Dates=H","DateFormat=P","Fill=—","Direction=H","UseDPDF=Y")</f>
        <v>0.8206</v>
      </c>
      <c r="AG89" s="14">
        <f>_xll.BDH("WMT US Equity","CUR_RATIO","FQ1 2024","FQ1 2024","Currency=USD","Period=FQ","BEST_FPERIOD_OVERRIDE=FQ","FILING_STATUS=MR","Sort=A","Dates=H","DateFormat=P","Fill=—","Direction=H","UseDPDF=Y")</f>
        <v>0.82210000000000005</v>
      </c>
      <c r="AH89" s="14">
        <f>_xll.BDH("WMT US Equity","CUR_RATIO","FQ2 2024","FQ2 2024","Currency=USD","Period=FQ","BEST_FPERIOD_OVERRIDE=FQ","FILING_STATUS=MR","Sort=A","Dates=H","DateFormat=P","Fill=—","Direction=H","UseDPDF=Y")</f>
        <v>0.82679999999999998</v>
      </c>
      <c r="AI89" s="14">
        <f>_xll.BDH("WMT US Equity","CUR_RATIO","FQ3 2024","FQ3 2024","Currency=USD","Period=FQ","BEST_FPERIOD_OVERRIDE=FQ","FILING_STATUS=MR","Sort=A","Dates=H","DateFormat=P","Fill=—","Direction=H","UseDPDF=Y")</f>
        <v>0.84799999999999998</v>
      </c>
      <c r="AJ89" s="14">
        <f>_xll.BDH("WMT US Equity","CUR_RATIO","FQ4 2024","FQ4 2024","Currency=USD","Period=FQ","BEST_FPERIOD_OVERRIDE=FQ","FILING_STATUS=MR","Sort=A","Dates=H","DateFormat=P","Fill=—","Direction=H","UseDPDF=Y")</f>
        <v>0.83189999999999997</v>
      </c>
      <c r="AK89" s="14">
        <f>_xll.BDH("WMT US Equity","CUR_RATIO","FQ1 2025","FQ1 2025","Currency=USD","Period=FQ","BEST_FPERIOD_OVERRIDE=FQ","FILING_STATUS=MR","Sort=A","Dates=H","DateFormat=P","Fill=—","Direction=H","UseDPDF=Y")</f>
        <v>0.80279999999999996</v>
      </c>
      <c r="AL89" s="14">
        <f>_xll.BDH("WMT US Equity","CUR_RATIO","FQ2 2025","FQ2 2025","Currency=USD","Period=FQ","BEST_FPERIOD_OVERRIDE=FQ","FILING_STATUS=MR","Sort=A","Dates=H","DateFormat=P","Fill=—","Direction=H","UseDPDF=Y")</f>
        <v>0.80320000000000003</v>
      </c>
      <c r="AM89" s="14">
        <f>_xll.BDH("WMT US Equity","CUR_RATIO","FQ3 2025","FQ3 2025","Currency=USD","Period=FQ","BEST_FPERIOD_OVERRIDE=FQ","FILING_STATUS=MR","Sort=A","Dates=H","DateFormat=P","Fill=—","Direction=H","UseDPDF=Y")</f>
        <v>0.84770000000000001</v>
      </c>
      <c r="AN89" s="14">
        <f>_xll.BDH("WMT US Equity","CUR_RATIO","FQ4 2025","FQ4 2025","Currency=USD","Period=FQ","BEST_FPERIOD_OVERRIDE=FQ","FILING_STATUS=MR","Sort=A","Dates=H","DateFormat=P","Fill=—","Direction=H","UseDPDF=Y")</f>
        <v>0.82269999999999999</v>
      </c>
      <c r="AO89" s="14">
        <f>_xll.BDH("WMT US Equity","CUR_RATIO","FQ1 2026","FQ1 2026","Currency=USD","Period=FQ","BEST_FPERIOD_OVERRIDE=FQ","FILING_STATUS=MR","Sort=A","Dates=H","DateFormat=P","Fill=—","Direction=H","UseDPDF=Y")</f>
        <v>0.77980000000000005</v>
      </c>
      <c r="AP89" s="14">
        <f>_xll.BDH("WMT US Equity","CUR_RATIO","FQ2 2026","FQ2 2026","Currency=USD","Period=FQ","BEST_FPERIOD_OVERRIDE=FQ","FILING_STATUS=MR","Sort=A","Dates=H","DateFormat=P","Fill=—","Direction=H","UseDPDF=Y")</f>
        <v>0.79210000000000003</v>
      </c>
    </row>
    <row r="90" spans="1:42" x14ac:dyDescent="0.3">
      <c r="A90" s="10" t="s">
        <v>183</v>
      </c>
      <c r="B90" s="10" t="s">
        <v>184</v>
      </c>
      <c r="C90" s="14">
        <f>_xll.BDH("WMT US Equity","CASH_CONVERSION_CYCLE","FQ3 2016","FQ3 2016","Currency=USD","Period=FQ","BEST_FPERIOD_OVERRIDE=FQ","FILING_STATUS=MR","FA_ADJUSTED=GAAP","Sort=A","Dates=H","DateFormat=P","Fill=—","Direction=H","UseDPDF=Y")</f>
        <v>15.154400000000001</v>
      </c>
      <c r="D90" s="14">
        <f>_xll.BDH("WMT US Equity","CASH_CONVERSION_CYCLE","FQ4 2016","FQ4 2016","Currency=USD","Period=FQ","BEST_FPERIOD_OVERRIDE=FQ","FILING_STATUS=MR","FA_ADJUSTED=GAAP","Sort=A","Dates=H","DateFormat=P","Fill=—","Direction=H","UseDPDF=Y")</f>
        <v>11.049200000000001</v>
      </c>
      <c r="E90" s="14">
        <f>_xll.BDH("WMT US Equity","CASH_CONVERSION_CYCLE","FQ1 2017","FQ1 2017","Currency=USD","Period=FQ","BEST_FPERIOD_OVERRIDE=FQ","FILING_STATUS=MR","FA_ADJUSTED=GAAP","Sort=A","Dates=H","DateFormat=P","Fill=—","Direction=H","UseDPDF=Y")</f>
        <v>11.8833</v>
      </c>
      <c r="F90" s="14">
        <f>_xll.BDH("WMT US Equity","CASH_CONVERSION_CYCLE","FQ2 2017","FQ2 2017","Currency=USD","Period=FQ","BEST_FPERIOD_OVERRIDE=FQ","FILING_STATUS=MR","FA_ADJUSTED=GAAP","Sort=A","Dates=H","DateFormat=P","Fill=—","Direction=H","UseDPDF=Y")</f>
        <v>9.5741999999999994</v>
      </c>
      <c r="G90" s="14">
        <f>_xll.BDH("WMT US Equity","CASH_CONVERSION_CYCLE","FQ3 2017","FQ3 2017","Currency=USD","Period=FQ","BEST_FPERIOD_OVERRIDE=FQ","FILING_STATUS=MR","FA_ADJUSTED=GAAP","Sort=A","Dates=H","DateFormat=P","Fill=—","Direction=H","UseDPDF=Y")</f>
        <v>12.4283</v>
      </c>
      <c r="H90" s="14">
        <f>_xll.BDH("WMT US Equity","CASH_CONVERSION_CYCLE","FQ4 2017","FQ4 2017","Currency=USD","Period=FQ","BEST_FPERIOD_OVERRIDE=FQ","FILING_STATUS=MR","FA_ADJUSTED=GAAP","Sort=A","Dates=H","DateFormat=P","Fill=—","Direction=H","UseDPDF=Y")</f>
        <v>8.0031999999999996</v>
      </c>
      <c r="I90" s="14">
        <f>_xll.BDH("WMT US Equity","CASH_CONVERSION_CYCLE","FQ1 2018","FQ1 2018","Currency=USD","Period=FQ","BEST_FPERIOD_OVERRIDE=FQ","FILING_STATUS=MR","FA_ADJUSTED=GAAP","Sort=A","Dates=H","DateFormat=P","Fill=—","Direction=H","UseDPDF=Y")</f>
        <v>8.0658999999999992</v>
      </c>
      <c r="J90" s="14">
        <f>_xll.BDH("WMT US Equity","CASH_CONVERSION_CYCLE","FQ2 2018","FQ2 2018","Currency=USD","Period=FQ","BEST_FPERIOD_OVERRIDE=FQ","FILING_STATUS=MR","FA_ADJUSTED=GAAP","Sort=A","Dates=H","DateFormat=P","Fill=—","Direction=H","UseDPDF=Y")</f>
        <v>6.2782999999999998</v>
      </c>
      <c r="K90" s="14">
        <f>_xll.BDH("WMT US Equity","CASH_CONVERSION_CYCLE","FQ3 2018","FQ3 2018","Currency=USD","Period=FQ","BEST_FPERIOD_OVERRIDE=FQ","FILING_STATUS=MR","FA_ADJUSTED=GAAP","Sort=A","Dates=H","DateFormat=P","Fill=—","Direction=H","UseDPDF=Y")</f>
        <v>8.8233999999999995</v>
      </c>
      <c r="L90" s="14">
        <f>_xll.BDH("WMT US Equity","CASH_CONVERSION_CYCLE","FQ4 2018","FQ4 2018","Currency=USD","Period=FQ","BEST_FPERIOD_OVERRIDE=FQ","FILING_STATUS=MR","FA_ADJUSTED=GAAP","Sort=A","Dates=H","DateFormat=P","Fill=—","Direction=H","UseDPDF=Y")</f>
        <v>3.9201000000000001</v>
      </c>
      <c r="M90" s="14">
        <f>_xll.BDH("WMT US Equity","CASH_CONVERSION_CYCLE","FQ1 2019","FQ1 2019","Currency=USD","Period=FQ","BEST_FPERIOD_OVERRIDE=FQ","FILING_STATUS=MR","FA_ADJUSTED=GAAP","Sort=A","Dates=H","DateFormat=P","Fill=—","Direction=H","UseDPDF=Y")</f>
        <v>3.8702000000000001</v>
      </c>
      <c r="N90" s="14">
        <f>_xll.BDH("WMT US Equity","CASH_CONVERSION_CYCLE","FQ2 2019","FQ2 2019","Currency=USD","Period=FQ","BEST_FPERIOD_OVERRIDE=FQ","FILING_STATUS=MR","FA_ADJUSTED=GAAP","Sort=A","Dates=H","DateFormat=P","Fill=—","Direction=H","UseDPDF=Y")</f>
        <v>3.5194000000000001</v>
      </c>
      <c r="O90" s="14">
        <f>_xll.BDH("WMT US Equity","CASH_CONVERSION_CYCLE","FQ3 2019","FQ3 2019","Currency=USD","Period=FQ","BEST_FPERIOD_OVERRIDE=FQ","FILING_STATUS=MR","FA_ADJUSTED=GAAP","Sort=A","Dates=H","DateFormat=P","Fill=—","Direction=H","UseDPDF=Y")</f>
        <v>5.7117000000000004</v>
      </c>
      <c r="P90" s="14">
        <f>_xll.BDH("WMT US Equity","CASH_CONVERSION_CYCLE","FQ4 2019","FQ4 2019","Currency=USD","Period=FQ","BEST_FPERIOD_OVERRIDE=FQ","FILING_STATUS=MR","FA_ADJUSTED=GAAP","Sort=A","Dates=H","DateFormat=P","Fill=—","Direction=H","UseDPDF=Y")</f>
        <v>1.8607</v>
      </c>
      <c r="Q90" s="14">
        <f>_xll.BDH("WMT US Equity","CASH_CONVERSION_CYCLE","FQ1 2020","FQ1 2020","Currency=USD","Period=FQ","BEST_FPERIOD_OVERRIDE=FQ","FILING_STATUS=MR","FA_ADJUSTED=GAAP","Sort=A","Dates=H","DateFormat=P","Fill=—","Direction=H","UseDPDF=Y")</f>
        <v>2.8780999999999999</v>
      </c>
      <c r="R90" s="14">
        <f>_xll.BDH("WMT US Equity","CASH_CONVERSION_CYCLE","FQ2 2020","FQ2 2020","Currency=USD","Period=FQ","BEST_FPERIOD_OVERRIDE=FQ","FILING_STATUS=MR","FA_ADJUSTED=GAAP","Sort=A","Dates=H","DateFormat=P","Fill=—","Direction=H","UseDPDF=Y")</f>
        <v>2.5367000000000002</v>
      </c>
      <c r="S90" s="14">
        <f>_xll.BDH("WMT US Equity","CASH_CONVERSION_CYCLE","FQ3 2020","FQ3 2020","Currency=USD","Period=FQ","BEST_FPERIOD_OVERRIDE=FQ","FILING_STATUS=MR","FA_ADJUSTED=GAAP","Sort=A","Dates=H","DateFormat=P","Fill=—","Direction=H","UseDPDF=Y")</f>
        <v>5.2690000000000001</v>
      </c>
      <c r="T90" s="14">
        <f>_xll.BDH("WMT US Equity","CASH_CONVERSION_CYCLE","FQ4 2020","FQ4 2020","Currency=USD","Period=FQ","BEST_FPERIOD_OVERRIDE=FQ","FILING_STATUS=MR","FA_ADJUSTED=GAAP","Sort=A","Dates=H","DateFormat=P","Fill=—","Direction=H","UseDPDF=Y")</f>
        <v>1.9309000000000001</v>
      </c>
      <c r="U90" s="14">
        <f>_xll.BDH("WMT US Equity","CASH_CONVERSION_CYCLE","FQ1 2021","FQ1 2021","Currency=USD","Period=FQ","BEST_FPERIOD_OVERRIDE=FQ","FILING_STATUS=MR","FA_ADJUSTED=GAAP","Sort=A","Dates=H","DateFormat=P","Fill=—","Direction=H","UseDPDF=Y")</f>
        <v>1.7242</v>
      </c>
      <c r="V90" s="14">
        <f>_xll.BDH("WMT US Equity","CASH_CONVERSION_CYCLE","FQ2 2021","FQ2 2021","Currency=USD","Period=FQ","BEST_FPERIOD_OVERRIDE=FQ","FILING_STATUS=MR","FA_ADJUSTED=GAAP","Sort=A","Dates=H","DateFormat=P","Fill=—","Direction=H","UseDPDF=Y")</f>
        <v>0.1043</v>
      </c>
      <c r="W90" s="14">
        <f>_xll.BDH("WMT US Equity","CASH_CONVERSION_CYCLE","FQ3 2021","FQ3 2021","Currency=USD","Period=FQ","BEST_FPERIOD_OVERRIDE=FQ","FILING_STATUS=MR","FA_ADJUSTED=GAAP","Sort=A","Dates=H","DateFormat=P","Fill=—","Direction=H","UseDPDF=Y")</f>
        <v>3.6009000000000002</v>
      </c>
      <c r="X90" s="14">
        <f>_xll.BDH("WMT US Equity","CASH_CONVERSION_CYCLE","FQ4 2021","FQ4 2021","Currency=USD","Period=FQ","BEST_FPERIOD_OVERRIDE=FQ","FILING_STATUS=MR","FA_ADJUSTED=GAAP","Sort=A","Dates=H","DateFormat=P","Fill=—","Direction=H","UseDPDF=Y")</f>
        <v>1.3102</v>
      </c>
      <c r="Y90" s="14">
        <f>_xll.BDH("WMT US Equity","CASH_CONVERSION_CYCLE","FQ1 2022","FQ1 2022","Currency=USD","Period=FQ","BEST_FPERIOD_OVERRIDE=FQ","FILING_STATUS=MR","FA_ADJUSTED=GAAP","Sort=A","Dates=H","DateFormat=P","Fill=—","Direction=H","UseDPDF=Y")</f>
        <v>1.982</v>
      </c>
      <c r="Z90" s="14">
        <f>_xll.BDH("WMT US Equity","CASH_CONVERSION_CYCLE","FQ2 2022","FQ2 2022","Currency=USD","Period=FQ","BEST_FPERIOD_OVERRIDE=FQ","FILING_STATUS=MR","FA_ADJUSTED=GAAP","Sort=A","Dates=H","DateFormat=P","Fill=—","Direction=H","UseDPDF=Y")</f>
        <v>1.2033</v>
      </c>
      <c r="AA90" s="14">
        <f>_xll.BDH("WMT US Equity","CASH_CONVERSION_CYCLE","FQ3 2022","FQ3 2022","Currency=USD","Period=FQ","BEST_FPERIOD_OVERRIDE=FQ","FILING_STATUS=MR","FA_ADJUSTED=GAAP","Sort=A","Dates=H","DateFormat=P","Fill=—","Direction=H","UseDPDF=Y")</f>
        <v>3.9577</v>
      </c>
      <c r="AB90" s="14">
        <f>_xll.BDH("WMT US Equity","CASH_CONVERSION_CYCLE","FQ4 2022","FQ4 2022","Currency=USD","Period=FQ","BEST_FPERIOD_OVERRIDE=FQ","FILING_STATUS=MR","FA_ADJUSTED=GAAP","Sort=A","Dates=H","DateFormat=P","Fill=—","Direction=H","UseDPDF=Y")</f>
        <v>4.6285999999999996</v>
      </c>
      <c r="AC90" s="14">
        <f>_xll.BDH("WMT US Equity","CASH_CONVERSION_CYCLE","FQ1 2023","FQ1 2023","Currency=USD","Period=FQ","BEST_FPERIOD_OVERRIDE=FQ","FILING_STATUS=MR","FA_ADJUSTED=GAAP","Sort=A","Dates=H","DateFormat=P","Fill=—","Direction=H","UseDPDF=Y")</f>
        <v>8.4400999999999993</v>
      </c>
      <c r="AD90" s="14">
        <f>_xll.BDH("WMT US Equity","CASH_CONVERSION_CYCLE","FQ2 2023","FQ2 2023","Currency=USD","Period=FQ","BEST_FPERIOD_OVERRIDE=FQ","FILING_STATUS=MR","FA_ADJUSTED=GAAP","Sort=A","Dates=H","DateFormat=P","Fill=—","Direction=H","UseDPDF=Y")</f>
        <v>6.9706999999999999</v>
      </c>
      <c r="AE90" s="14">
        <f>_xll.BDH("WMT US Equity","CASH_CONVERSION_CYCLE","FQ3 2023","FQ3 2023","Currency=USD","Period=FQ","BEST_FPERIOD_OVERRIDE=FQ","FILING_STATUS=MR","FA_ADJUSTED=GAAP","Sort=A","Dates=H","DateFormat=P","Fill=—","Direction=H","UseDPDF=Y")</f>
        <v>8.5799000000000003</v>
      </c>
      <c r="AF90" s="14">
        <f>_xll.BDH("WMT US Equity","CASH_CONVERSION_CYCLE","FQ4 2023","FQ4 2023","Currency=USD","Period=FQ","BEST_FPERIOD_OVERRIDE=FQ","FILING_STATUS=MR","FA_ADJUSTED=GAAP","Sort=A","Dates=H","DateFormat=P","Fill=—","Direction=H","UseDPDF=Y")</f>
        <v>6.4537000000000004</v>
      </c>
      <c r="AG90" s="14">
        <f>_xll.BDH("WMT US Equity","CASH_CONVERSION_CYCLE","FQ1 2024","FQ1 2024","Currency=USD","Period=FQ","BEST_FPERIOD_OVERRIDE=FQ","FILING_STATUS=MR","FA_ADJUSTED=GAAP","Sort=A","Dates=H","DateFormat=P","Fill=—","Direction=H","UseDPDF=Y")</f>
        <v>8.3536000000000001</v>
      </c>
      <c r="AH90" s="14">
        <f>_xll.BDH("WMT US Equity","CASH_CONVERSION_CYCLE","FQ2 2024","FQ2 2024","Currency=USD","Period=FQ","BEST_FPERIOD_OVERRIDE=FQ","FILING_STATUS=MR","FA_ADJUSTED=GAAP","Sort=A","Dates=H","DateFormat=P","Fill=—","Direction=H","UseDPDF=Y")</f>
        <v>6.4172000000000002</v>
      </c>
      <c r="AI90" s="14">
        <f>_xll.BDH("WMT US Equity","CASH_CONVERSION_CYCLE","FQ3 2024","FQ3 2024","Currency=USD","Period=FQ","BEST_FPERIOD_OVERRIDE=FQ","FILING_STATUS=MR","FA_ADJUSTED=GAAP","Sort=A","Dates=H","DateFormat=P","Fill=—","Direction=H","UseDPDF=Y")</f>
        <v>8.6450999999999993</v>
      </c>
      <c r="AJ90" s="14">
        <f>_xll.BDH("WMT US Equity","CASH_CONVERSION_CYCLE","FQ4 2024","FQ4 2024","Currency=USD","Period=FQ","BEST_FPERIOD_OVERRIDE=FQ","FILING_STATUS=MR","FA_ADJUSTED=GAAP","Sort=A","Dates=H","DateFormat=P","Fill=—","Direction=H","UseDPDF=Y")</f>
        <v>4.9089999999999998</v>
      </c>
      <c r="AK90" s="14">
        <f>_xll.BDH("WMT US Equity","CASH_CONVERSION_CYCLE","FQ1 2025","FQ1 2025","Currency=USD","Period=FQ","BEST_FPERIOD_OVERRIDE=FQ","FILING_STATUS=MR","FA_ADJUSTED=GAAP","Sort=A","Dates=H","DateFormat=P","Fill=—","Direction=H","UseDPDF=Y")</f>
        <v>5.2561999999999998</v>
      </c>
      <c r="AL90" s="14">
        <f>_xll.BDH("WMT US Equity","CASH_CONVERSION_CYCLE","FQ2 2025","FQ2 2025","Currency=USD","Period=FQ","BEST_FPERIOD_OVERRIDE=FQ","FILING_STATUS=MR","FA_ADJUSTED=GAAP","Sort=A","Dates=H","DateFormat=P","Fill=—","Direction=H","UseDPDF=Y")</f>
        <v>4.1096000000000004</v>
      </c>
      <c r="AM90" s="14">
        <f>_xll.BDH("WMT US Equity","CASH_CONVERSION_CYCLE","FQ3 2025","FQ3 2025","Currency=USD","Period=FQ","BEST_FPERIOD_OVERRIDE=FQ","FILING_STATUS=MR","FA_ADJUSTED=GAAP","Sort=A","Dates=H","DateFormat=P","Fill=—","Direction=H","UseDPDF=Y")</f>
        <v>6.2165999999999997</v>
      </c>
      <c r="AN90" s="14">
        <f>_xll.BDH("WMT US Equity","CASH_CONVERSION_CYCLE","FQ4 2025","FQ4 2025","Currency=USD","Period=FQ","BEST_FPERIOD_OVERRIDE=FQ","FILING_STATUS=MR","FA_ADJUSTED=GAAP","Sort=A","Dates=H","DateFormat=P","Fill=—","Direction=H","UseDPDF=Y")</f>
        <v>3.6840999999999999</v>
      </c>
      <c r="AO90" s="14">
        <f>_xll.BDH("WMT US Equity","CASH_CONVERSION_CYCLE","FQ1 2026","FQ1 2026","Currency=USD","Period=FQ","BEST_FPERIOD_OVERRIDE=FQ","FILING_STATUS=MR","FA_ADJUSTED=GAAP","Sort=A","Dates=H","DateFormat=P","Fill=—","Direction=H","UseDPDF=Y")</f>
        <v>4.8335999999999997</v>
      </c>
      <c r="AP90" s="14">
        <f>_xll.BDH("WMT US Equity","CASH_CONVERSION_CYCLE","FQ2 2026","FQ2 2026","Currency=USD","Period=FQ","BEST_FPERIOD_OVERRIDE=FQ","FILING_STATUS=MR","FA_ADJUSTED=GAAP","Sort=A","Dates=H","DateFormat=P","Fill=—","Direction=H","UseDPDF=Y")</f>
        <v>3.9990000000000001</v>
      </c>
    </row>
    <row r="91" spans="1:42" x14ac:dyDescent="0.3">
      <c r="A91" s="10" t="s">
        <v>185</v>
      </c>
      <c r="B91" s="10" t="s">
        <v>186</v>
      </c>
      <c r="C91" s="13" t="str">
        <f>_xll.BDH("WMT US Equity","BS_CASH_HELD_OVERSEAS","FQ3 2016","FQ3 2016","Currency=USD","Period=FQ","BEST_FPERIOD_OVERRIDE=FQ","FILING_STATUS=MR","SCALING_FORMAT=MLN","Sort=A","Dates=H","DateFormat=P","Fill=—","Direction=H","UseDPDF=Y")</f>
        <v>—</v>
      </c>
      <c r="D91" s="13">
        <f>_xll.BDH("WMT US Equity","BS_CASH_HELD_OVERSEAS","FQ4 2016","FQ4 2016","Currency=USD","Period=FQ","BEST_FPERIOD_OVERRIDE=FQ","FILING_STATUS=MR","SCALING_FORMAT=MLN","Sort=A","Dates=H","DateFormat=P","Fill=—","Direction=H","UseDPDF=Y")</f>
        <v>4500</v>
      </c>
      <c r="E91" s="13" t="str">
        <f>_xll.BDH("WMT US Equity","BS_CASH_HELD_OVERSEAS","FQ1 2017","FQ1 2017","Currency=USD","Period=FQ","BEST_FPERIOD_OVERRIDE=FQ","FILING_STATUS=MR","SCALING_FORMAT=MLN","Sort=A","Dates=H","DateFormat=P","Fill=—","Direction=H","UseDPDF=Y")</f>
        <v>—</v>
      </c>
      <c r="F91" s="13" t="str">
        <f>_xll.BDH("WMT US Equity","BS_CASH_HELD_OVERSEAS","FQ2 2017","FQ2 2017","Currency=USD","Period=FQ","BEST_FPERIOD_OVERRIDE=FQ","FILING_STATUS=MR","SCALING_FORMAT=MLN","Sort=A","Dates=H","DateFormat=P","Fill=—","Direction=H","UseDPDF=Y")</f>
        <v>—</v>
      </c>
      <c r="G91" s="13" t="str">
        <f>_xll.BDH("WMT US Equity","BS_CASH_HELD_OVERSEAS","FQ3 2017","FQ3 2017","Currency=USD","Period=FQ","BEST_FPERIOD_OVERRIDE=FQ","FILING_STATUS=MR","SCALING_FORMAT=MLN","Sort=A","Dates=H","DateFormat=P","Fill=—","Direction=H","UseDPDF=Y")</f>
        <v>—</v>
      </c>
      <c r="H91" s="13">
        <f>_xll.BDH("WMT US Equity","BS_CASH_HELD_OVERSEAS","FQ4 2017","FQ4 2017","Currency=USD","Period=FQ","BEST_FPERIOD_OVERRIDE=FQ","FILING_STATUS=MR","SCALING_FORMAT=MLN","Sort=A","Dates=H","DateFormat=P","Fill=—","Direction=H","UseDPDF=Y")</f>
        <v>5635</v>
      </c>
      <c r="I91" s="13" t="str">
        <f>_xll.BDH("WMT US Equity","BS_CASH_HELD_OVERSEAS","FQ1 2018","FQ1 2018","Currency=USD","Period=FQ","BEST_FPERIOD_OVERRIDE=FQ","FILING_STATUS=MR","SCALING_FORMAT=MLN","Sort=A","Dates=H","DateFormat=P","Fill=—","Direction=H","UseDPDF=Y")</f>
        <v>—</v>
      </c>
      <c r="J91" s="13" t="str">
        <f>_xll.BDH("WMT US Equity","BS_CASH_HELD_OVERSEAS","FQ2 2018","FQ2 2018","Currency=USD","Period=FQ","BEST_FPERIOD_OVERRIDE=FQ","FILING_STATUS=MR","SCALING_FORMAT=MLN","Sort=A","Dates=H","DateFormat=P","Fill=—","Direction=H","UseDPDF=Y")</f>
        <v>—</v>
      </c>
      <c r="K91" s="13" t="str">
        <f>_xll.BDH("WMT US Equity","BS_CASH_HELD_OVERSEAS","FQ3 2018","FQ3 2018","Currency=USD","Period=FQ","BEST_FPERIOD_OVERRIDE=FQ","FILING_STATUS=MR","SCALING_FORMAT=MLN","Sort=A","Dates=H","DateFormat=P","Fill=—","Direction=H","UseDPDF=Y")</f>
        <v>—</v>
      </c>
      <c r="L91" s="13">
        <f>_xll.BDH("WMT US Equity","BS_CASH_HELD_OVERSEAS","FQ4 2018","FQ4 2018","Currency=USD","Period=FQ","BEST_FPERIOD_OVERRIDE=FQ","FILING_STATUS=MR","SCALING_FORMAT=MLN","Sort=A","Dates=H","DateFormat=P","Fill=—","Direction=H","UseDPDF=Y")</f>
        <v>6500</v>
      </c>
      <c r="M91" s="13" t="str">
        <f>_xll.BDH("WMT US Equity","BS_CASH_HELD_OVERSEAS","FQ1 2019","FQ1 2019","Currency=USD","Period=FQ","BEST_FPERIOD_OVERRIDE=FQ","FILING_STATUS=MR","SCALING_FORMAT=MLN","Sort=A","Dates=H","DateFormat=P","Fill=—","Direction=H","UseDPDF=Y")</f>
        <v>—</v>
      </c>
      <c r="N91" s="13" t="str">
        <f>_xll.BDH("WMT US Equity","BS_CASH_HELD_OVERSEAS","FQ2 2019","FQ2 2019","Currency=USD","Period=FQ","BEST_FPERIOD_OVERRIDE=FQ","FILING_STATUS=MR","SCALING_FORMAT=MLN","Sort=A","Dates=H","DateFormat=P","Fill=—","Direction=H","UseDPDF=Y")</f>
        <v>—</v>
      </c>
      <c r="O91" s="13" t="str">
        <f>_xll.BDH("WMT US Equity","BS_CASH_HELD_OVERSEAS","FQ3 2019","FQ3 2019","Currency=USD","Period=FQ","BEST_FPERIOD_OVERRIDE=FQ","FILING_STATUS=MR","SCALING_FORMAT=MLN","Sort=A","Dates=H","DateFormat=P","Fill=—","Direction=H","UseDPDF=Y")</f>
        <v>—</v>
      </c>
      <c r="P91" s="13">
        <f>_xll.BDH("WMT US Equity","BS_CASH_HELD_OVERSEAS","FQ4 2019","FQ4 2019","Currency=USD","Period=FQ","BEST_FPERIOD_OVERRIDE=FQ","FILING_STATUS=MR","SCALING_FORMAT=MLN","Sort=A","Dates=H","DateFormat=P","Fill=—","Direction=H","UseDPDF=Y")</f>
        <v>7666</v>
      </c>
      <c r="Q91" s="13" t="str">
        <f>_xll.BDH("WMT US Equity","BS_CASH_HELD_OVERSEAS","FQ1 2020","FQ1 2020","Currency=USD","Period=FQ","BEST_FPERIOD_OVERRIDE=FQ","FILING_STATUS=MR","SCALING_FORMAT=MLN","Sort=A","Dates=H","DateFormat=P","Fill=—","Direction=H","UseDPDF=Y")</f>
        <v>—</v>
      </c>
      <c r="R91" s="13" t="str">
        <f>_xll.BDH("WMT US Equity","BS_CASH_HELD_OVERSEAS","FQ2 2020","FQ2 2020","Currency=USD","Period=FQ","BEST_FPERIOD_OVERRIDE=FQ","FILING_STATUS=MR","SCALING_FORMAT=MLN","Sort=A","Dates=H","DateFormat=P","Fill=—","Direction=H","UseDPDF=Y")</f>
        <v>—</v>
      </c>
      <c r="S91" s="13" t="str">
        <f>_xll.BDH("WMT US Equity","BS_CASH_HELD_OVERSEAS","FQ3 2020","FQ3 2020","Currency=USD","Period=FQ","BEST_FPERIOD_OVERRIDE=FQ","FILING_STATUS=MR","SCALING_FORMAT=MLN","Sort=A","Dates=H","DateFormat=P","Fill=—","Direction=H","UseDPDF=Y")</f>
        <v>—</v>
      </c>
      <c r="T91" s="13" t="str">
        <f>_xll.BDH("WMT US Equity","BS_CASH_HELD_OVERSEAS","FQ4 2020","FQ4 2020","Currency=USD","Period=FQ","BEST_FPERIOD_OVERRIDE=FQ","FILING_STATUS=MR","SCALING_FORMAT=MLN","Sort=A","Dates=H","DateFormat=P","Fill=—","Direction=H","UseDPDF=Y")</f>
        <v>—</v>
      </c>
      <c r="U91" s="13" t="str">
        <f>_xll.BDH("WMT US Equity","BS_CASH_HELD_OVERSEAS","FQ1 2021","FQ1 2021","Currency=USD","Period=FQ","BEST_FPERIOD_OVERRIDE=FQ","FILING_STATUS=MR","SCALING_FORMAT=MLN","Sort=A","Dates=H","DateFormat=P","Fill=—","Direction=H","UseDPDF=Y")</f>
        <v>—</v>
      </c>
      <c r="V91" s="13" t="str">
        <f>_xll.BDH("WMT US Equity","BS_CASH_HELD_OVERSEAS","FQ2 2021","FQ2 2021","Currency=USD","Period=FQ","BEST_FPERIOD_OVERRIDE=FQ","FILING_STATUS=MR","SCALING_FORMAT=MLN","Sort=A","Dates=H","DateFormat=P","Fill=—","Direction=H","UseDPDF=Y")</f>
        <v>—</v>
      </c>
      <c r="W91" s="13" t="str">
        <f>_xll.BDH("WMT US Equity","BS_CASH_HELD_OVERSEAS","FQ3 2021","FQ3 2021","Currency=USD","Period=FQ","BEST_FPERIOD_OVERRIDE=FQ","FILING_STATUS=MR","SCALING_FORMAT=MLN","Sort=A","Dates=H","DateFormat=P","Fill=—","Direction=H","UseDPDF=Y")</f>
        <v>—</v>
      </c>
      <c r="X91" s="13" t="str">
        <f>_xll.BDH("WMT US Equity","BS_CASH_HELD_OVERSEAS","FQ4 2021","FQ4 2021","Currency=USD","Period=FQ","BEST_FPERIOD_OVERRIDE=FQ","FILING_STATUS=MR","SCALING_FORMAT=MLN","Sort=A","Dates=H","DateFormat=P","Fill=—","Direction=H","UseDPDF=Y")</f>
        <v>—</v>
      </c>
      <c r="Y91" s="13" t="str">
        <f>_xll.BDH("WMT US Equity","BS_CASH_HELD_OVERSEAS","FQ1 2022","FQ1 2022","Currency=USD","Period=FQ","BEST_FPERIOD_OVERRIDE=FQ","FILING_STATUS=MR","SCALING_FORMAT=MLN","Sort=A","Dates=H","DateFormat=P","Fill=—","Direction=H","UseDPDF=Y")</f>
        <v>—</v>
      </c>
      <c r="Z91" s="13" t="str">
        <f>_xll.BDH("WMT US Equity","BS_CASH_HELD_OVERSEAS","FQ2 2022","FQ2 2022","Currency=USD","Period=FQ","BEST_FPERIOD_OVERRIDE=FQ","FILING_STATUS=MR","SCALING_FORMAT=MLN","Sort=A","Dates=H","DateFormat=P","Fill=—","Direction=H","UseDPDF=Y")</f>
        <v>—</v>
      </c>
      <c r="AA91" s="13" t="str">
        <f>_xll.BDH("WMT US Equity","BS_CASH_HELD_OVERSEAS","FQ3 2022","FQ3 2022","Currency=USD","Period=FQ","BEST_FPERIOD_OVERRIDE=FQ","FILING_STATUS=MR","SCALING_FORMAT=MLN","Sort=A","Dates=H","DateFormat=P","Fill=—","Direction=H","UseDPDF=Y")</f>
        <v>—</v>
      </c>
      <c r="AB91" s="13" t="str">
        <f>_xll.BDH("WMT US Equity","BS_CASH_HELD_OVERSEAS","FQ4 2022","FQ4 2022","Currency=USD","Period=FQ","BEST_FPERIOD_OVERRIDE=FQ","FILING_STATUS=MR","SCALING_FORMAT=MLN","Sort=A","Dates=H","DateFormat=P","Fill=—","Direction=H","UseDPDF=Y")</f>
        <v>—</v>
      </c>
      <c r="AC91" s="13" t="str">
        <f>_xll.BDH("WMT US Equity","BS_CASH_HELD_OVERSEAS","FQ1 2023","FQ1 2023","Currency=USD","Period=FQ","BEST_FPERIOD_OVERRIDE=FQ","FILING_STATUS=MR","SCALING_FORMAT=MLN","Sort=A","Dates=H","DateFormat=P","Fill=—","Direction=H","UseDPDF=Y")</f>
        <v>—</v>
      </c>
      <c r="AD91" s="13" t="str">
        <f>_xll.BDH("WMT US Equity","BS_CASH_HELD_OVERSEAS","FQ2 2023","FQ2 2023","Currency=USD","Period=FQ","BEST_FPERIOD_OVERRIDE=FQ","FILING_STATUS=MR","SCALING_FORMAT=MLN","Sort=A","Dates=H","DateFormat=P","Fill=—","Direction=H","UseDPDF=Y")</f>
        <v>—</v>
      </c>
      <c r="AE91" s="13" t="str">
        <f>_xll.BDH("WMT US Equity","BS_CASH_HELD_OVERSEAS","FQ3 2023","FQ3 2023","Currency=USD","Period=FQ","BEST_FPERIOD_OVERRIDE=FQ","FILING_STATUS=MR","SCALING_FORMAT=MLN","Sort=A","Dates=H","DateFormat=P","Fill=—","Direction=H","UseDPDF=Y")</f>
        <v>—</v>
      </c>
      <c r="AF91" s="13" t="str">
        <f>_xll.BDH("WMT US Equity","BS_CASH_HELD_OVERSEAS","FQ4 2023","FQ4 2023","Currency=USD","Period=FQ","BEST_FPERIOD_OVERRIDE=FQ","FILING_STATUS=MR","SCALING_FORMAT=MLN","Sort=A","Dates=H","DateFormat=P","Fill=—","Direction=H","UseDPDF=Y")</f>
        <v>—</v>
      </c>
      <c r="AG91" s="13" t="str">
        <f>_xll.BDH("WMT US Equity","BS_CASH_HELD_OVERSEAS","FQ1 2024","FQ1 2024","Currency=USD","Period=FQ","BEST_FPERIOD_OVERRIDE=FQ","FILING_STATUS=MR","SCALING_FORMAT=MLN","Sort=A","Dates=H","DateFormat=P","Fill=—","Direction=H","UseDPDF=Y")</f>
        <v>—</v>
      </c>
      <c r="AH91" s="13" t="str">
        <f>_xll.BDH("WMT US Equity","BS_CASH_HELD_OVERSEAS","FQ2 2024","FQ2 2024","Currency=USD","Period=FQ","BEST_FPERIOD_OVERRIDE=FQ","FILING_STATUS=MR","SCALING_FORMAT=MLN","Sort=A","Dates=H","DateFormat=P","Fill=—","Direction=H","UseDPDF=Y")</f>
        <v>—</v>
      </c>
      <c r="AI91" s="13" t="str">
        <f>_xll.BDH("WMT US Equity","BS_CASH_HELD_OVERSEAS","FQ3 2024","FQ3 2024","Currency=USD","Period=FQ","BEST_FPERIOD_OVERRIDE=FQ","FILING_STATUS=MR","SCALING_FORMAT=MLN","Sort=A","Dates=H","DateFormat=P","Fill=—","Direction=H","UseDPDF=Y")</f>
        <v>—</v>
      </c>
      <c r="AJ91" s="13" t="str">
        <f>_xll.BDH("WMT US Equity","BS_CASH_HELD_OVERSEAS","FQ4 2024","FQ4 2024","Currency=USD","Period=FQ","BEST_FPERIOD_OVERRIDE=FQ","FILING_STATUS=MR","SCALING_FORMAT=MLN","Sort=A","Dates=H","DateFormat=P","Fill=—","Direction=H","UseDPDF=Y")</f>
        <v>—</v>
      </c>
      <c r="AK91" s="13" t="str">
        <f>_xll.BDH("WMT US Equity","BS_CASH_HELD_OVERSEAS","FQ1 2025","FQ1 2025","Currency=USD","Period=FQ","BEST_FPERIOD_OVERRIDE=FQ","FILING_STATUS=MR","SCALING_FORMAT=MLN","Sort=A","Dates=H","DateFormat=P","Fill=—","Direction=H","UseDPDF=Y")</f>
        <v>—</v>
      </c>
      <c r="AL91" s="13" t="str">
        <f>_xll.BDH("WMT US Equity","BS_CASH_HELD_OVERSEAS","FQ2 2025","FQ2 2025","Currency=USD","Period=FQ","BEST_FPERIOD_OVERRIDE=FQ","FILING_STATUS=MR","SCALING_FORMAT=MLN","Sort=A","Dates=H","DateFormat=P","Fill=—","Direction=H","UseDPDF=Y")</f>
        <v>—</v>
      </c>
      <c r="AM91" s="13" t="str">
        <f>_xll.BDH("WMT US Equity","BS_CASH_HELD_OVERSEAS","FQ3 2025","FQ3 2025","Currency=USD","Period=FQ","BEST_FPERIOD_OVERRIDE=FQ","FILING_STATUS=MR","SCALING_FORMAT=MLN","Sort=A","Dates=H","DateFormat=P","Fill=—","Direction=H","UseDPDF=Y")</f>
        <v>—</v>
      </c>
      <c r="AN91" s="13" t="str">
        <f>_xll.BDH("WMT US Equity","BS_CASH_HELD_OVERSEAS","FQ4 2025","FQ4 2025","Currency=USD","Period=FQ","BEST_FPERIOD_OVERRIDE=FQ","FILING_STATUS=MR","SCALING_FORMAT=MLN","Sort=A","Dates=H","DateFormat=P","Fill=—","Direction=H","UseDPDF=Y")</f>
        <v>—</v>
      </c>
      <c r="AO91" s="13" t="str">
        <f>_xll.BDH("WMT US Equity","BS_CASH_HELD_OVERSEAS","FQ1 2026","FQ1 2026","Currency=USD","Period=FQ","BEST_FPERIOD_OVERRIDE=FQ","FILING_STATUS=MR","SCALING_FORMAT=MLN","Sort=A","Dates=H","DateFormat=P","Fill=—","Direction=H","UseDPDF=Y")</f>
        <v>—</v>
      </c>
      <c r="AP91" s="13" t="str">
        <f>_xll.BDH("WMT US Equity","BS_CASH_HELD_OVERSEAS","FQ2 2026","FQ2 2026","Currency=USD","Period=FQ","BEST_FPERIOD_OVERRIDE=FQ","FILING_STATUS=MR","SCALING_FORMAT=MLN","Sort=A","Dates=H","DateFormat=P","Fill=—","Direction=H","UseDPDF=Y")</f>
        <v>—</v>
      </c>
    </row>
    <row r="92" spans="1:42" x14ac:dyDescent="0.3">
      <c r="A92" s="10" t="s">
        <v>187</v>
      </c>
      <c r="B92" s="10" t="s">
        <v>188</v>
      </c>
      <c r="C92" s="14" t="str">
        <f>_xll.BDH("WMT US Equity","NUM_OF_EMPLOYEES","FQ3 2016","FQ3 2016","Currency=USD","Period=FQ","BEST_FPERIOD_OVERRIDE=FQ","FILING_STATUS=MR","Sort=A","Dates=H","DateFormat=P","Fill=—","Direction=H","UseDPDF=Y")</f>
        <v>—</v>
      </c>
      <c r="D92" s="14">
        <f>_xll.BDH("WMT US Equity","NUM_OF_EMPLOYEES","FQ4 2016","FQ4 2016","Currency=USD","Period=FQ","BEST_FPERIOD_OVERRIDE=FQ","FILING_STATUS=MR","Sort=A","Dates=H","DateFormat=P","Fill=—","Direction=H","UseDPDF=Y")</f>
        <v>2300000</v>
      </c>
      <c r="E92" s="14" t="str">
        <f>_xll.BDH("WMT US Equity","NUM_OF_EMPLOYEES","FQ1 2017","FQ1 2017","Currency=USD","Period=FQ","BEST_FPERIOD_OVERRIDE=FQ","FILING_STATUS=MR","Sort=A","Dates=H","DateFormat=P","Fill=—","Direction=H","UseDPDF=Y")</f>
        <v>—</v>
      </c>
      <c r="F92" s="14" t="str">
        <f>_xll.BDH("WMT US Equity","NUM_OF_EMPLOYEES","FQ2 2017","FQ2 2017","Currency=USD","Period=FQ","BEST_FPERIOD_OVERRIDE=FQ","FILING_STATUS=MR","Sort=A","Dates=H","DateFormat=P","Fill=—","Direction=H","UseDPDF=Y")</f>
        <v>—</v>
      </c>
      <c r="G92" s="14" t="str">
        <f>_xll.BDH("WMT US Equity","NUM_OF_EMPLOYEES","FQ3 2017","FQ3 2017","Currency=USD","Period=FQ","BEST_FPERIOD_OVERRIDE=FQ","FILING_STATUS=MR","Sort=A","Dates=H","DateFormat=P","Fill=—","Direction=H","UseDPDF=Y")</f>
        <v>—</v>
      </c>
      <c r="H92" s="14">
        <f>_xll.BDH("WMT US Equity","NUM_OF_EMPLOYEES","FQ4 2017","FQ4 2017","Currency=USD","Period=FQ","BEST_FPERIOD_OVERRIDE=FQ","FILING_STATUS=MR","Sort=A","Dates=H","DateFormat=P","Fill=—","Direction=H","UseDPDF=Y")</f>
        <v>2300000</v>
      </c>
      <c r="I92" s="14" t="str">
        <f>_xll.BDH("WMT US Equity","NUM_OF_EMPLOYEES","FQ1 2018","FQ1 2018","Currency=USD","Period=FQ","BEST_FPERIOD_OVERRIDE=FQ","FILING_STATUS=MR","Sort=A","Dates=H","DateFormat=P","Fill=—","Direction=H","UseDPDF=Y")</f>
        <v>—</v>
      </c>
      <c r="J92" s="14" t="str">
        <f>_xll.BDH("WMT US Equity","NUM_OF_EMPLOYEES","FQ2 2018","FQ2 2018","Currency=USD","Period=FQ","BEST_FPERIOD_OVERRIDE=FQ","FILING_STATUS=MR","Sort=A","Dates=H","DateFormat=P","Fill=—","Direction=H","UseDPDF=Y")</f>
        <v>—</v>
      </c>
      <c r="K92" s="14" t="str">
        <f>_xll.BDH("WMT US Equity","NUM_OF_EMPLOYEES","FQ3 2018","FQ3 2018","Currency=USD","Period=FQ","BEST_FPERIOD_OVERRIDE=FQ","FILING_STATUS=MR","Sort=A","Dates=H","DateFormat=P","Fill=—","Direction=H","UseDPDF=Y")</f>
        <v>—</v>
      </c>
      <c r="L92" s="14">
        <f>_xll.BDH("WMT US Equity","NUM_OF_EMPLOYEES","FQ4 2018","FQ4 2018","Currency=USD","Period=FQ","BEST_FPERIOD_OVERRIDE=FQ","FILING_STATUS=MR","Sort=A","Dates=H","DateFormat=P","Fill=—","Direction=H","UseDPDF=Y")</f>
        <v>2300000</v>
      </c>
      <c r="M92" s="14" t="str">
        <f>_xll.BDH("WMT US Equity","NUM_OF_EMPLOYEES","FQ1 2019","FQ1 2019","Currency=USD","Period=FQ","BEST_FPERIOD_OVERRIDE=FQ","FILING_STATUS=MR","Sort=A","Dates=H","DateFormat=P","Fill=—","Direction=H","UseDPDF=Y")</f>
        <v>—</v>
      </c>
      <c r="N92" s="14" t="str">
        <f>_xll.BDH("WMT US Equity","NUM_OF_EMPLOYEES","FQ2 2019","FQ2 2019","Currency=USD","Period=FQ","BEST_FPERIOD_OVERRIDE=FQ","FILING_STATUS=MR","Sort=A","Dates=H","DateFormat=P","Fill=—","Direction=H","UseDPDF=Y")</f>
        <v>—</v>
      </c>
      <c r="O92" s="14" t="str">
        <f>_xll.BDH("WMT US Equity","NUM_OF_EMPLOYEES","FQ3 2019","FQ3 2019","Currency=USD","Period=FQ","BEST_FPERIOD_OVERRIDE=FQ","FILING_STATUS=MR","Sort=A","Dates=H","DateFormat=P","Fill=—","Direction=H","UseDPDF=Y")</f>
        <v>—</v>
      </c>
      <c r="P92" s="14">
        <f>_xll.BDH("WMT US Equity","NUM_OF_EMPLOYEES","FQ4 2019","FQ4 2019","Currency=USD","Period=FQ","BEST_FPERIOD_OVERRIDE=FQ","FILING_STATUS=MR","Sort=A","Dates=H","DateFormat=P","Fill=—","Direction=H","UseDPDF=Y")</f>
        <v>2200000</v>
      </c>
      <c r="Q92" s="14" t="str">
        <f>_xll.BDH("WMT US Equity","NUM_OF_EMPLOYEES","FQ1 2020","FQ1 2020","Currency=USD","Period=FQ","BEST_FPERIOD_OVERRIDE=FQ","FILING_STATUS=MR","Sort=A","Dates=H","DateFormat=P","Fill=—","Direction=H","UseDPDF=Y")</f>
        <v>—</v>
      </c>
      <c r="R92" s="14" t="str">
        <f>_xll.BDH("WMT US Equity","NUM_OF_EMPLOYEES","FQ2 2020","FQ2 2020","Currency=USD","Period=FQ","BEST_FPERIOD_OVERRIDE=FQ","FILING_STATUS=MR","Sort=A","Dates=H","DateFormat=P","Fill=—","Direction=H","UseDPDF=Y")</f>
        <v>—</v>
      </c>
      <c r="S92" s="14" t="str">
        <f>_xll.BDH("WMT US Equity","NUM_OF_EMPLOYEES","FQ3 2020","FQ3 2020","Currency=USD","Period=FQ","BEST_FPERIOD_OVERRIDE=FQ","FILING_STATUS=MR","Sort=A","Dates=H","DateFormat=P","Fill=—","Direction=H","UseDPDF=Y")</f>
        <v>—</v>
      </c>
      <c r="T92" s="14">
        <f>_xll.BDH("WMT US Equity","NUM_OF_EMPLOYEES","FQ4 2020","FQ4 2020","Currency=USD","Period=FQ","BEST_FPERIOD_OVERRIDE=FQ","FILING_STATUS=MR","Sort=A","Dates=H","DateFormat=P","Fill=—","Direction=H","UseDPDF=Y")</f>
        <v>2200000</v>
      </c>
      <c r="U92" s="14" t="str">
        <f>_xll.BDH("WMT US Equity","NUM_OF_EMPLOYEES","FQ1 2021","FQ1 2021","Currency=USD","Period=FQ","BEST_FPERIOD_OVERRIDE=FQ","FILING_STATUS=MR","Sort=A","Dates=H","DateFormat=P","Fill=—","Direction=H","UseDPDF=Y")</f>
        <v>—</v>
      </c>
      <c r="V92" s="14" t="str">
        <f>_xll.BDH("WMT US Equity","NUM_OF_EMPLOYEES","FQ2 2021","FQ2 2021","Currency=USD","Period=FQ","BEST_FPERIOD_OVERRIDE=FQ","FILING_STATUS=MR","Sort=A","Dates=H","DateFormat=P","Fill=—","Direction=H","UseDPDF=Y")</f>
        <v>—</v>
      </c>
      <c r="W92" s="14" t="str">
        <f>_xll.BDH("WMT US Equity","NUM_OF_EMPLOYEES","FQ3 2021","FQ3 2021","Currency=USD","Period=FQ","BEST_FPERIOD_OVERRIDE=FQ","FILING_STATUS=MR","Sort=A","Dates=H","DateFormat=P","Fill=—","Direction=H","UseDPDF=Y")</f>
        <v>—</v>
      </c>
      <c r="X92" s="14">
        <f>_xll.BDH("WMT US Equity","NUM_OF_EMPLOYEES","FQ4 2021","FQ4 2021","Currency=USD","Period=FQ","BEST_FPERIOD_OVERRIDE=FQ","FILING_STATUS=MR","Sort=A","Dates=H","DateFormat=P","Fill=—","Direction=H","UseDPDF=Y")</f>
        <v>2300000</v>
      </c>
      <c r="Y92" s="14" t="str">
        <f>_xll.BDH("WMT US Equity","NUM_OF_EMPLOYEES","FQ1 2022","FQ1 2022","Currency=USD","Period=FQ","BEST_FPERIOD_OVERRIDE=FQ","FILING_STATUS=MR","Sort=A","Dates=H","DateFormat=P","Fill=—","Direction=H","UseDPDF=Y")</f>
        <v>—</v>
      </c>
      <c r="Z92" s="14" t="str">
        <f>_xll.BDH("WMT US Equity","NUM_OF_EMPLOYEES","FQ2 2022","FQ2 2022","Currency=USD","Period=FQ","BEST_FPERIOD_OVERRIDE=FQ","FILING_STATUS=MR","Sort=A","Dates=H","DateFormat=P","Fill=—","Direction=H","UseDPDF=Y")</f>
        <v>—</v>
      </c>
      <c r="AA92" s="14" t="str">
        <f>_xll.BDH("WMT US Equity","NUM_OF_EMPLOYEES","FQ3 2022","FQ3 2022","Currency=USD","Period=FQ","BEST_FPERIOD_OVERRIDE=FQ","FILING_STATUS=MR","Sort=A","Dates=H","DateFormat=P","Fill=—","Direction=H","UseDPDF=Y")</f>
        <v>—</v>
      </c>
      <c r="AB92" s="14">
        <f>_xll.BDH("WMT US Equity","NUM_OF_EMPLOYEES","FQ4 2022","FQ4 2022","Currency=USD","Period=FQ","BEST_FPERIOD_OVERRIDE=FQ","FILING_STATUS=MR","Sort=A","Dates=H","DateFormat=P","Fill=—","Direction=H","UseDPDF=Y")</f>
        <v>2300000</v>
      </c>
      <c r="AC92" s="14" t="str">
        <f>_xll.BDH("WMT US Equity","NUM_OF_EMPLOYEES","FQ1 2023","FQ1 2023","Currency=USD","Period=FQ","BEST_FPERIOD_OVERRIDE=FQ","FILING_STATUS=MR","Sort=A","Dates=H","DateFormat=P","Fill=—","Direction=H","UseDPDF=Y")</f>
        <v>—</v>
      </c>
      <c r="AD92" s="14" t="str">
        <f>_xll.BDH("WMT US Equity","NUM_OF_EMPLOYEES","FQ2 2023","FQ2 2023","Currency=USD","Period=FQ","BEST_FPERIOD_OVERRIDE=FQ","FILING_STATUS=MR","Sort=A","Dates=H","DateFormat=P","Fill=—","Direction=H","UseDPDF=Y")</f>
        <v>—</v>
      </c>
      <c r="AE92" s="14" t="str">
        <f>_xll.BDH("WMT US Equity","NUM_OF_EMPLOYEES","FQ3 2023","FQ3 2023","Currency=USD","Period=FQ","BEST_FPERIOD_OVERRIDE=FQ","FILING_STATUS=MR","Sort=A","Dates=H","DateFormat=P","Fill=—","Direction=H","UseDPDF=Y")</f>
        <v>—</v>
      </c>
      <c r="AF92" s="14">
        <f>_xll.BDH("WMT US Equity","NUM_OF_EMPLOYEES","FQ4 2023","FQ4 2023","Currency=USD","Period=FQ","BEST_FPERIOD_OVERRIDE=FQ","FILING_STATUS=MR","Sort=A","Dates=H","DateFormat=P","Fill=—","Direction=H","UseDPDF=Y")</f>
        <v>2100000</v>
      </c>
      <c r="AG92" s="14" t="str">
        <f>_xll.BDH("WMT US Equity","NUM_OF_EMPLOYEES","FQ1 2024","FQ1 2024","Currency=USD","Period=FQ","BEST_FPERIOD_OVERRIDE=FQ","FILING_STATUS=MR","Sort=A","Dates=H","DateFormat=P","Fill=—","Direction=H","UseDPDF=Y")</f>
        <v>—</v>
      </c>
      <c r="AH92" s="14" t="str">
        <f>_xll.BDH("WMT US Equity","NUM_OF_EMPLOYEES","FQ2 2024","FQ2 2024","Currency=USD","Period=FQ","BEST_FPERIOD_OVERRIDE=FQ","FILING_STATUS=MR","Sort=A","Dates=H","DateFormat=P","Fill=—","Direction=H","UseDPDF=Y")</f>
        <v>—</v>
      </c>
      <c r="AI92" s="14" t="str">
        <f>_xll.BDH("WMT US Equity","NUM_OF_EMPLOYEES","FQ3 2024","FQ3 2024","Currency=USD","Period=FQ","BEST_FPERIOD_OVERRIDE=FQ","FILING_STATUS=MR","Sort=A","Dates=H","DateFormat=P","Fill=—","Direction=H","UseDPDF=Y")</f>
        <v>—</v>
      </c>
      <c r="AJ92" s="14">
        <f>_xll.BDH("WMT US Equity","NUM_OF_EMPLOYEES","FQ4 2024","FQ4 2024","Currency=USD","Period=FQ","BEST_FPERIOD_OVERRIDE=FQ","FILING_STATUS=MR","Sort=A","Dates=H","DateFormat=P","Fill=—","Direction=H","UseDPDF=Y")</f>
        <v>2100000</v>
      </c>
      <c r="AK92" s="14" t="str">
        <f>_xll.BDH("WMT US Equity","NUM_OF_EMPLOYEES","FQ1 2025","FQ1 2025","Currency=USD","Period=FQ","BEST_FPERIOD_OVERRIDE=FQ","FILING_STATUS=MR","Sort=A","Dates=H","DateFormat=P","Fill=—","Direction=H","UseDPDF=Y")</f>
        <v>—</v>
      </c>
      <c r="AL92" s="14" t="str">
        <f>_xll.BDH("WMT US Equity","NUM_OF_EMPLOYEES","FQ2 2025","FQ2 2025","Currency=USD","Period=FQ","BEST_FPERIOD_OVERRIDE=FQ","FILING_STATUS=MR","Sort=A","Dates=H","DateFormat=P","Fill=—","Direction=H","UseDPDF=Y")</f>
        <v>—</v>
      </c>
      <c r="AM92" s="14" t="str">
        <f>_xll.BDH("WMT US Equity","NUM_OF_EMPLOYEES","FQ3 2025","FQ3 2025","Currency=USD","Period=FQ","BEST_FPERIOD_OVERRIDE=FQ","FILING_STATUS=MR","Sort=A","Dates=H","DateFormat=P","Fill=—","Direction=H","UseDPDF=Y")</f>
        <v>—</v>
      </c>
      <c r="AN92" s="14">
        <f>_xll.BDH("WMT US Equity","NUM_OF_EMPLOYEES","FQ4 2025","FQ4 2025","Currency=USD","Period=FQ","BEST_FPERIOD_OVERRIDE=FQ","FILING_STATUS=MR","Sort=A","Dates=H","DateFormat=P","Fill=—","Direction=H","UseDPDF=Y")</f>
        <v>2100000</v>
      </c>
      <c r="AO92" s="14" t="str">
        <f>_xll.BDH("WMT US Equity","NUM_OF_EMPLOYEES","FQ1 2026","FQ1 2026","Currency=USD","Period=FQ","BEST_FPERIOD_OVERRIDE=FQ","FILING_STATUS=MR","Sort=A","Dates=H","DateFormat=P","Fill=—","Direction=H","UseDPDF=Y")</f>
        <v>—</v>
      </c>
      <c r="AP92" s="14" t="str">
        <f>_xll.BDH("WMT US Equity","NUM_OF_EMPLOYEES","FQ2 2026","FQ2 2026","Currency=USD","Period=FQ","BEST_FPERIOD_OVERRIDE=FQ","FILING_STATUS=MR","Sort=A","Dates=H","DateFormat=P","Fill=—","Direction=H","UseDPDF=Y")</f>
        <v>—</v>
      </c>
    </row>
    <row r="93" spans="1:42" x14ac:dyDescent="0.3">
      <c r="A93" s="7" t="s">
        <v>189</v>
      </c>
      <c r="B93" s="7"/>
      <c r="C93" s="7" t="s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Nguyen Minh</cp:lastModifiedBy>
  <dcterms:created xsi:type="dcterms:W3CDTF">2013-04-03T15:49:21Z</dcterms:created>
  <dcterms:modified xsi:type="dcterms:W3CDTF">2025-10-13T08:04:59Z</dcterms:modified>
</cp:coreProperties>
</file>